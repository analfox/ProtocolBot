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Программы" sheetId="2" state="hidden" r:id="rId2"/>
    <sheet xmlns:r="http://schemas.openxmlformats.org/officeDocument/2006/relationships" name="Справочник" sheetId="3" state="visible" r:id="rId3"/>
    <sheet xmlns:r="http://schemas.openxmlformats.org/officeDocument/2006/relationships" name="Проверки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CCCC"/>
          <bgColor rgb="00FFCCCC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  <col width="18" customWidth="1" min="4" max="4"/>
    <col width="24" customWidth="1" min="5" max="5"/>
    <col width="50" customWidth="1" min="6" max="6"/>
    <col width="18" customWidth="1" min="7" max="7"/>
    <col width="14" customWidth="1" min="8" max="8"/>
    <col width="16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РЕЕСТР ОБУЧЕННЫХ ПО ОХРАНЕ ТРУДА ЛИЦ</t>
        </is>
      </c>
    </row>
    <row r="2">
      <c r="B2" t="inlineStr">
        <is>
          <t>Обучающая организация</t>
        </is>
      </c>
      <c r="I2" t="inlineStr">
        <is>
          <t>Мелиоратор</t>
        </is>
      </c>
    </row>
    <row r="4">
      <c r="A4" s="2" t="inlineStr">
        <is>
          <t>Организация
работодателя</t>
        </is>
      </c>
      <c r="B4" s="2" t="inlineStr">
        <is>
          <t>ИНН
организации</t>
        </is>
      </c>
      <c r="C4" s="2" t="inlineStr">
        <is>
          <t>ФИО</t>
        </is>
      </c>
      <c r="D4" s="2" t="inlineStr">
        <is>
          <t>СНИЛС</t>
        </is>
      </c>
      <c r="E4" s="2" t="inlineStr">
        <is>
          <t>Должность</t>
        </is>
      </c>
      <c r="F4" s="2" t="inlineStr">
        <is>
          <t>Название программы</t>
        </is>
      </c>
      <c r="G4" s="2" t="inlineStr">
        <is>
          <t>Результат</t>
        </is>
      </c>
      <c r="H4" s="2" t="inlineStr">
        <is>
          <t>Дата</t>
        </is>
      </c>
      <c r="I4" s="2" t="inlineStr">
        <is>
          <t>Номер
протокола</t>
        </is>
      </c>
      <c r="J4" s="2" t="inlineStr">
        <is>
          <t>Проверка
СНИЛС</t>
        </is>
      </c>
      <c r="K4" s="2" t="inlineStr">
        <is>
          <t>Проверка
ИНН</t>
        </is>
      </c>
      <c r="L4" s="2" t="inlineStr">
        <is>
          <t>Проверка
Даты</t>
        </is>
      </c>
    </row>
    <row r="5">
      <c r="A5" s="3" t="n"/>
      <c r="B5" s="4" t="n"/>
      <c r="C5" s="3" t="n"/>
      <c r="D5" s="4" t="n"/>
      <c r="E5" s="3" t="n"/>
      <c r="F5" s="3" t="n"/>
      <c r="G5" s="3" t="n"/>
      <c r="H5" s="4" t="n"/>
      <c r="I5" s="4" t="n"/>
      <c r="J5" s="3">
        <f>INDEX(Проверки!$F:$F, ROW())</f>
        <v/>
      </c>
      <c r="K5" s="3">
        <f>INDEX(Проверки!$D:$D, ROW())</f>
        <v/>
      </c>
      <c r="L5" s="3">
        <f>INDEX(Проверки!$G:$G, ROW())</f>
        <v/>
      </c>
    </row>
    <row r="6">
      <c r="A6" s="3" t="n"/>
      <c r="B6" s="4" t="n"/>
      <c r="C6" s="3" t="n"/>
      <c r="D6" s="4" t="n"/>
      <c r="E6" s="3" t="n"/>
      <c r="F6" s="3" t="n"/>
      <c r="G6" s="3" t="n"/>
      <c r="H6" s="4" t="n"/>
      <c r="I6" s="4" t="n"/>
      <c r="J6" s="3">
        <f>INDEX(Проверки!$F:$F, ROW())</f>
        <v/>
      </c>
      <c r="K6" s="3">
        <f>INDEX(Проверки!$D:$D, ROW())</f>
        <v/>
      </c>
      <c r="L6" s="3">
        <f>INDEX(Проверки!$G:$G, ROW())</f>
        <v/>
      </c>
    </row>
    <row r="7">
      <c r="A7" s="3" t="n"/>
      <c r="B7" s="4" t="n"/>
      <c r="C7" s="3" t="n"/>
      <c r="D7" s="4" t="n"/>
      <c r="E7" s="3" t="n"/>
      <c r="F7" s="3" t="n"/>
      <c r="G7" s="3" t="n"/>
      <c r="H7" s="4" t="n"/>
      <c r="I7" s="4" t="n"/>
      <c r="J7" s="3">
        <f>INDEX(Проверки!$F:$F, ROW())</f>
        <v/>
      </c>
      <c r="K7" s="3">
        <f>INDEX(Проверки!$D:$D, ROW())</f>
        <v/>
      </c>
      <c r="L7" s="3">
        <f>INDEX(Проверки!$G:$G, ROW())</f>
        <v/>
      </c>
    </row>
    <row r="8">
      <c r="A8" s="3" t="n"/>
      <c r="B8" s="4" t="n"/>
      <c r="C8" s="3" t="n"/>
      <c r="D8" s="4" t="n"/>
      <c r="E8" s="3" t="n"/>
      <c r="F8" s="3" t="n"/>
      <c r="G8" s="3" t="n"/>
      <c r="H8" s="4" t="n"/>
      <c r="I8" s="4" t="n"/>
      <c r="J8" s="3">
        <f>INDEX(Проверки!$F:$F, ROW())</f>
        <v/>
      </c>
      <c r="K8" s="3">
        <f>INDEX(Проверки!$D:$D, ROW())</f>
        <v/>
      </c>
      <c r="L8" s="3">
        <f>INDEX(Проверки!$G:$G, ROW())</f>
        <v/>
      </c>
    </row>
    <row r="9">
      <c r="A9" s="3" t="n"/>
      <c r="B9" s="4" t="n"/>
      <c r="C9" s="3" t="n"/>
      <c r="D9" s="4" t="n"/>
      <c r="E9" s="3" t="n"/>
      <c r="F9" s="3" t="n"/>
      <c r="G9" s="3" t="n"/>
      <c r="H9" s="4" t="n"/>
      <c r="I9" s="4" t="n"/>
      <c r="J9" s="3">
        <f>INDEX(Проверки!$F:$F, ROW())</f>
        <v/>
      </c>
      <c r="K9" s="3">
        <f>INDEX(Проверки!$D:$D, ROW())</f>
        <v/>
      </c>
      <c r="L9" s="3">
        <f>INDEX(Проверки!$G:$G, ROW())</f>
        <v/>
      </c>
    </row>
    <row r="10">
      <c r="A10" s="3" t="n"/>
      <c r="B10" s="4" t="n"/>
      <c r="C10" s="3" t="n"/>
      <c r="D10" s="4" t="n"/>
      <c r="E10" s="3" t="n"/>
      <c r="F10" s="3" t="n"/>
      <c r="G10" s="3" t="n"/>
      <c r="H10" s="4" t="n"/>
      <c r="I10" s="4" t="n"/>
      <c r="J10" s="3">
        <f>INDEX(Проверки!$F:$F, ROW())</f>
        <v/>
      </c>
      <c r="K10" s="3">
        <f>INDEX(Проверки!$D:$D, ROW())</f>
        <v/>
      </c>
      <c r="L10" s="3">
        <f>INDEX(Проверки!$G:$G, ROW())</f>
        <v/>
      </c>
    </row>
    <row r="11">
      <c r="A11" s="3" t="n"/>
      <c r="B11" s="4" t="n"/>
      <c r="C11" s="3" t="n"/>
      <c r="D11" s="4" t="n"/>
      <c r="E11" s="3" t="n"/>
      <c r="F11" s="3" t="n"/>
      <c r="G11" s="3" t="n"/>
      <c r="H11" s="4" t="n"/>
      <c r="I11" s="4" t="n"/>
      <c r="J11" s="3">
        <f>INDEX(Проверки!$F:$F, ROW())</f>
        <v/>
      </c>
      <c r="K11" s="3">
        <f>INDEX(Проверки!$D:$D, ROW())</f>
        <v/>
      </c>
      <c r="L11" s="3">
        <f>INDEX(Проверки!$G:$G, ROW())</f>
        <v/>
      </c>
    </row>
    <row r="12">
      <c r="A12" s="3" t="n"/>
      <c r="B12" s="4" t="n"/>
      <c r="C12" s="3" t="n"/>
      <c r="D12" s="4" t="n"/>
      <c r="E12" s="3" t="n"/>
      <c r="F12" s="3" t="n"/>
      <c r="G12" s="3" t="n"/>
      <c r="H12" s="4" t="n"/>
      <c r="I12" s="4" t="n"/>
      <c r="J12" s="3">
        <f>INDEX(Проверки!$F:$F, ROW())</f>
        <v/>
      </c>
      <c r="K12" s="3">
        <f>INDEX(Проверки!$D:$D, ROW())</f>
        <v/>
      </c>
      <c r="L12" s="3">
        <f>INDEX(Проверки!$G:$G, ROW())</f>
        <v/>
      </c>
    </row>
    <row r="13">
      <c r="A13" s="3" t="n"/>
      <c r="B13" s="4" t="n"/>
      <c r="C13" s="3" t="n"/>
      <c r="D13" s="4" t="n"/>
      <c r="E13" s="3" t="n"/>
      <c r="F13" s="3" t="n"/>
      <c r="G13" s="3" t="n"/>
      <c r="H13" s="4" t="n"/>
      <c r="I13" s="4" t="n"/>
      <c r="J13" s="3">
        <f>INDEX(Проверки!$F:$F, ROW())</f>
        <v/>
      </c>
      <c r="K13" s="3">
        <f>INDEX(Проверки!$D:$D, ROW())</f>
        <v/>
      </c>
      <c r="L13" s="3">
        <f>INDEX(Проверки!$G:$G, ROW())</f>
        <v/>
      </c>
    </row>
    <row r="14">
      <c r="A14" s="3" t="n"/>
      <c r="B14" s="4" t="n"/>
      <c r="C14" s="3" t="n"/>
      <c r="D14" s="4" t="n"/>
      <c r="E14" s="3" t="n"/>
      <c r="F14" s="3" t="n"/>
      <c r="G14" s="3" t="n"/>
      <c r="H14" s="4" t="n"/>
      <c r="I14" s="4" t="n"/>
      <c r="J14" s="3">
        <f>INDEX(Проверки!$F:$F, ROW())</f>
        <v/>
      </c>
      <c r="K14" s="3">
        <f>INDEX(Проверки!$D:$D, ROW())</f>
        <v/>
      </c>
      <c r="L14" s="3">
        <f>INDEX(Проверки!$G:$G, ROW())</f>
        <v/>
      </c>
    </row>
    <row r="15">
      <c r="A15" s="3" t="n"/>
      <c r="B15" s="4" t="n"/>
      <c r="C15" s="3" t="n"/>
      <c r="D15" s="4" t="n"/>
      <c r="E15" s="3" t="n"/>
      <c r="F15" s="3" t="n"/>
      <c r="G15" s="3" t="n"/>
      <c r="H15" s="4" t="n"/>
      <c r="I15" s="4" t="n"/>
      <c r="J15" s="3">
        <f>INDEX(Проверки!$F:$F, ROW())</f>
        <v/>
      </c>
      <c r="K15" s="3">
        <f>INDEX(Проверки!$D:$D, ROW())</f>
        <v/>
      </c>
      <c r="L15" s="3">
        <f>INDEX(Проверки!$G:$G, ROW())</f>
        <v/>
      </c>
    </row>
    <row r="16">
      <c r="A16" s="3" t="n"/>
      <c r="B16" s="4" t="n"/>
      <c r="C16" s="3" t="n"/>
      <c r="D16" s="4" t="n"/>
      <c r="E16" s="3" t="n"/>
      <c r="F16" s="3" t="n"/>
      <c r="G16" s="3" t="n"/>
      <c r="H16" s="4" t="n"/>
      <c r="I16" s="4" t="n"/>
      <c r="J16" s="3">
        <f>INDEX(Проверки!$F:$F, ROW())</f>
        <v/>
      </c>
      <c r="K16" s="3">
        <f>INDEX(Проверки!$D:$D, ROW())</f>
        <v/>
      </c>
      <c r="L16" s="3">
        <f>INDEX(Проверки!$G:$G, ROW())</f>
        <v/>
      </c>
    </row>
    <row r="17">
      <c r="A17" s="3" t="n"/>
      <c r="B17" s="4" t="n"/>
      <c r="C17" s="3" t="n"/>
      <c r="D17" s="4" t="n"/>
      <c r="E17" s="3" t="n"/>
      <c r="F17" s="3" t="n"/>
      <c r="G17" s="3" t="n"/>
      <c r="H17" s="4" t="n"/>
      <c r="I17" s="4" t="n"/>
      <c r="J17" s="3">
        <f>INDEX(Проверки!$F:$F, ROW())</f>
        <v/>
      </c>
      <c r="K17" s="3">
        <f>INDEX(Проверки!$D:$D, ROW())</f>
        <v/>
      </c>
      <c r="L17" s="3">
        <f>INDEX(Проверки!$G:$G, ROW())</f>
        <v/>
      </c>
    </row>
    <row r="18">
      <c r="A18" s="3" t="n"/>
      <c r="B18" s="4" t="n"/>
      <c r="C18" s="3" t="n"/>
      <c r="D18" s="4" t="n"/>
      <c r="E18" s="3" t="n"/>
      <c r="F18" s="3" t="n"/>
      <c r="G18" s="3" t="n"/>
      <c r="H18" s="4" t="n"/>
      <c r="I18" s="4" t="n"/>
      <c r="J18" s="3">
        <f>INDEX(Проверки!$F:$F, ROW())</f>
        <v/>
      </c>
      <c r="K18" s="3">
        <f>INDEX(Проверки!$D:$D, ROW())</f>
        <v/>
      </c>
      <c r="L18" s="3">
        <f>INDEX(Проверки!$G:$G, ROW())</f>
        <v/>
      </c>
    </row>
    <row r="19">
      <c r="A19" s="3" t="n"/>
      <c r="B19" s="4" t="n"/>
      <c r="C19" s="3" t="n"/>
      <c r="D19" s="4" t="n"/>
      <c r="E19" s="3" t="n"/>
      <c r="F19" s="3" t="n"/>
      <c r="G19" s="3" t="n"/>
      <c r="H19" s="4" t="n"/>
      <c r="I19" s="4" t="n"/>
      <c r="J19" s="3">
        <f>INDEX(Проверки!$F:$F, ROW())</f>
        <v/>
      </c>
      <c r="K19" s="3">
        <f>INDEX(Проверки!$D:$D, ROW())</f>
        <v/>
      </c>
      <c r="L19" s="3">
        <f>INDEX(Проверки!$G:$G, ROW())</f>
        <v/>
      </c>
    </row>
    <row r="20">
      <c r="A20" s="3" t="n"/>
      <c r="B20" s="4" t="n"/>
      <c r="C20" s="3" t="n"/>
      <c r="D20" s="4" t="n"/>
      <c r="E20" s="3" t="n"/>
      <c r="F20" s="3" t="n"/>
      <c r="G20" s="3" t="n"/>
      <c r="H20" s="4" t="n"/>
      <c r="I20" s="4" t="n"/>
      <c r="J20" s="3">
        <f>INDEX(Проверки!$F:$F, ROW())</f>
        <v/>
      </c>
      <c r="K20" s="3">
        <f>INDEX(Проверки!$D:$D, ROW())</f>
        <v/>
      </c>
      <c r="L20" s="3">
        <f>INDEX(Проверки!$G:$G, ROW())</f>
        <v/>
      </c>
    </row>
    <row r="21">
      <c r="A21" s="3" t="n"/>
      <c r="B21" s="4" t="n"/>
      <c r="C21" s="3" t="n"/>
      <c r="D21" s="4" t="n"/>
      <c r="E21" s="3" t="n"/>
      <c r="F21" s="3" t="n"/>
      <c r="G21" s="3" t="n"/>
      <c r="H21" s="4" t="n"/>
      <c r="I21" s="4" t="n"/>
      <c r="J21" s="3">
        <f>INDEX(Проверки!$F:$F, ROW())</f>
        <v/>
      </c>
      <c r="K21" s="3">
        <f>INDEX(Проверки!$D:$D, ROW())</f>
        <v/>
      </c>
      <c r="L21" s="3">
        <f>INDEX(Проверки!$G:$G, ROW())</f>
        <v/>
      </c>
    </row>
    <row r="22">
      <c r="A22" s="3" t="n"/>
      <c r="B22" s="4" t="n"/>
      <c r="C22" s="3" t="n"/>
      <c r="D22" s="4" t="n"/>
      <c r="E22" s="3" t="n"/>
      <c r="F22" s="3" t="n"/>
      <c r="G22" s="3" t="n"/>
      <c r="H22" s="4" t="n"/>
      <c r="I22" s="4" t="n"/>
      <c r="J22" s="3">
        <f>INDEX(Проверки!$F:$F, ROW())</f>
        <v/>
      </c>
      <c r="K22" s="3">
        <f>INDEX(Проверки!$D:$D, ROW())</f>
        <v/>
      </c>
      <c r="L22" s="3">
        <f>INDEX(Проверки!$G:$G, ROW())</f>
        <v/>
      </c>
    </row>
    <row r="23">
      <c r="A23" s="3" t="n"/>
      <c r="B23" s="4" t="n"/>
      <c r="C23" s="3" t="n"/>
      <c r="D23" s="4" t="n"/>
      <c r="E23" s="3" t="n"/>
      <c r="F23" s="3" t="n"/>
      <c r="G23" s="3" t="n"/>
      <c r="H23" s="4" t="n"/>
      <c r="I23" s="4" t="n"/>
      <c r="J23" s="3">
        <f>INDEX(Проверки!$F:$F, ROW())</f>
        <v/>
      </c>
      <c r="K23" s="3">
        <f>INDEX(Проверки!$D:$D, ROW())</f>
        <v/>
      </c>
      <c r="L23" s="3">
        <f>INDEX(Проверки!$G:$G, ROW())</f>
        <v/>
      </c>
    </row>
    <row r="24">
      <c r="A24" s="3" t="n"/>
      <c r="B24" s="4" t="n"/>
      <c r="C24" s="3" t="n"/>
      <c r="D24" s="4" t="n"/>
      <c r="E24" s="3" t="n"/>
      <c r="F24" s="3" t="n"/>
      <c r="G24" s="3" t="n"/>
      <c r="H24" s="4" t="n"/>
      <c r="I24" s="4" t="n"/>
      <c r="J24" s="3">
        <f>INDEX(Проверки!$F:$F, ROW())</f>
        <v/>
      </c>
      <c r="K24" s="3">
        <f>INDEX(Проверки!$D:$D, ROW())</f>
        <v/>
      </c>
      <c r="L24" s="3">
        <f>INDEX(Проверки!$G:$G, ROW())</f>
        <v/>
      </c>
    </row>
    <row r="25">
      <c r="A25" s="3" t="n"/>
      <c r="B25" s="4" t="n"/>
      <c r="C25" s="3" t="n"/>
      <c r="D25" s="4" t="n"/>
      <c r="E25" s="3" t="n"/>
      <c r="F25" s="3" t="n"/>
      <c r="G25" s="3" t="n"/>
      <c r="H25" s="4" t="n"/>
      <c r="I25" s="4" t="n"/>
      <c r="J25" s="3">
        <f>INDEX(Проверки!$F:$F, ROW())</f>
        <v/>
      </c>
      <c r="K25" s="3">
        <f>INDEX(Проверки!$D:$D, ROW())</f>
        <v/>
      </c>
      <c r="L25" s="3">
        <f>INDEX(Проверки!$G:$G, ROW())</f>
        <v/>
      </c>
    </row>
    <row r="26">
      <c r="A26" s="3" t="n"/>
      <c r="B26" s="4" t="n"/>
      <c r="C26" s="3" t="n"/>
      <c r="D26" s="4" t="n"/>
      <c r="E26" s="3" t="n"/>
      <c r="F26" s="3" t="n"/>
      <c r="G26" s="3" t="n"/>
      <c r="H26" s="4" t="n"/>
      <c r="I26" s="4" t="n"/>
      <c r="J26" s="3">
        <f>INDEX(Проверки!$F:$F, ROW())</f>
        <v/>
      </c>
      <c r="K26" s="3">
        <f>INDEX(Проверки!$D:$D, ROW())</f>
        <v/>
      </c>
      <c r="L26" s="3">
        <f>INDEX(Проверки!$G:$G, ROW())</f>
        <v/>
      </c>
    </row>
    <row r="27">
      <c r="A27" s="3" t="n"/>
      <c r="B27" s="4" t="n"/>
      <c r="C27" s="3" t="n"/>
      <c r="D27" s="4" t="n"/>
      <c r="E27" s="3" t="n"/>
      <c r="F27" s="3" t="n"/>
      <c r="G27" s="3" t="n"/>
      <c r="H27" s="4" t="n"/>
      <c r="I27" s="4" t="n"/>
      <c r="J27" s="3">
        <f>INDEX(Проверки!$F:$F, ROW())</f>
        <v/>
      </c>
      <c r="K27" s="3">
        <f>INDEX(Проверки!$D:$D, ROW())</f>
        <v/>
      </c>
      <c r="L27" s="3">
        <f>INDEX(Проверки!$G:$G, ROW())</f>
        <v/>
      </c>
    </row>
    <row r="28">
      <c r="A28" s="3" t="n"/>
      <c r="B28" s="4" t="n"/>
      <c r="C28" s="3" t="n"/>
      <c r="D28" s="4" t="n"/>
      <c r="E28" s="3" t="n"/>
      <c r="F28" s="3" t="n"/>
      <c r="G28" s="3" t="n"/>
      <c r="H28" s="4" t="n"/>
      <c r="I28" s="4" t="n"/>
      <c r="J28" s="3">
        <f>INDEX(Проверки!$F:$F, ROW())</f>
        <v/>
      </c>
      <c r="K28" s="3">
        <f>INDEX(Проверки!$D:$D, ROW())</f>
        <v/>
      </c>
      <c r="L28" s="3">
        <f>INDEX(Проверки!$G:$G, ROW())</f>
        <v/>
      </c>
    </row>
    <row r="29">
      <c r="A29" s="3" t="n"/>
      <c r="B29" s="4" t="n"/>
      <c r="C29" s="3" t="n"/>
      <c r="D29" s="4" t="n"/>
      <c r="E29" s="3" t="n"/>
      <c r="F29" s="3" t="n"/>
      <c r="G29" s="3" t="n"/>
      <c r="H29" s="4" t="n"/>
      <c r="I29" s="4" t="n"/>
      <c r="J29" s="3">
        <f>INDEX(Проверки!$F:$F, ROW())</f>
        <v/>
      </c>
      <c r="K29" s="3">
        <f>INDEX(Проверки!$D:$D, ROW())</f>
        <v/>
      </c>
      <c r="L29" s="3">
        <f>INDEX(Проверки!$G:$G, ROW())</f>
        <v/>
      </c>
    </row>
    <row r="30">
      <c r="A30" s="3" t="n"/>
      <c r="B30" s="4" t="n"/>
      <c r="C30" s="3" t="n"/>
      <c r="D30" s="4" t="n"/>
      <c r="E30" s="3" t="n"/>
      <c r="F30" s="3" t="n"/>
      <c r="G30" s="3" t="n"/>
      <c r="H30" s="4" t="n"/>
      <c r="I30" s="4" t="n"/>
      <c r="J30" s="3">
        <f>INDEX(Проверки!$F:$F, ROW())</f>
        <v/>
      </c>
      <c r="K30" s="3">
        <f>INDEX(Проверки!$D:$D, ROW())</f>
        <v/>
      </c>
      <c r="L30" s="3">
        <f>INDEX(Проверки!$G:$G, ROW())</f>
        <v/>
      </c>
    </row>
    <row r="31">
      <c r="A31" s="3" t="n"/>
      <c r="B31" s="4" t="n"/>
      <c r="C31" s="3" t="n"/>
      <c r="D31" s="4" t="n"/>
      <c r="E31" s="3" t="n"/>
      <c r="F31" s="3" t="n"/>
      <c r="G31" s="3" t="n"/>
      <c r="H31" s="4" t="n"/>
      <c r="I31" s="4" t="n"/>
      <c r="J31" s="3">
        <f>INDEX(Проверки!$F:$F, ROW())</f>
        <v/>
      </c>
      <c r="K31" s="3">
        <f>INDEX(Проверки!$D:$D, ROW())</f>
        <v/>
      </c>
      <c r="L31" s="3">
        <f>INDEX(Проверки!$G:$G, ROW())</f>
        <v/>
      </c>
    </row>
    <row r="32">
      <c r="A32" s="3" t="n"/>
      <c r="B32" s="4" t="n"/>
      <c r="C32" s="3" t="n"/>
      <c r="D32" s="4" t="n"/>
      <c r="E32" s="3" t="n"/>
      <c r="F32" s="3" t="n"/>
      <c r="G32" s="3" t="n"/>
      <c r="H32" s="4" t="n"/>
      <c r="I32" s="4" t="n"/>
      <c r="J32" s="3">
        <f>INDEX(Проверки!$F:$F, ROW())</f>
        <v/>
      </c>
      <c r="K32" s="3">
        <f>INDEX(Проверки!$D:$D, ROW())</f>
        <v/>
      </c>
      <c r="L32" s="3">
        <f>INDEX(Проверки!$G:$G, ROW())</f>
        <v/>
      </c>
    </row>
    <row r="33">
      <c r="A33" s="3" t="n"/>
      <c r="B33" s="4" t="n"/>
      <c r="C33" s="3" t="n"/>
      <c r="D33" s="4" t="n"/>
      <c r="E33" s="3" t="n"/>
      <c r="F33" s="3" t="n"/>
      <c r="G33" s="3" t="n"/>
      <c r="H33" s="4" t="n"/>
      <c r="I33" s="4" t="n"/>
      <c r="J33" s="3">
        <f>INDEX(Проверки!$F:$F, ROW())</f>
        <v/>
      </c>
      <c r="K33" s="3">
        <f>INDEX(Проверки!$D:$D, ROW())</f>
        <v/>
      </c>
      <c r="L33" s="3">
        <f>INDEX(Проверки!$G:$G, ROW())</f>
        <v/>
      </c>
    </row>
    <row r="34">
      <c r="A34" s="3" t="n"/>
      <c r="B34" s="4" t="n"/>
      <c r="C34" s="3" t="n"/>
      <c r="D34" s="4" t="n"/>
      <c r="E34" s="3" t="n"/>
      <c r="F34" s="3" t="n"/>
      <c r="G34" s="3" t="n"/>
      <c r="H34" s="4" t="n"/>
      <c r="I34" s="4" t="n"/>
      <c r="J34" s="3">
        <f>INDEX(Проверки!$F:$F, ROW())</f>
        <v/>
      </c>
      <c r="K34" s="3">
        <f>INDEX(Проверки!$D:$D, ROW())</f>
        <v/>
      </c>
      <c r="L34" s="3">
        <f>INDEX(Проверки!$G:$G, ROW())</f>
        <v/>
      </c>
    </row>
    <row r="35">
      <c r="A35" s="3" t="n"/>
      <c r="B35" s="4" t="n"/>
      <c r="C35" s="3" t="n"/>
      <c r="D35" s="4" t="n"/>
      <c r="E35" s="3" t="n"/>
      <c r="F35" s="3" t="n"/>
      <c r="G35" s="3" t="n"/>
      <c r="H35" s="4" t="n"/>
      <c r="I35" s="4" t="n"/>
      <c r="J35" s="3">
        <f>INDEX(Проверки!$F:$F, ROW())</f>
        <v/>
      </c>
      <c r="K35" s="3">
        <f>INDEX(Проверки!$D:$D, ROW())</f>
        <v/>
      </c>
      <c r="L35" s="3">
        <f>INDEX(Проверки!$G:$G, ROW())</f>
        <v/>
      </c>
    </row>
    <row r="36">
      <c r="A36" s="3" t="n"/>
      <c r="B36" s="4" t="n"/>
      <c r="C36" s="3" t="n"/>
      <c r="D36" s="4" t="n"/>
      <c r="E36" s="3" t="n"/>
      <c r="F36" s="3" t="n"/>
      <c r="G36" s="3" t="n"/>
      <c r="H36" s="4" t="n"/>
      <c r="I36" s="4" t="n"/>
      <c r="J36" s="3">
        <f>INDEX(Проверки!$F:$F, ROW())</f>
        <v/>
      </c>
      <c r="K36" s="3">
        <f>INDEX(Проверки!$D:$D, ROW())</f>
        <v/>
      </c>
      <c r="L36" s="3">
        <f>INDEX(Проверки!$G:$G, ROW())</f>
        <v/>
      </c>
    </row>
    <row r="37">
      <c r="A37" s="3" t="n"/>
      <c r="B37" s="4" t="n"/>
      <c r="C37" s="3" t="n"/>
      <c r="D37" s="4" t="n"/>
      <c r="E37" s="3" t="n"/>
      <c r="F37" s="3" t="n"/>
      <c r="G37" s="3" t="n"/>
      <c r="H37" s="4" t="n"/>
      <c r="I37" s="4" t="n"/>
      <c r="J37" s="3">
        <f>INDEX(Проверки!$F:$F, ROW())</f>
        <v/>
      </c>
      <c r="K37" s="3">
        <f>INDEX(Проверки!$D:$D, ROW())</f>
        <v/>
      </c>
      <c r="L37" s="3">
        <f>INDEX(Проверки!$G:$G, ROW())</f>
        <v/>
      </c>
    </row>
    <row r="38">
      <c r="A38" s="3" t="n"/>
      <c r="B38" s="4" t="n"/>
      <c r="C38" s="3" t="n"/>
      <c r="D38" s="4" t="n"/>
      <c r="E38" s="3" t="n"/>
      <c r="F38" s="3" t="n"/>
      <c r="G38" s="3" t="n"/>
      <c r="H38" s="4" t="n"/>
      <c r="I38" s="4" t="n"/>
      <c r="J38" s="3">
        <f>INDEX(Проверки!$F:$F, ROW())</f>
        <v/>
      </c>
      <c r="K38" s="3">
        <f>INDEX(Проверки!$D:$D, ROW())</f>
        <v/>
      </c>
      <c r="L38" s="3">
        <f>INDEX(Проверки!$G:$G, ROW())</f>
        <v/>
      </c>
    </row>
    <row r="39">
      <c r="A39" s="3" t="n"/>
      <c r="B39" s="4" t="n"/>
      <c r="C39" s="3" t="n"/>
      <c r="D39" s="4" t="n"/>
      <c r="E39" s="3" t="n"/>
      <c r="F39" s="3" t="n"/>
      <c r="G39" s="3" t="n"/>
      <c r="H39" s="4" t="n"/>
      <c r="I39" s="4" t="n"/>
      <c r="J39" s="3">
        <f>INDEX(Проверки!$F:$F, ROW())</f>
        <v/>
      </c>
      <c r="K39" s="3">
        <f>INDEX(Проверки!$D:$D, ROW())</f>
        <v/>
      </c>
      <c r="L39" s="3">
        <f>INDEX(Проверки!$G:$G, ROW())</f>
        <v/>
      </c>
    </row>
    <row r="40">
      <c r="A40" s="3" t="n"/>
      <c r="B40" s="4" t="n"/>
      <c r="C40" s="3" t="n"/>
      <c r="D40" s="4" t="n"/>
      <c r="E40" s="3" t="n"/>
      <c r="F40" s="3" t="n"/>
      <c r="G40" s="3" t="n"/>
      <c r="H40" s="4" t="n"/>
      <c r="I40" s="4" t="n"/>
      <c r="J40" s="3">
        <f>INDEX(Проверки!$F:$F, ROW())</f>
        <v/>
      </c>
      <c r="K40" s="3">
        <f>INDEX(Проверки!$D:$D, ROW())</f>
        <v/>
      </c>
      <c r="L40" s="3">
        <f>INDEX(Проверки!$G:$G, ROW())</f>
        <v/>
      </c>
    </row>
    <row r="41">
      <c r="A41" s="3" t="n"/>
      <c r="B41" s="4" t="n"/>
      <c r="C41" s="3" t="n"/>
      <c r="D41" s="4" t="n"/>
      <c r="E41" s="3" t="n"/>
      <c r="F41" s="3" t="n"/>
      <c r="G41" s="3" t="n"/>
      <c r="H41" s="4" t="n"/>
      <c r="I41" s="4" t="n"/>
      <c r="J41" s="3">
        <f>INDEX(Проверки!$F:$F, ROW())</f>
        <v/>
      </c>
      <c r="K41" s="3">
        <f>INDEX(Проверки!$D:$D, ROW())</f>
        <v/>
      </c>
      <c r="L41" s="3">
        <f>INDEX(Проверки!$G:$G, ROW())</f>
        <v/>
      </c>
    </row>
    <row r="42">
      <c r="A42" s="3" t="n"/>
      <c r="B42" s="4" t="n"/>
      <c r="C42" s="3" t="n"/>
      <c r="D42" s="4" t="n"/>
      <c r="E42" s="3" t="n"/>
      <c r="F42" s="3" t="n"/>
      <c r="G42" s="3" t="n"/>
      <c r="H42" s="4" t="n"/>
      <c r="I42" s="4" t="n"/>
      <c r="J42" s="3">
        <f>INDEX(Проверки!$F:$F, ROW())</f>
        <v/>
      </c>
      <c r="K42" s="3">
        <f>INDEX(Проверки!$D:$D, ROW())</f>
        <v/>
      </c>
      <c r="L42" s="3">
        <f>INDEX(Проверки!$G:$G, ROW())</f>
        <v/>
      </c>
    </row>
    <row r="43">
      <c r="A43" s="3" t="n"/>
      <c r="B43" s="4" t="n"/>
      <c r="C43" s="3" t="n"/>
      <c r="D43" s="4" t="n"/>
      <c r="E43" s="3" t="n"/>
      <c r="F43" s="3" t="n"/>
      <c r="G43" s="3" t="n"/>
      <c r="H43" s="4" t="n"/>
      <c r="I43" s="4" t="n"/>
      <c r="J43" s="3">
        <f>INDEX(Проверки!$F:$F, ROW())</f>
        <v/>
      </c>
      <c r="K43" s="3">
        <f>INDEX(Проверки!$D:$D, ROW())</f>
        <v/>
      </c>
      <c r="L43" s="3">
        <f>INDEX(Проверки!$G:$G, ROW())</f>
        <v/>
      </c>
    </row>
    <row r="44">
      <c r="A44" s="3" t="n"/>
      <c r="B44" s="4" t="n"/>
      <c r="C44" s="3" t="n"/>
      <c r="D44" s="4" t="n"/>
      <c r="E44" s="3" t="n"/>
      <c r="F44" s="3" t="n"/>
      <c r="G44" s="3" t="n"/>
      <c r="H44" s="4" t="n"/>
      <c r="I44" s="4" t="n"/>
      <c r="J44" s="3">
        <f>INDEX(Проверки!$F:$F, ROW())</f>
        <v/>
      </c>
      <c r="K44" s="3">
        <f>INDEX(Проверки!$D:$D, ROW())</f>
        <v/>
      </c>
      <c r="L44" s="3">
        <f>INDEX(Проверки!$G:$G, ROW())</f>
        <v/>
      </c>
    </row>
    <row r="45">
      <c r="A45" s="3" t="n"/>
      <c r="B45" s="4" t="n"/>
      <c r="C45" s="3" t="n"/>
      <c r="D45" s="4" t="n"/>
      <c r="E45" s="3" t="n"/>
      <c r="F45" s="3" t="n"/>
      <c r="G45" s="3" t="n"/>
      <c r="H45" s="4" t="n"/>
      <c r="I45" s="4" t="n"/>
      <c r="J45" s="3">
        <f>INDEX(Проверки!$F:$F, ROW())</f>
        <v/>
      </c>
      <c r="K45" s="3">
        <f>INDEX(Проверки!$D:$D, ROW())</f>
        <v/>
      </c>
      <c r="L45" s="3">
        <f>INDEX(Проверки!$G:$G, ROW())</f>
        <v/>
      </c>
    </row>
    <row r="46">
      <c r="A46" s="3" t="n"/>
      <c r="B46" s="4" t="n"/>
      <c r="C46" s="3" t="n"/>
      <c r="D46" s="4" t="n"/>
      <c r="E46" s="3" t="n"/>
      <c r="F46" s="3" t="n"/>
      <c r="G46" s="3" t="n"/>
      <c r="H46" s="4" t="n"/>
      <c r="I46" s="4" t="n"/>
      <c r="J46" s="3">
        <f>INDEX(Проверки!$F:$F, ROW())</f>
        <v/>
      </c>
      <c r="K46" s="3">
        <f>INDEX(Проверки!$D:$D, ROW())</f>
        <v/>
      </c>
      <c r="L46" s="3">
        <f>INDEX(Проверки!$G:$G, ROW())</f>
        <v/>
      </c>
    </row>
    <row r="47">
      <c r="A47" s="3" t="n"/>
      <c r="B47" s="4" t="n"/>
      <c r="C47" s="3" t="n"/>
      <c r="D47" s="4" t="n"/>
      <c r="E47" s="3" t="n"/>
      <c r="F47" s="3" t="n"/>
      <c r="G47" s="3" t="n"/>
      <c r="H47" s="4" t="n"/>
      <c r="I47" s="4" t="n"/>
      <c r="J47" s="3">
        <f>INDEX(Проверки!$F:$F, ROW())</f>
        <v/>
      </c>
      <c r="K47" s="3">
        <f>INDEX(Проверки!$D:$D, ROW())</f>
        <v/>
      </c>
      <c r="L47" s="3">
        <f>INDEX(Проверки!$G:$G, ROW())</f>
        <v/>
      </c>
    </row>
    <row r="48">
      <c r="A48" s="3" t="n"/>
      <c r="B48" s="4" t="n"/>
      <c r="C48" s="3" t="n"/>
      <c r="D48" s="4" t="n"/>
      <c r="E48" s="3" t="n"/>
      <c r="F48" s="3" t="n"/>
      <c r="G48" s="3" t="n"/>
      <c r="H48" s="4" t="n"/>
      <c r="I48" s="4" t="n"/>
      <c r="J48" s="3">
        <f>INDEX(Проверки!$F:$F, ROW())</f>
        <v/>
      </c>
      <c r="K48" s="3">
        <f>INDEX(Проверки!$D:$D, ROW())</f>
        <v/>
      </c>
      <c r="L48" s="3">
        <f>INDEX(Проверки!$G:$G, ROW())</f>
        <v/>
      </c>
    </row>
    <row r="49">
      <c r="A49" s="3" t="n"/>
      <c r="B49" s="4" t="n"/>
      <c r="C49" s="3" t="n"/>
      <c r="D49" s="4" t="n"/>
      <c r="E49" s="3" t="n"/>
      <c r="F49" s="3" t="n"/>
      <c r="G49" s="3" t="n"/>
      <c r="H49" s="4" t="n"/>
      <c r="I49" s="4" t="n"/>
      <c r="J49" s="3">
        <f>INDEX(Проверки!$F:$F, ROW())</f>
        <v/>
      </c>
      <c r="K49" s="3">
        <f>INDEX(Проверки!$D:$D, ROW())</f>
        <v/>
      </c>
      <c r="L49" s="3">
        <f>INDEX(Проверки!$G:$G, ROW())</f>
        <v/>
      </c>
    </row>
    <row r="50">
      <c r="A50" s="3" t="n"/>
      <c r="B50" s="4" t="n"/>
      <c r="C50" s="3" t="n"/>
      <c r="D50" s="4" t="n"/>
      <c r="E50" s="3" t="n"/>
      <c r="F50" s="3" t="n"/>
      <c r="G50" s="3" t="n"/>
      <c r="H50" s="4" t="n"/>
      <c r="I50" s="4" t="n"/>
      <c r="J50" s="3">
        <f>INDEX(Проверки!$F:$F, ROW())</f>
        <v/>
      </c>
      <c r="K50" s="3">
        <f>INDEX(Проверки!$D:$D, ROW())</f>
        <v/>
      </c>
      <c r="L50" s="3">
        <f>INDEX(Проверки!$G:$G, ROW())</f>
        <v/>
      </c>
    </row>
    <row r="51">
      <c r="A51" s="3" t="n"/>
      <c r="B51" s="4" t="n"/>
      <c r="C51" s="3" t="n"/>
      <c r="D51" s="4" t="n"/>
      <c r="E51" s="3" t="n"/>
      <c r="F51" s="3" t="n"/>
      <c r="G51" s="3" t="n"/>
      <c r="H51" s="4" t="n"/>
      <c r="I51" s="4" t="n"/>
      <c r="J51" s="3">
        <f>INDEX(Проверки!$F:$F, ROW())</f>
        <v/>
      </c>
      <c r="K51" s="3">
        <f>INDEX(Проверки!$D:$D, ROW())</f>
        <v/>
      </c>
      <c r="L51" s="3">
        <f>INDEX(Проверки!$G:$G, ROW())</f>
        <v/>
      </c>
    </row>
    <row r="52">
      <c r="A52" s="3" t="n"/>
      <c r="B52" s="4" t="n"/>
      <c r="C52" s="3" t="n"/>
      <c r="D52" s="4" t="n"/>
      <c r="E52" s="3" t="n"/>
      <c r="F52" s="3" t="n"/>
      <c r="G52" s="3" t="n"/>
      <c r="H52" s="4" t="n"/>
      <c r="I52" s="4" t="n"/>
      <c r="J52" s="3">
        <f>INDEX(Проверки!$F:$F, ROW())</f>
        <v/>
      </c>
      <c r="K52" s="3">
        <f>INDEX(Проверки!$D:$D, ROW())</f>
        <v/>
      </c>
      <c r="L52" s="3">
        <f>INDEX(Проверки!$G:$G, ROW())</f>
        <v/>
      </c>
    </row>
    <row r="53">
      <c r="A53" s="3" t="n"/>
      <c r="B53" s="4" t="n"/>
      <c r="C53" s="3" t="n"/>
      <c r="D53" s="4" t="n"/>
      <c r="E53" s="3" t="n"/>
      <c r="F53" s="3" t="n"/>
      <c r="G53" s="3" t="n"/>
      <c r="H53" s="4" t="n"/>
      <c r="I53" s="4" t="n"/>
      <c r="J53" s="3">
        <f>INDEX(Проверки!$F:$F, ROW())</f>
        <v/>
      </c>
      <c r="K53" s="3">
        <f>INDEX(Проверки!$D:$D, ROW())</f>
        <v/>
      </c>
      <c r="L53" s="3">
        <f>INDEX(Проверки!$G:$G, ROW())</f>
        <v/>
      </c>
    </row>
    <row r="54">
      <c r="A54" s="3" t="n"/>
      <c r="B54" s="4" t="n"/>
      <c r="C54" s="3" t="n"/>
      <c r="D54" s="4" t="n"/>
      <c r="E54" s="3" t="n"/>
      <c r="F54" s="3" t="n"/>
      <c r="G54" s="3" t="n"/>
      <c r="H54" s="4" t="n"/>
      <c r="I54" s="4" t="n"/>
      <c r="J54" s="3">
        <f>INDEX(Проверки!$F:$F, ROW())</f>
        <v/>
      </c>
      <c r="K54" s="3">
        <f>INDEX(Проверки!$D:$D, ROW())</f>
        <v/>
      </c>
      <c r="L54" s="3">
        <f>INDEX(Проверки!$G:$G, ROW())</f>
        <v/>
      </c>
    </row>
    <row r="55">
      <c r="A55" s="3" t="n"/>
      <c r="B55" s="4" t="n"/>
      <c r="C55" s="3" t="n"/>
      <c r="D55" s="4" t="n"/>
      <c r="E55" s="3" t="n"/>
      <c r="F55" s="3" t="n"/>
      <c r="G55" s="3" t="n"/>
      <c r="H55" s="4" t="n"/>
      <c r="I55" s="4" t="n"/>
      <c r="J55" s="3">
        <f>INDEX(Проверки!$F:$F, ROW())</f>
        <v/>
      </c>
      <c r="K55" s="3">
        <f>INDEX(Проверки!$D:$D, ROW())</f>
        <v/>
      </c>
      <c r="L55" s="3">
        <f>INDEX(Проверки!$G:$G, ROW())</f>
        <v/>
      </c>
    </row>
    <row r="56">
      <c r="A56" s="3" t="n"/>
      <c r="B56" s="4" t="n"/>
      <c r="C56" s="3" t="n"/>
      <c r="D56" s="4" t="n"/>
      <c r="E56" s="3" t="n"/>
      <c r="F56" s="3" t="n"/>
      <c r="G56" s="3" t="n"/>
      <c r="H56" s="4" t="n"/>
      <c r="I56" s="4" t="n"/>
      <c r="J56" s="3">
        <f>INDEX(Проверки!$F:$F, ROW())</f>
        <v/>
      </c>
      <c r="K56" s="3">
        <f>INDEX(Проверки!$D:$D, ROW())</f>
        <v/>
      </c>
      <c r="L56" s="3">
        <f>INDEX(Проверки!$G:$G, ROW())</f>
        <v/>
      </c>
    </row>
    <row r="57">
      <c r="A57" s="3" t="n"/>
      <c r="B57" s="4" t="n"/>
      <c r="C57" s="3" t="n"/>
      <c r="D57" s="4" t="n"/>
      <c r="E57" s="3" t="n"/>
      <c r="F57" s="3" t="n"/>
      <c r="G57" s="3" t="n"/>
      <c r="H57" s="4" t="n"/>
      <c r="I57" s="4" t="n"/>
      <c r="J57" s="3">
        <f>INDEX(Проверки!$F:$F, ROW())</f>
        <v/>
      </c>
      <c r="K57" s="3">
        <f>INDEX(Проверки!$D:$D, ROW())</f>
        <v/>
      </c>
      <c r="L57" s="3">
        <f>INDEX(Проверки!$G:$G, ROW())</f>
        <v/>
      </c>
    </row>
    <row r="58">
      <c r="A58" s="3" t="n"/>
      <c r="B58" s="4" t="n"/>
      <c r="C58" s="3" t="n"/>
      <c r="D58" s="4" t="n"/>
      <c r="E58" s="3" t="n"/>
      <c r="F58" s="3" t="n"/>
      <c r="G58" s="3" t="n"/>
      <c r="H58" s="4" t="n"/>
      <c r="I58" s="4" t="n"/>
      <c r="J58" s="3">
        <f>INDEX(Проверки!$F:$F, ROW())</f>
        <v/>
      </c>
      <c r="K58" s="3">
        <f>INDEX(Проверки!$D:$D, ROW())</f>
        <v/>
      </c>
      <c r="L58" s="3">
        <f>INDEX(Проверки!$G:$G, ROW())</f>
        <v/>
      </c>
    </row>
    <row r="59">
      <c r="A59" s="3" t="n"/>
      <c r="B59" s="4" t="n"/>
      <c r="C59" s="3" t="n"/>
      <c r="D59" s="4" t="n"/>
      <c r="E59" s="3" t="n"/>
      <c r="F59" s="3" t="n"/>
      <c r="G59" s="3" t="n"/>
      <c r="H59" s="4" t="n"/>
      <c r="I59" s="4" t="n"/>
      <c r="J59" s="3">
        <f>INDEX(Проверки!$F:$F, ROW())</f>
        <v/>
      </c>
      <c r="K59" s="3">
        <f>INDEX(Проверки!$D:$D, ROW())</f>
        <v/>
      </c>
      <c r="L59" s="3">
        <f>INDEX(Проверки!$G:$G, ROW())</f>
        <v/>
      </c>
    </row>
    <row r="60">
      <c r="A60" s="3" t="n"/>
      <c r="B60" s="4" t="n"/>
      <c r="C60" s="3" t="n"/>
      <c r="D60" s="4" t="n"/>
      <c r="E60" s="3" t="n"/>
      <c r="F60" s="3" t="n"/>
      <c r="G60" s="3" t="n"/>
      <c r="H60" s="4" t="n"/>
      <c r="I60" s="4" t="n"/>
      <c r="J60" s="3">
        <f>INDEX(Проверки!$F:$F, ROW())</f>
        <v/>
      </c>
      <c r="K60" s="3">
        <f>INDEX(Проверки!$D:$D, ROW())</f>
        <v/>
      </c>
      <c r="L60" s="3">
        <f>INDEX(Проверки!$G:$G, ROW())</f>
        <v/>
      </c>
    </row>
    <row r="61">
      <c r="A61" s="3" t="n"/>
      <c r="B61" s="4" t="n"/>
      <c r="C61" s="3" t="n"/>
      <c r="D61" s="4" t="n"/>
      <c r="E61" s="3" t="n"/>
      <c r="F61" s="3" t="n"/>
      <c r="G61" s="3" t="n"/>
      <c r="H61" s="4" t="n"/>
      <c r="I61" s="4" t="n"/>
      <c r="J61" s="3">
        <f>INDEX(Проверки!$F:$F, ROW())</f>
        <v/>
      </c>
      <c r="K61" s="3">
        <f>INDEX(Проверки!$D:$D, ROW())</f>
        <v/>
      </c>
      <c r="L61" s="3">
        <f>INDEX(Проверки!$G:$G, ROW())</f>
        <v/>
      </c>
    </row>
    <row r="62">
      <c r="A62" s="3" t="n"/>
      <c r="B62" s="4" t="n"/>
      <c r="C62" s="3" t="n"/>
      <c r="D62" s="4" t="n"/>
      <c r="E62" s="3" t="n"/>
      <c r="F62" s="3" t="n"/>
      <c r="G62" s="3" t="n"/>
      <c r="H62" s="4" t="n"/>
      <c r="I62" s="4" t="n"/>
      <c r="J62" s="3">
        <f>INDEX(Проверки!$F:$F, ROW())</f>
        <v/>
      </c>
      <c r="K62" s="3">
        <f>INDEX(Проверки!$D:$D, ROW())</f>
        <v/>
      </c>
      <c r="L62" s="3">
        <f>INDEX(Проверки!$G:$G, ROW())</f>
        <v/>
      </c>
    </row>
    <row r="63">
      <c r="A63" s="3" t="n"/>
      <c r="B63" s="4" t="n"/>
      <c r="C63" s="3" t="n"/>
      <c r="D63" s="4" t="n"/>
      <c r="E63" s="3" t="n"/>
      <c r="F63" s="3" t="n"/>
      <c r="G63" s="3" t="n"/>
      <c r="H63" s="4" t="n"/>
      <c r="I63" s="4" t="n"/>
      <c r="J63" s="3">
        <f>INDEX(Проверки!$F:$F, ROW())</f>
        <v/>
      </c>
      <c r="K63" s="3">
        <f>INDEX(Проверки!$D:$D, ROW())</f>
        <v/>
      </c>
      <c r="L63" s="3">
        <f>INDEX(Проверки!$G:$G, ROW())</f>
        <v/>
      </c>
    </row>
    <row r="64">
      <c r="A64" s="3" t="n"/>
      <c r="B64" s="4" t="n"/>
      <c r="C64" s="3" t="n"/>
      <c r="D64" s="4" t="n"/>
      <c r="E64" s="3" t="n"/>
      <c r="F64" s="3" t="n"/>
      <c r="G64" s="3" t="n"/>
      <c r="H64" s="4" t="n"/>
      <c r="I64" s="4" t="n"/>
      <c r="J64" s="3">
        <f>INDEX(Проверки!$F:$F, ROW())</f>
        <v/>
      </c>
      <c r="K64" s="3">
        <f>INDEX(Проверки!$D:$D, ROW())</f>
        <v/>
      </c>
      <c r="L64" s="3">
        <f>INDEX(Проверки!$G:$G, ROW())</f>
        <v/>
      </c>
    </row>
    <row r="65">
      <c r="A65" s="3" t="n"/>
      <c r="B65" s="4" t="n"/>
      <c r="C65" s="3" t="n"/>
      <c r="D65" s="4" t="n"/>
      <c r="E65" s="3" t="n"/>
      <c r="F65" s="3" t="n"/>
      <c r="G65" s="3" t="n"/>
      <c r="H65" s="4" t="n"/>
      <c r="I65" s="4" t="n"/>
      <c r="J65" s="3">
        <f>INDEX(Проверки!$F:$F, ROW())</f>
        <v/>
      </c>
      <c r="K65" s="3">
        <f>INDEX(Проверки!$D:$D, ROW())</f>
        <v/>
      </c>
      <c r="L65" s="3">
        <f>INDEX(Проверки!$G:$G, ROW())</f>
        <v/>
      </c>
    </row>
    <row r="66">
      <c r="A66" s="3" t="n"/>
      <c r="B66" s="4" t="n"/>
      <c r="C66" s="3" t="n"/>
      <c r="D66" s="4" t="n"/>
      <c r="E66" s="3" t="n"/>
      <c r="F66" s="3" t="n"/>
      <c r="G66" s="3" t="n"/>
      <c r="H66" s="4" t="n"/>
      <c r="I66" s="4" t="n"/>
      <c r="J66" s="3">
        <f>INDEX(Проверки!$F:$F, ROW())</f>
        <v/>
      </c>
      <c r="K66" s="3">
        <f>INDEX(Проверки!$D:$D, ROW())</f>
        <v/>
      </c>
      <c r="L66" s="3">
        <f>INDEX(Проверки!$G:$G, ROW())</f>
        <v/>
      </c>
    </row>
    <row r="67">
      <c r="A67" s="3" t="n"/>
      <c r="B67" s="4" t="n"/>
      <c r="C67" s="3" t="n"/>
      <c r="D67" s="4" t="n"/>
      <c r="E67" s="3" t="n"/>
      <c r="F67" s="3" t="n"/>
      <c r="G67" s="3" t="n"/>
      <c r="H67" s="4" t="n"/>
      <c r="I67" s="4" t="n"/>
      <c r="J67" s="3">
        <f>INDEX(Проверки!$F:$F, ROW())</f>
        <v/>
      </c>
      <c r="K67" s="3">
        <f>INDEX(Проверки!$D:$D, ROW())</f>
        <v/>
      </c>
      <c r="L67" s="3">
        <f>INDEX(Проверки!$G:$G, ROW())</f>
        <v/>
      </c>
    </row>
    <row r="68">
      <c r="A68" s="3" t="n"/>
      <c r="B68" s="4" t="n"/>
      <c r="C68" s="3" t="n"/>
      <c r="D68" s="4" t="n"/>
      <c r="E68" s="3" t="n"/>
      <c r="F68" s="3" t="n"/>
      <c r="G68" s="3" t="n"/>
      <c r="H68" s="4" t="n"/>
      <c r="I68" s="4" t="n"/>
      <c r="J68" s="3">
        <f>INDEX(Проверки!$F:$F, ROW())</f>
        <v/>
      </c>
      <c r="K68" s="3">
        <f>INDEX(Проверки!$D:$D, ROW())</f>
        <v/>
      </c>
      <c r="L68" s="3">
        <f>INDEX(Проверки!$G:$G, ROW())</f>
        <v/>
      </c>
    </row>
    <row r="69">
      <c r="A69" s="3" t="n"/>
      <c r="B69" s="4" t="n"/>
      <c r="C69" s="3" t="n"/>
      <c r="D69" s="4" t="n"/>
      <c r="E69" s="3" t="n"/>
      <c r="F69" s="3" t="n"/>
      <c r="G69" s="3" t="n"/>
      <c r="H69" s="4" t="n"/>
      <c r="I69" s="4" t="n"/>
      <c r="J69" s="3">
        <f>INDEX(Проверки!$F:$F, ROW())</f>
        <v/>
      </c>
      <c r="K69" s="3">
        <f>INDEX(Проверки!$D:$D, ROW())</f>
        <v/>
      </c>
      <c r="L69" s="3">
        <f>INDEX(Проверки!$G:$G, ROW())</f>
        <v/>
      </c>
    </row>
    <row r="70">
      <c r="A70" s="3" t="n"/>
      <c r="B70" s="4" t="n"/>
      <c r="C70" s="3" t="n"/>
      <c r="D70" s="4" t="n"/>
      <c r="E70" s="3" t="n"/>
      <c r="F70" s="3" t="n"/>
      <c r="G70" s="3" t="n"/>
      <c r="H70" s="4" t="n"/>
      <c r="I70" s="4" t="n"/>
      <c r="J70" s="3">
        <f>INDEX(Проверки!$F:$F, ROW())</f>
        <v/>
      </c>
      <c r="K70" s="3">
        <f>INDEX(Проверки!$D:$D, ROW())</f>
        <v/>
      </c>
      <c r="L70" s="3">
        <f>INDEX(Проверки!$G:$G, ROW())</f>
        <v/>
      </c>
    </row>
    <row r="71">
      <c r="A71" s="3" t="n"/>
      <c r="B71" s="4" t="n"/>
      <c r="C71" s="3" t="n"/>
      <c r="D71" s="4" t="n"/>
      <c r="E71" s="3" t="n"/>
      <c r="F71" s="3" t="n"/>
      <c r="G71" s="3" t="n"/>
      <c r="H71" s="4" t="n"/>
      <c r="I71" s="4" t="n"/>
      <c r="J71" s="3">
        <f>INDEX(Проверки!$F:$F, ROW())</f>
        <v/>
      </c>
      <c r="K71" s="3">
        <f>INDEX(Проверки!$D:$D, ROW())</f>
        <v/>
      </c>
      <c r="L71" s="3">
        <f>INDEX(Проверки!$G:$G, ROW())</f>
        <v/>
      </c>
    </row>
    <row r="72">
      <c r="A72" s="3" t="n"/>
      <c r="B72" s="4" t="n"/>
      <c r="C72" s="3" t="n"/>
      <c r="D72" s="4" t="n"/>
      <c r="E72" s="3" t="n"/>
      <c r="F72" s="3" t="n"/>
      <c r="G72" s="3" t="n"/>
      <c r="H72" s="4" t="n"/>
      <c r="I72" s="4" t="n"/>
      <c r="J72" s="3">
        <f>INDEX(Проверки!$F:$F, ROW())</f>
        <v/>
      </c>
      <c r="K72" s="3">
        <f>INDEX(Проверки!$D:$D, ROW())</f>
        <v/>
      </c>
      <c r="L72" s="3">
        <f>INDEX(Проверки!$G:$G, ROW())</f>
        <v/>
      </c>
    </row>
    <row r="73">
      <c r="A73" s="3" t="n"/>
      <c r="B73" s="4" t="n"/>
      <c r="C73" s="3" t="n"/>
      <c r="D73" s="4" t="n"/>
      <c r="E73" s="3" t="n"/>
      <c r="F73" s="3" t="n"/>
      <c r="G73" s="3" t="n"/>
      <c r="H73" s="4" t="n"/>
      <c r="I73" s="4" t="n"/>
      <c r="J73" s="3">
        <f>INDEX(Проверки!$F:$F, ROW())</f>
        <v/>
      </c>
      <c r="K73" s="3">
        <f>INDEX(Проверки!$D:$D, ROW())</f>
        <v/>
      </c>
      <c r="L73" s="3">
        <f>INDEX(Проверки!$G:$G, ROW())</f>
        <v/>
      </c>
    </row>
    <row r="74">
      <c r="A74" s="3" t="n"/>
      <c r="B74" s="4" t="n"/>
      <c r="C74" s="3" t="n"/>
      <c r="D74" s="4" t="n"/>
      <c r="E74" s="3" t="n"/>
      <c r="F74" s="3" t="n"/>
      <c r="G74" s="3" t="n"/>
      <c r="H74" s="4" t="n"/>
      <c r="I74" s="4" t="n"/>
      <c r="J74" s="3">
        <f>INDEX(Проверки!$F:$F, ROW())</f>
        <v/>
      </c>
      <c r="K74" s="3">
        <f>INDEX(Проверки!$D:$D, ROW())</f>
        <v/>
      </c>
      <c r="L74" s="3">
        <f>INDEX(Проверки!$G:$G, ROW())</f>
        <v/>
      </c>
    </row>
    <row r="75">
      <c r="A75" s="3" t="n"/>
      <c r="B75" s="4" t="n"/>
      <c r="C75" s="3" t="n"/>
      <c r="D75" s="4" t="n"/>
      <c r="E75" s="3" t="n"/>
      <c r="F75" s="3" t="n"/>
      <c r="G75" s="3" t="n"/>
      <c r="H75" s="4" t="n"/>
      <c r="I75" s="4" t="n"/>
      <c r="J75" s="3">
        <f>INDEX(Проверки!$F:$F, ROW())</f>
        <v/>
      </c>
      <c r="K75" s="3">
        <f>INDEX(Проверки!$D:$D, ROW())</f>
        <v/>
      </c>
      <c r="L75" s="3">
        <f>INDEX(Проверки!$G:$G, ROW())</f>
        <v/>
      </c>
    </row>
    <row r="76">
      <c r="A76" s="3" t="n"/>
      <c r="B76" s="4" t="n"/>
      <c r="C76" s="3" t="n"/>
      <c r="D76" s="4" t="n"/>
      <c r="E76" s="3" t="n"/>
      <c r="F76" s="3" t="n"/>
      <c r="G76" s="3" t="n"/>
      <c r="H76" s="4" t="n"/>
      <c r="I76" s="4" t="n"/>
      <c r="J76" s="3">
        <f>INDEX(Проверки!$F:$F, ROW())</f>
        <v/>
      </c>
      <c r="K76" s="3">
        <f>INDEX(Проверки!$D:$D, ROW())</f>
        <v/>
      </c>
      <c r="L76" s="3">
        <f>INDEX(Проверки!$G:$G, ROW())</f>
        <v/>
      </c>
    </row>
    <row r="77">
      <c r="A77" s="3" t="n"/>
      <c r="B77" s="4" t="n"/>
      <c r="C77" s="3" t="n"/>
      <c r="D77" s="4" t="n"/>
      <c r="E77" s="3" t="n"/>
      <c r="F77" s="3" t="n"/>
      <c r="G77" s="3" t="n"/>
      <c r="H77" s="4" t="n"/>
      <c r="I77" s="4" t="n"/>
      <c r="J77" s="3">
        <f>INDEX(Проверки!$F:$F, ROW())</f>
        <v/>
      </c>
      <c r="K77" s="3">
        <f>INDEX(Проверки!$D:$D, ROW())</f>
        <v/>
      </c>
      <c r="L77" s="3">
        <f>INDEX(Проверки!$G:$G, ROW())</f>
        <v/>
      </c>
    </row>
    <row r="78">
      <c r="A78" s="3" t="n"/>
      <c r="B78" s="4" t="n"/>
      <c r="C78" s="3" t="n"/>
      <c r="D78" s="4" t="n"/>
      <c r="E78" s="3" t="n"/>
      <c r="F78" s="3" t="n"/>
      <c r="G78" s="3" t="n"/>
      <c r="H78" s="4" t="n"/>
      <c r="I78" s="4" t="n"/>
      <c r="J78" s="3">
        <f>INDEX(Проверки!$F:$F, ROW())</f>
        <v/>
      </c>
      <c r="K78" s="3">
        <f>INDEX(Проверки!$D:$D, ROW())</f>
        <v/>
      </c>
      <c r="L78" s="3">
        <f>INDEX(Проверки!$G:$G, ROW())</f>
        <v/>
      </c>
    </row>
    <row r="79">
      <c r="A79" s="3" t="n"/>
      <c r="B79" s="4" t="n"/>
      <c r="C79" s="3" t="n"/>
      <c r="D79" s="4" t="n"/>
      <c r="E79" s="3" t="n"/>
      <c r="F79" s="3" t="n"/>
      <c r="G79" s="3" t="n"/>
      <c r="H79" s="4" t="n"/>
      <c r="I79" s="4" t="n"/>
      <c r="J79" s="3">
        <f>INDEX(Проверки!$F:$F, ROW())</f>
        <v/>
      </c>
      <c r="K79" s="3">
        <f>INDEX(Проверки!$D:$D, ROW())</f>
        <v/>
      </c>
      <c r="L79" s="3">
        <f>INDEX(Проверки!$G:$G, ROW())</f>
        <v/>
      </c>
    </row>
    <row r="80">
      <c r="A80" s="3" t="n"/>
      <c r="B80" s="4" t="n"/>
      <c r="C80" s="3" t="n"/>
      <c r="D80" s="4" t="n"/>
      <c r="E80" s="3" t="n"/>
      <c r="F80" s="3" t="n"/>
      <c r="G80" s="3" t="n"/>
      <c r="H80" s="4" t="n"/>
      <c r="I80" s="4" t="n"/>
      <c r="J80" s="3">
        <f>INDEX(Проверки!$F:$F, ROW())</f>
        <v/>
      </c>
      <c r="K80" s="3">
        <f>INDEX(Проверки!$D:$D, ROW())</f>
        <v/>
      </c>
      <c r="L80" s="3">
        <f>INDEX(Проверки!$G:$G, ROW())</f>
        <v/>
      </c>
    </row>
    <row r="81">
      <c r="A81" s="3" t="n"/>
      <c r="B81" s="4" t="n"/>
      <c r="C81" s="3" t="n"/>
      <c r="D81" s="4" t="n"/>
      <c r="E81" s="3" t="n"/>
      <c r="F81" s="3" t="n"/>
      <c r="G81" s="3" t="n"/>
      <c r="H81" s="4" t="n"/>
      <c r="I81" s="4" t="n"/>
      <c r="J81" s="3">
        <f>INDEX(Проверки!$F:$F, ROW())</f>
        <v/>
      </c>
      <c r="K81" s="3">
        <f>INDEX(Проверки!$D:$D, ROW())</f>
        <v/>
      </c>
      <c r="L81" s="3">
        <f>INDEX(Проверки!$G:$G, ROW())</f>
        <v/>
      </c>
    </row>
    <row r="82">
      <c r="A82" s="3" t="n"/>
      <c r="B82" s="4" t="n"/>
      <c r="C82" s="3" t="n"/>
      <c r="D82" s="4" t="n"/>
      <c r="E82" s="3" t="n"/>
      <c r="F82" s="3" t="n"/>
      <c r="G82" s="3" t="n"/>
      <c r="H82" s="4" t="n"/>
      <c r="I82" s="4" t="n"/>
      <c r="J82" s="3">
        <f>INDEX(Проверки!$F:$F, ROW())</f>
        <v/>
      </c>
      <c r="K82" s="3">
        <f>INDEX(Проверки!$D:$D, ROW())</f>
        <v/>
      </c>
      <c r="L82" s="3">
        <f>INDEX(Проверки!$G:$G, ROW())</f>
        <v/>
      </c>
    </row>
    <row r="83">
      <c r="A83" s="3" t="n"/>
      <c r="B83" s="4" t="n"/>
      <c r="C83" s="3" t="n"/>
      <c r="D83" s="4" t="n"/>
      <c r="E83" s="3" t="n"/>
      <c r="F83" s="3" t="n"/>
      <c r="G83" s="3" t="n"/>
      <c r="H83" s="4" t="n"/>
      <c r="I83" s="4" t="n"/>
      <c r="J83" s="3">
        <f>INDEX(Проверки!$F:$F, ROW())</f>
        <v/>
      </c>
      <c r="K83" s="3">
        <f>INDEX(Проверки!$D:$D, ROW())</f>
        <v/>
      </c>
      <c r="L83" s="3">
        <f>INDEX(Проверки!$G:$G, ROW())</f>
        <v/>
      </c>
    </row>
    <row r="84">
      <c r="A84" s="3" t="n"/>
      <c r="B84" s="4" t="n"/>
      <c r="C84" s="3" t="n"/>
      <c r="D84" s="4" t="n"/>
      <c r="E84" s="3" t="n"/>
      <c r="F84" s="3" t="n"/>
      <c r="G84" s="3" t="n"/>
      <c r="H84" s="4" t="n"/>
      <c r="I84" s="4" t="n"/>
      <c r="J84" s="3">
        <f>INDEX(Проверки!$F:$F, ROW())</f>
        <v/>
      </c>
      <c r="K84" s="3">
        <f>INDEX(Проверки!$D:$D, ROW())</f>
        <v/>
      </c>
      <c r="L84" s="3">
        <f>INDEX(Проверки!$G:$G, ROW())</f>
        <v/>
      </c>
    </row>
    <row r="85">
      <c r="A85" s="3" t="n"/>
      <c r="B85" s="4" t="n"/>
      <c r="C85" s="3" t="n"/>
      <c r="D85" s="4" t="n"/>
      <c r="E85" s="3" t="n"/>
      <c r="F85" s="3" t="n"/>
      <c r="G85" s="3" t="n"/>
      <c r="H85" s="4" t="n"/>
      <c r="I85" s="4" t="n"/>
      <c r="J85" s="3">
        <f>INDEX(Проверки!$F:$F, ROW())</f>
        <v/>
      </c>
      <c r="K85" s="3">
        <f>INDEX(Проверки!$D:$D, ROW())</f>
        <v/>
      </c>
      <c r="L85" s="3">
        <f>INDEX(Проверки!$G:$G, ROW())</f>
        <v/>
      </c>
    </row>
    <row r="86">
      <c r="A86" s="3" t="n"/>
      <c r="B86" s="4" t="n"/>
      <c r="C86" s="3" t="n"/>
      <c r="D86" s="4" t="n"/>
      <c r="E86" s="3" t="n"/>
      <c r="F86" s="3" t="n"/>
      <c r="G86" s="3" t="n"/>
      <c r="H86" s="4" t="n"/>
      <c r="I86" s="4" t="n"/>
      <c r="J86" s="3">
        <f>INDEX(Проверки!$F:$F, ROW())</f>
        <v/>
      </c>
      <c r="K86" s="3">
        <f>INDEX(Проверки!$D:$D, ROW())</f>
        <v/>
      </c>
      <c r="L86" s="3">
        <f>INDEX(Проверки!$G:$G, ROW())</f>
        <v/>
      </c>
    </row>
    <row r="87">
      <c r="A87" s="3" t="n"/>
      <c r="B87" s="4" t="n"/>
      <c r="C87" s="3" t="n"/>
      <c r="D87" s="4" t="n"/>
      <c r="E87" s="3" t="n"/>
      <c r="F87" s="3" t="n"/>
      <c r="G87" s="3" t="n"/>
      <c r="H87" s="4" t="n"/>
      <c r="I87" s="4" t="n"/>
      <c r="J87" s="3">
        <f>INDEX(Проверки!$F:$F, ROW())</f>
        <v/>
      </c>
      <c r="K87" s="3">
        <f>INDEX(Проверки!$D:$D, ROW())</f>
        <v/>
      </c>
      <c r="L87" s="3">
        <f>INDEX(Проверки!$G:$G, ROW())</f>
        <v/>
      </c>
    </row>
    <row r="88">
      <c r="A88" s="3" t="n"/>
      <c r="B88" s="4" t="n"/>
      <c r="C88" s="3" t="n"/>
      <c r="D88" s="4" t="n"/>
      <c r="E88" s="3" t="n"/>
      <c r="F88" s="3" t="n"/>
      <c r="G88" s="3" t="n"/>
      <c r="H88" s="4" t="n"/>
      <c r="I88" s="4" t="n"/>
      <c r="J88" s="3">
        <f>INDEX(Проверки!$F:$F, ROW())</f>
        <v/>
      </c>
      <c r="K88" s="3">
        <f>INDEX(Проверки!$D:$D, ROW())</f>
        <v/>
      </c>
      <c r="L88" s="3">
        <f>INDEX(Проверки!$G:$G, ROW())</f>
        <v/>
      </c>
    </row>
    <row r="89">
      <c r="A89" s="3" t="n"/>
      <c r="B89" s="4" t="n"/>
      <c r="C89" s="3" t="n"/>
      <c r="D89" s="4" t="n"/>
      <c r="E89" s="3" t="n"/>
      <c r="F89" s="3" t="n"/>
      <c r="G89" s="3" t="n"/>
      <c r="H89" s="4" t="n"/>
      <c r="I89" s="4" t="n"/>
      <c r="J89" s="3">
        <f>INDEX(Проверки!$F:$F, ROW())</f>
        <v/>
      </c>
      <c r="K89" s="3">
        <f>INDEX(Проверки!$D:$D, ROW())</f>
        <v/>
      </c>
      <c r="L89" s="3">
        <f>INDEX(Проверки!$G:$G, ROW())</f>
        <v/>
      </c>
    </row>
    <row r="90">
      <c r="A90" s="3" t="n"/>
      <c r="B90" s="4" t="n"/>
      <c r="C90" s="3" t="n"/>
      <c r="D90" s="4" t="n"/>
      <c r="E90" s="3" t="n"/>
      <c r="F90" s="3" t="n"/>
      <c r="G90" s="3" t="n"/>
      <c r="H90" s="4" t="n"/>
      <c r="I90" s="4" t="n"/>
      <c r="J90" s="3">
        <f>INDEX(Проверки!$F:$F, ROW())</f>
        <v/>
      </c>
      <c r="K90" s="3">
        <f>INDEX(Проверки!$D:$D, ROW())</f>
        <v/>
      </c>
      <c r="L90" s="3">
        <f>INDEX(Проверки!$G:$G, ROW())</f>
        <v/>
      </c>
    </row>
    <row r="91">
      <c r="A91" s="3" t="n"/>
      <c r="B91" s="4" t="n"/>
      <c r="C91" s="3" t="n"/>
      <c r="D91" s="4" t="n"/>
      <c r="E91" s="3" t="n"/>
      <c r="F91" s="3" t="n"/>
      <c r="G91" s="3" t="n"/>
      <c r="H91" s="4" t="n"/>
      <c r="I91" s="4" t="n"/>
      <c r="J91" s="3">
        <f>INDEX(Проверки!$F:$F, ROW())</f>
        <v/>
      </c>
      <c r="K91" s="3">
        <f>INDEX(Проверки!$D:$D, ROW())</f>
        <v/>
      </c>
      <c r="L91" s="3">
        <f>INDEX(Проверки!$G:$G, ROW())</f>
        <v/>
      </c>
    </row>
    <row r="92">
      <c r="A92" s="3" t="n"/>
      <c r="B92" s="4" t="n"/>
      <c r="C92" s="3" t="n"/>
      <c r="D92" s="4" t="n"/>
      <c r="E92" s="3" t="n"/>
      <c r="F92" s="3" t="n"/>
      <c r="G92" s="3" t="n"/>
      <c r="H92" s="4" t="n"/>
      <c r="I92" s="4" t="n"/>
      <c r="J92" s="3">
        <f>INDEX(Проверки!$F:$F, ROW())</f>
        <v/>
      </c>
      <c r="K92" s="3">
        <f>INDEX(Проверки!$D:$D, ROW())</f>
        <v/>
      </c>
      <c r="L92" s="3">
        <f>INDEX(Проверки!$G:$G, ROW())</f>
        <v/>
      </c>
    </row>
    <row r="93">
      <c r="A93" s="3" t="n"/>
      <c r="B93" s="4" t="n"/>
      <c r="C93" s="3" t="n"/>
      <c r="D93" s="4" t="n"/>
      <c r="E93" s="3" t="n"/>
      <c r="F93" s="3" t="n"/>
      <c r="G93" s="3" t="n"/>
      <c r="H93" s="4" t="n"/>
      <c r="I93" s="4" t="n"/>
      <c r="J93" s="3">
        <f>INDEX(Проверки!$F:$F, ROW())</f>
        <v/>
      </c>
      <c r="K93" s="3">
        <f>INDEX(Проверки!$D:$D, ROW())</f>
        <v/>
      </c>
      <c r="L93" s="3">
        <f>INDEX(Проверки!$G:$G, ROW())</f>
        <v/>
      </c>
    </row>
    <row r="94">
      <c r="A94" s="3" t="n"/>
      <c r="B94" s="4" t="n"/>
      <c r="C94" s="3" t="n"/>
      <c r="D94" s="4" t="n"/>
      <c r="E94" s="3" t="n"/>
      <c r="F94" s="3" t="n"/>
      <c r="G94" s="3" t="n"/>
      <c r="H94" s="4" t="n"/>
      <c r="I94" s="4" t="n"/>
      <c r="J94" s="3">
        <f>INDEX(Проверки!$F:$F, ROW())</f>
        <v/>
      </c>
      <c r="K94" s="3">
        <f>INDEX(Проверки!$D:$D, ROW())</f>
        <v/>
      </c>
      <c r="L94" s="3">
        <f>INDEX(Проверки!$G:$G, ROW())</f>
        <v/>
      </c>
    </row>
    <row r="95">
      <c r="A95" s="3" t="n"/>
      <c r="B95" s="4" t="n"/>
      <c r="C95" s="3" t="n"/>
      <c r="D95" s="4" t="n"/>
      <c r="E95" s="3" t="n"/>
      <c r="F95" s="3" t="n"/>
      <c r="G95" s="3" t="n"/>
      <c r="H95" s="4" t="n"/>
      <c r="I95" s="4" t="n"/>
      <c r="J95" s="3">
        <f>INDEX(Проверки!$F:$F, ROW())</f>
        <v/>
      </c>
      <c r="K95" s="3">
        <f>INDEX(Проверки!$D:$D, ROW())</f>
        <v/>
      </c>
      <c r="L95" s="3">
        <f>INDEX(Проверки!$G:$G, ROW())</f>
        <v/>
      </c>
    </row>
    <row r="96">
      <c r="A96" s="3" t="n"/>
      <c r="B96" s="4" t="n"/>
      <c r="C96" s="3" t="n"/>
      <c r="D96" s="4" t="n"/>
      <c r="E96" s="3" t="n"/>
      <c r="F96" s="3" t="n"/>
      <c r="G96" s="3" t="n"/>
      <c r="H96" s="4" t="n"/>
      <c r="I96" s="4" t="n"/>
      <c r="J96" s="3">
        <f>INDEX(Проверки!$F:$F, ROW())</f>
        <v/>
      </c>
      <c r="K96" s="3">
        <f>INDEX(Проверки!$D:$D, ROW())</f>
        <v/>
      </c>
      <c r="L96" s="3">
        <f>INDEX(Проверки!$G:$G, ROW())</f>
        <v/>
      </c>
    </row>
    <row r="97">
      <c r="A97" s="3" t="n"/>
      <c r="B97" s="4" t="n"/>
      <c r="C97" s="3" t="n"/>
      <c r="D97" s="4" t="n"/>
      <c r="E97" s="3" t="n"/>
      <c r="F97" s="3" t="n"/>
      <c r="G97" s="3" t="n"/>
      <c r="H97" s="4" t="n"/>
      <c r="I97" s="4" t="n"/>
      <c r="J97" s="3">
        <f>INDEX(Проверки!$F:$F, ROW())</f>
        <v/>
      </c>
      <c r="K97" s="3">
        <f>INDEX(Проверки!$D:$D, ROW())</f>
        <v/>
      </c>
      <c r="L97" s="3">
        <f>INDEX(Проверки!$G:$G, ROW())</f>
        <v/>
      </c>
    </row>
    <row r="98">
      <c r="A98" s="3" t="n"/>
      <c r="B98" s="4" t="n"/>
      <c r="C98" s="3" t="n"/>
      <c r="D98" s="4" t="n"/>
      <c r="E98" s="3" t="n"/>
      <c r="F98" s="3" t="n"/>
      <c r="G98" s="3" t="n"/>
      <c r="H98" s="4" t="n"/>
      <c r="I98" s="4" t="n"/>
      <c r="J98" s="3">
        <f>INDEX(Проверки!$F:$F, ROW())</f>
        <v/>
      </c>
      <c r="K98" s="3">
        <f>INDEX(Проверки!$D:$D, ROW())</f>
        <v/>
      </c>
      <c r="L98" s="3">
        <f>INDEX(Проверки!$G:$G, ROW())</f>
        <v/>
      </c>
    </row>
    <row r="99">
      <c r="A99" s="3" t="n"/>
      <c r="B99" s="4" t="n"/>
      <c r="C99" s="3" t="n"/>
      <c r="D99" s="4" t="n"/>
      <c r="E99" s="3" t="n"/>
      <c r="F99" s="3" t="n"/>
      <c r="G99" s="3" t="n"/>
      <c r="H99" s="4" t="n"/>
      <c r="I99" s="4" t="n"/>
      <c r="J99" s="3">
        <f>INDEX(Проверки!$F:$F, ROW())</f>
        <v/>
      </c>
      <c r="K99" s="3">
        <f>INDEX(Проверки!$D:$D, ROW())</f>
        <v/>
      </c>
      <c r="L99" s="3">
        <f>INDEX(Проверки!$G:$G, ROW())</f>
        <v/>
      </c>
    </row>
    <row r="100">
      <c r="A100" s="3" t="n"/>
      <c r="B100" s="4" t="n"/>
      <c r="C100" s="3" t="n"/>
      <c r="D100" s="4" t="n"/>
      <c r="E100" s="3" t="n"/>
      <c r="F100" s="3" t="n"/>
      <c r="G100" s="3" t="n"/>
      <c r="H100" s="4" t="n"/>
      <c r="I100" s="4" t="n"/>
      <c r="J100" s="3">
        <f>INDEX(Проверки!$F:$F, ROW())</f>
        <v/>
      </c>
      <c r="K100" s="3">
        <f>INDEX(Проверки!$D:$D, ROW())</f>
        <v/>
      </c>
      <c r="L100" s="3">
        <f>INDEX(Проверки!$G:$G, ROW())</f>
        <v/>
      </c>
    </row>
    <row r="101">
      <c r="A101" s="3" t="n"/>
      <c r="B101" s="4" t="n"/>
      <c r="C101" s="3" t="n"/>
      <c r="D101" s="4" t="n"/>
      <c r="E101" s="3" t="n"/>
      <c r="F101" s="3" t="n"/>
      <c r="G101" s="3" t="n"/>
      <c r="H101" s="4" t="n"/>
      <c r="I101" s="4" t="n"/>
      <c r="J101" s="3">
        <f>INDEX(Проверки!$F:$F, ROW())</f>
        <v/>
      </c>
      <c r="K101" s="3">
        <f>INDEX(Проверки!$D:$D, ROW())</f>
        <v/>
      </c>
      <c r="L101" s="3">
        <f>INDEX(Проверки!$G:$G, ROW())</f>
        <v/>
      </c>
    </row>
    <row r="102">
      <c r="A102" s="3" t="n"/>
      <c r="B102" s="4" t="n"/>
      <c r="C102" s="3" t="n"/>
      <c r="D102" s="4" t="n"/>
      <c r="E102" s="3" t="n"/>
      <c r="F102" s="3" t="n"/>
      <c r="G102" s="3" t="n"/>
      <c r="H102" s="4" t="n"/>
      <c r="I102" s="4" t="n"/>
      <c r="J102" s="3">
        <f>INDEX(Проверки!$F:$F, ROW())</f>
        <v/>
      </c>
      <c r="K102" s="3">
        <f>INDEX(Проверки!$D:$D, ROW())</f>
        <v/>
      </c>
      <c r="L102" s="3">
        <f>INDEX(Проверки!$G:$G, ROW())</f>
        <v/>
      </c>
    </row>
    <row r="103">
      <c r="A103" s="3" t="n"/>
      <c r="B103" s="4" t="n"/>
      <c r="C103" s="3" t="n"/>
      <c r="D103" s="4" t="n"/>
      <c r="E103" s="3" t="n"/>
      <c r="F103" s="3" t="n"/>
      <c r="G103" s="3" t="n"/>
      <c r="H103" s="4" t="n"/>
      <c r="I103" s="4" t="n"/>
      <c r="J103" s="3">
        <f>INDEX(Проверки!$F:$F, ROW())</f>
        <v/>
      </c>
      <c r="K103" s="3">
        <f>INDEX(Проверки!$D:$D, ROW())</f>
        <v/>
      </c>
      <c r="L103" s="3">
        <f>INDEX(Проверки!$G:$G, ROW())</f>
        <v/>
      </c>
    </row>
    <row r="104">
      <c r="A104" s="3" t="n"/>
      <c r="B104" s="4" t="n"/>
      <c r="C104" s="3" t="n"/>
      <c r="D104" s="4" t="n"/>
      <c r="E104" s="3" t="n"/>
      <c r="F104" s="3" t="n"/>
      <c r="G104" s="3" t="n"/>
      <c r="H104" s="4" t="n"/>
      <c r="I104" s="4" t="n"/>
      <c r="J104" s="3">
        <f>INDEX(Проверки!$F:$F, ROW())</f>
        <v/>
      </c>
      <c r="K104" s="3">
        <f>INDEX(Проверки!$D:$D, ROW())</f>
        <v/>
      </c>
      <c r="L104" s="3">
        <f>INDEX(Проверки!$G:$G, ROW())</f>
        <v/>
      </c>
    </row>
    <row r="105">
      <c r="A105" s="3" t="n"/>
      <c r="B105" s="4" t="n"/>
      <c r="C105" s="3" t="n"/>
      <c r="D105" s="4" t="n"/>
      <c r="E105" s="3" t="n"/>
      <c r="F105" s="3" t="n"/>
      <c r="G105" s="3" t="n"/>
      <c r="H105" s="4" t="n"/>
      <c r="I105" s="4" t="n"/>
      <c r="J105" s="3">
        <f>INDEX(Проверки!$F:$F, ROW())</f>
        <v/>
      </c>
      <c r="K105" s="3">
        <f>INDEX(Проверки!$D:$D, ROW())</f>
        <v/>
      </c>
      <c r="L105" s="3">
        <f>INDEX(Проверки!$G:$G, ROW())</f>
        <v/>
      </c>
    </row>
    <row r="106">
      <c r="A106" s="3" t="n"/>
      <c r="B106" s="4" t="n"/>
      <c r="C106" s="3" t="n"/>
      <c r="D106" s="4" t="n"/>
      <c r="E106" s="3" t="n"/>
      <c r="F106" s="3" t="n"/>
      <c r="G106" s="3" t="n"/>
      <c r="H106" s="4" t="n"/>
      <c r="I106" s="4" t="n"/>
      <c r="J106" s="3">
        <f>INDEX(Проверки!$F:$F, ROW())</f>
        <v/>
      </c>
      <c r="K106" s="3">
        <f>INDEX(Проверки!$D:$D, ROW())</f>
        <v/>
      </c>
      <c r="L106" s="3">
        <f>INDEX(Проверки!$G:$G, ROW())</f>
        <v/>
      </c>
    </row>
    <row r="107">
      <c r="A107" s="3" t="n"/>
      <c r="B107" s="4" t="n"/>
      <c r="C107" s="3" t="n"/>
      <c r="D107" s="4" t="n"/>
      <c r="E107" s="3" t="n"/>
      <c r="F107" s="3" t="n"/>
      <c r="G107" s="3" t="n"/>
      <c r="H107" s="4" t="n"/>
      <c r="I107" s="4" t="n"/>
      <c r="J107" s="3">
        <f>INDEX(Проверки!$F:$F, ROW())</f>
        <v/>
      </c>
      <c r="K107" s="3">
        <f>INDEX(Проверки!$D:$D, ROW())</f>
        <v/>
      </c>
      <c r="L107" s="3">
        <f>INDEX(Проверки!$G:$G, ROW())</f>
        <v/>
      </c>
    </row>
    <row r="108">
      <c r="A108" s="3" t="n"/>
      <c r="B108" s="4" t="n"/>
      <c r="C108" s="3" t="n"/>
      <c r="D108" s="4" t="n"/>
      <c r="E108" s="3" t="n"/>
      <c r="F108" s="3" t="n"/>
      <c r="G108" s="3" t="n"/>
      <c r="H108" s="4" t="n"/>
      <c r="I108" s="4" t="n"/>
      <c r="J108" s="3">
        <f>INDEX(Проверки!$F:$F, ROW())</f>
        <v/>
      </c>
      <c r="K108" s="3">
        <f>INDEX(Проверки!$D:$D, ROW())</f>
        <v/>
      </c>
      <c r="L108" s="3">
        <f>INDEX(Проверки!$G:$G, ROW())</f>
        <v/>
      </c>
    </row>
    <row r="109">
      <c r="A109" s="3" t="n"/>
      <c r="B109" s="4" t="n"/>
      <c r="C109" s="3" t="n"/>
      <c r="D109" s="4" t="n"/>
      <c r="E109" s="3" t="n"/>
      <c r="F109" s="3" t="n"/>
      <c r="G109" s="3" t="n"/>
      <c r="H109" s="4" t="n"/>
      <c r="I109" s="4" t="n"/>
      <c r="J109" s="3">
        <f>INDEX(Проверки!$F:$F, ROW())</f>
        <v/>
      </c>
      <c r="K109" s="3">
        <f>INDEX(Проверки!$D:$D, ROW())</f>
        <v/>
      </c>
      <c r="L109" s="3">
        <f>INDEX(Проверки!$G:$G, ROW())</f>
        <v/>
      </c>
    </row>
    <row r="110">
      <c r="A110" s="3" t="n"/>
      <c r="B110" s="4" t="n"/>
      <c r="C110" s="3" t="n"/>
      <c r="D110" s="4" t="n"/>
      <c r="E110" s="3" t="n"/>
      <c r="F110" s="3" t="n"/>
      <c r="G110" s="3" t="n"/>
      <c r="H110" s="4" t="n"/>
      <c r="I110" s="4" t="n"/>
      <c r="J110" s="3">
        <f>INDEX(Проверки!$F:$F, ROW())</f>
        <v/>
      </c>
      <c r="K110" s="3">
        <f>INDEX(Проверки!$D:$D, ROW())</f>
        <v/>
      </c>
      <c r="L110" s="3">
        <f>INDEX(Проверки!$G:$G, ROW())</f>
        <v/>
      </c>
    </row>
    <row r="111">
      <c r="A111" s="3" t="n"/>
      <c r="B111" s="4" t="n"/>
      <c r="C111" s="3" t="n"/>
      <c r="D111" s="4" t="n"/>
      <c r="E111" s="3" t="n"/>
      <c r="F111" s="3" t="n"/>
      <c r="G111" s="3" t="n"/>
      <c r="H111" s="4" t="n"/>
      <c r="I111" s="4" t="n"/>
      <c r="J111" s="3">
        <f>INDEX(Проверки!$F:$F, ROW())</f>
        <v/>
      </c>
      <c r="K111" s="3">
        <f>INDEX(Проверки!$D:$D, ROW())</f>
        <v/>
      </c>
      <c r="L111" s="3">
        <f>INDEX(Проверки!$G:$G, ROW())</f>
        <v/>
      </c>
    </row>
    <row r="112">
      <c r="A112" s="3" t="n"/>
      <c r="B112" s="4" t="n"/>
      <c r="C112" s="3" t="n"/>
      <c r="D112" s="4" t="n"/>
      <c r="E112" s="3" t="n"/>
      <c r="F112" s="3" t="n"/>
      <c r="G112" s="3" t="n"/>
      <c r="H112" s="4" t="n"/>
      <c r="I112" s="4" t="n"/>
      <c r="J112" s="3">
        <f>INDEX(Проверки!$F:$F, ROW())</f>
        <v/>
      </c>
      <c r="K112" s="3">
        <f>INDEX(Проверки!$D:$D, ROW())</f>
        <v/>
      </c>
      <c r="L112" s="3">
        <f>INDEX(Проверки!$G:$G, ROW())</f>
        <v/>
      </c>
    </row>
    <row r="113">
      <c r="A113" s="3" t="n"/>
      <c r="B113" s="4" t="n"/>
      <c r="C113" s="3" t="n"/>
      <c r="D113" s="4" t="n"/>
      <c r="E113" s="3" t="n"/>
      <c r="F113" s="3" t="n"/>
      <c r="G113" s="3" t="n"/>
      <c r="H113" s="4" t="n"/>
      <c r="I113" s="4" t="n"/>
      <c r="J113" s="3">
        <f>INDEX(Проверки!$F:$F, ROW())</f>
        <v/>
      </c>
      <c r="K113" s="3">
        <f>INDEX(Проверки!$D:$D, ROW())</f>
        <v/>
      </c>
      <c r="L113" s="3">
        <f>INDEX(Проверки!$G:$G, ROW())</f>
        <v/>
      </c>
    </row>
    <row r="114">
      <c r="A114" s="3" t="n"/>
      <c r="B114" s="4" t="n"/>
      <c r="C114" s="3" t="n"/>
      <c r="D114" s="4" t="n"/>
      <c r="E114" s="3" t="n"/>
      <c r="F114" s="3" t="n"/>
      <c r="G114" s="3" t="n"/>
      <c r="H114" s="4" t="n"/>
      <c r="I114" s="4" t="n"/>
      <c r="J114" s="3">
        <f>INDEX(Проверки!$F:$F, ROW())</f>
        <v/>
      </c>
      <c r="K114" s="3">
        <f>INDEX(Проверки!$D:$D, ROW())</f>
        <v/>
      </c>
      <c r="L114" s="3">
        <f>INDEX(Проверки!$G:$G, ROW())</f>
        <v/>
      </c>
    </row>
    <row r="115">
      <c r="A115" s="3" t="n"/>
      <c r="B115" s="4" t="n"/>
      <c r="C115" s="3" t="n"/>
      <c r="D115" s="4" t="n"/>
      <c r="E115" s="3" t="n"/>
      <c r="F115" s="3" t="n"/>
      <c r="G115" s="3" t="n"/>
      <c r="H115" s="4" t="n"/>
      <c r="I115" s="4" t="n"/>
      <c r="J115" s="3">
        <f>INDEX(Проверки!$F:$F, ROW())</f>
        <v/>
      </c>
      <c r="K115" s="3">
        <f>INDEX(Проверки!$D:$D, ROW())</f>
        <v/>
      </c>
      <c r="L115" s="3">
        <f>INDEX(Проверки!$G:$G, ROW())</f>
        <v/>
      </c>
    </row>
    <row r="116">
      <c r="A116" s="3" t="n"/>
      <c r="B116" s="4" t="n"/>
      <c r="C116" s="3" t="n"/>
      <c r="D116" s="4" t="n"/>
      <c r="E116" s="3" t="n"/>
      <c r="F116" s="3" t="n"/>
      <c r="G116" s="3" t="n"/>
      <c r="H116" s="4" t="n"/>
      <c r="I116" s="4" t="n"/>
      <c r="J116" s="3">
        <f>INDEX(Проверки!$F:$F, ROW())</f>
        <v/>
      </c>
      <c r="K116" s="3">
        <f>INDEX(Проверки!$D:$D, ROW())</f>
        <v/>
      </c>
      <c r="L116" s="3">
        <f>INDEX(Проверки!$G:$G, ROW())</f>
        <v/>
      </c>
    </row>
    <row r="117">
      <c r="A117" s="3" t="n"/>
      <c r="B117" s="4" t="n"/>
      <c r="C117" s="3" t="n"/>
      <c r="D117" s="4" t="n"/>
      <c r="E117" s="3" t="n"/>
      <c r="F117" s="3" t="n"/>
      <c r="G117" s="3" t="n"/>
      <c r="H117" s="4" t="n"/>
      <c r="I117" s="4" t="n"/>
      <c r="J117" s="3">
        <f>INDEX(Проверки!$F:$F, ROW())</f>
        <v/>
      </c>
      <c r="K117" s="3">
        <f>INDEX(Проверки!$D:$D, ROW())</f>
        <v/>
      </c>
      <c r="L117" s="3">
        <f>INDEX(Проверки!$G:$G, ROW())</f>
        <v/>
      </c>
    </row>
    <row r="118">
      <c r="A118" s="3" t="n"/>
      <c r="B118" s="4" t="n"/>
      <c r="C118" s="3" t="n"/>
      <c r="D118" s="4" t="n"/>
      <c r="E118" s="3" t="n"/>
      <c r="F118" s="3" t="n"/>
      <c r="G118" s="3" t="n"/>
      <c r="H118" s="4" t="n"/>
      <c r="I118" s="4" t="n"/>
      <c r="J118" s="3">
        <f>INDEX(Проверки!$F:$F, ROW())</f>
        <v/>
      </c>
      <c r="K118" s="3">
        <f>INDEX(Проверки!$D:$D, ROW())</f>
        <v/>
      </c>
      <c r="L118" s="3">
        <f>INDEX(Проверки!$G:$G, ROW())</f>
        <v/>
      </c>
    </row>
    <row r="119">
      <c r="A119" s="3" t="n"/>
      <c r="B119" s="4" t="n"/>
      <c r="C119" s="3" t="n"/>
      <c r="D119" s="4" t="n"/>
      <c r="E119" s="3" t="n"/>
      <c r="F119" s="3" t="n"/>
      <c r="G119" s="3" t="n"/>
      <c r="H119" s="4" t="n"/>
      <c r="I119" s="4" t="n"/>
      <c r="J119" s="3">
        <f>INDEX(Проверки!$F:$F, ROW())</f>
        <v/>
      </c>
      <c r="K119" s="3">
        <f>INDEX(Проверки!$D:$D, ROW())</f>
        <v/>
      </c>
      <c r="L119" s="3">
        <f>INDEX(Проверки!$G:$G, ROW())</f>
        <v/>
      </c>
    </row>
    <row r="120">
      <c r="A120" s="3" t="n"/>
      <c r="B120" s="4" t="n"/>
      <c r="C120" s="3" t="n"/>
      <c r="D120" s="4" t="n"/>
      <c r="E120" s="3" t="n"/>
      <c r="F120" s="3" t="n"/>
      <c r="G120" s="3" t="n"/>
      <c r="H120" s="4" t="n"/>
      <c r="I120" s="4" t="n"/>
      <c r="J120" s="3">
        <f>INDEX(Проверки!$F:$F, ROW())</f>
        <v/>
      </c>
      <c r="K120" s="3">
        <f>INDEX(Проверки!$D:$D, ROW())</f>
        <v/>
      </c>
      <c r="L120" s="3">
        <f>INDEX(Проверки!$G:$G, ROW())</f>
        <v/>
      </c>
    </row>
    <row r="121">
      <c r="A121" s="3" t="n"/>
      <c r="B121" s="4" t="n"/>
      <c r="C121" s="3" t="n"/>
      <c r="D121" s="4" t="n"/>
      <c r="E121" s="3" t="n"/>
      <c r="F121" s="3" t="n"/>
      <c r="G121" s="3" t="n"/>
      <c r="H121" s="4" t="n"/>
      <c r="I121" s="4" t="n"/>
      <c r="J121" s="3">
        <f>INDEX(Проверки!$F:$F, ROW())</f>
        <v/>
      </c>
      <c r="K121" s="3">
        <f>INDEX(Проверки!$D:$D, ROW())</f>
        <v/>
      </c>
      <c r="L121" s="3">
        <f>INDEX(Проверки!$G:$G, ROW())</f>
        <v/>
      </c>
    </row>
    <row r="122">
      <c r="A122" s="3" t="n"/>
      <c r="B122" s="4" t="n"/>
      <c r="C122" s="3" t="n"/>
      <c r="D122" s="4" t="n"/>
      <c r="E122" s="3" t="n"/>
      <c r="F122" s="3" t="n"/>
      <c r="G122" s="3" t="n"/>
      <c r="H122" s="4" t="n"/>
      <c r="I122" s="4" t="n"/>
      <c r="J122" s="3">
        <f>INDEX(Проверки!$F:$F, ROW())</f>
        <v/>
      </c>
      <c r="K122" s="3">
        <f>INDEX(Проверки!$D:$D, ROW())</f>
        <v/>
      </c>
      <c r="L122" s="3">
        <f>INDEX(Проверки!$G:$G, ROW())</f>
        <v/>
      </c>
    </row>
    <row r="123">
      <c r="A123" s="3" t="n"/>
      <c r="B123" s="4" t="n"/>
      <c r="C123" s="3" t="n"/>
      <c r="D123" s="4" t="n"/>
      <c r="E123" s="3" t="n"/>
      <c r="F123" s="3" t="n"/>
      <c r="G123" s="3" t="n"/>
      <c r="H123" s="4" t="n"/>
      <c r="I123" s="4" t="n"/>
      <c r="J123" s="3">
        <f>INDEX(Проверки!$F:$F, ROW())</f>
        <v/>
      </c>
      <c r="K123" s="3">
        <f>INDEX(Проверки!$D:$D, ROW())</f>
        <v/>
      </c>
      <c r="L123" s="3">
        <f>INDEX(Проверки!$G:$G, ROW())</f>
        <v/>
      </c>
    </row>
    <row r="124">
      <c r="A124" s="3" t="n"/>
      <c r="B124" s="4" t="n"/>
      <c r="C124" s="3" t="n"/>
      <c r="D124" s="4" t="n"/>
      <c r="E124" s="3" t="n"/>
      <c r="F124" s="3" t="n"/>
      <c r="G124" s="3" t="n"/>
      <c r="H124" s="4" t="n"/>
      <c r="I124" s="4" t="n"/>
      <c r="J124" s="3">
        <f>INDEX(Проверки!$F:$F, ROW())</f>
        <v/>
      </c>
      <c r="K124" s="3">
        <f>INDEX(Проверки!$D:$D, ROW())</f>
        <v/>
      </c>
      <c r="L124" s="3">
        <f>INDEX(Проверки!$G:$G, ROW())</f>
        <v/>
      </c>
    </row>
    <row r="125">
      <c r="A125" s="3" t="n"/>
      <c r="B125" s="4" t="n"/>
      <c r="C125" s="3" t="n"/>
      <c r="D125" s="4" t="n"/>
      <c r="E125" s="3" t="n"/>
      <c r="F125" s="3" t="n"/>
      <c r="G125" s="3" t="n"/>
      <c r="H125" s="4" t="n"/>
      <c r="I125" s="4" t="n"/>
      <c r="J125" s="3">
        <f>INDEX(Проверки!$F:$F, ROW())</f>
        <v/>
      </c>
      <c r="K125" s="3">
        <f>INDEX(Проверки!$D:$D, ROW())</f>
        <v/>
      </c>
      <c r="L125" s="3">
        <f>INDEX(Проверки!$G:$G, ROW())</f>
        <v/>
      </c>
    </row>
    <row r="126">
      <c r="A126" s="3" t="n"/>
      <c r="B126" s="4" t="n"/>
      <c r="C126" s="3" t="n"/>
      <c r="D126" s="4" t="n"/>
      <c r="E126" s="3" t="n"/>
      <c r="F126" s="3" t="n"/>
      <c r="G126" s="3" t="n"/>
      <c r="H126" s="4" t="n"/>
      <c r="I126" s="4" t="n"/>
      <c r="J126" s="3">
        <f>INDEX(Проверки!$F:$F, ROW())</f>
        <v/>
      </c>
      <c r="K126" s="3">
        <f>INDEX(Проверки!$D:$D, ROW())</f>
        <v/>
      </c>
      <c r="L126" s="3">
        <f>INDEX(Проверки!$G:$G, ROW())</f>
        <v/>
      </c>
    </row>
    <row r="127">
      <c r="A127" s="3" t="n"/>
      <c r="B127" s="4" t="n"/>
      <c r="C127" s="3" t="n"/>
      <c r="D127" s="4" t="n"/>
      <c r="E127" s="3" t="n"/>
      <c r="F127" s="3" t="n"/>
      <c r="G127" s="3" t="n"/>
      <c r="H127" s="4" t="n"/>
      <c r="I127" s="4" t="n"/>
      <c r="J127" s="3">
        <f>INDEX(Проверки!$F:$F, ROW())</f>
        <v/>
      </c>
      <c r="K127" s="3">
        <f>INDEX(Проверки!$D:$D, ROW())</f>
        <v/>
      </c>
      <c r="L127" s="3">
        <f>INDEX(Проверки!$G:$G, ROW())</f>
        <v/>
      </c>
    </row>
    <row r="128">
      <c r="A128" s="3" t="n"/>
      <c r="B128" s="4" t="n"/>
      <c r="C128" s="3" t="n"/>
      <c r="D128" s="4" t="n"/>
      <c r="E128" s="3" t="n"/>
      <c r="F128" s="3" t="n"/>
      <c r="G128" s="3" t="n"/>
      <c r="H128" s="4" t="n"/>
      <c r="I128" s="4" t="n"/>
      <c r="J128" s="3">
        <f>INDEX(Проверки!$F:$F, ROW())</f>
        <v/>
      </c>
      <c r="K128" s="3">
        <f>INDEX(Проверки!$D:$D, ROW())</f>
        <v/>
      </c>
      <c r="L128" s="3">
        <f>INDEX(Проверки!$G:$G, ROW())</f>
        <v/>
      </c>
    </row>
    <row r="129">
      <c r="A129" s="3" t="n"/>
      <c r="B129" s="4" t="n"/>
      <c r="C129" s="3" t="n"/>
      <c r="D129" s="4" t="n"/>
      <c r="E129" s="3" t="n"/>
      <c r="F129" s="3" t="n"/>
      <c r="G129" s="3" t="n"/>
      <c r="H129" s="4" t="n"/>
      <c r="I129" s="4" t="n"/>
      <c r="J129" s="3">
        <f>INDEX(Проверки!$F:$F, ROW())</f>
        <v/>
      </c>
      <c r="K129" s="3">
        <f>INDEX(Проверки!$D:$D, ROW())</f>
        <v/>
      </c>
      <c r="L129" s="3">
        <f>INDEX(Проверки!$G:$G, ROW())</f>
        <v/>
      </c>
    </row>
    <row r="130">
      <c r="A130" s="3" t="n"/>
      <c r="B130" s="4" t="n"/>
      <c r="C130" s="3" t="n"/>
      <c r="D130" s="4" t="n"/>
      <c r="E130" s="3" t="n"/>
      <c r="F130" s="3" t="n"/>
      <c r="G130" s="3" t="n"/>
      <c r="H130" s="4" t="n"/>
      <c r="I130" s="4" t="n"/>
      <c r="J130" s="3">
        <f>INDEX(Проверки!$F:$F, ROW())</f>
        <v/>
      </c>
      <c r="K130" s="3">
        <f>INDEX(Проверки!$D:$D, ROW())</f>
        <v/>
      </c>
      <c r="L130" s="3">
        <f>INDEX(Проверки!$G:$G, ROW())</f>
        <v/>
      </c>
    </row>
    <row r="131">
      <c r="A131" s="3" t="n"/>
      <c r="B131" s="4" t="n"/>
      <c r="C131" s="3" t="n"/>
      <c r="D131" s="4" t="n"/>
      <c r="E131" s="3" t="n"/>
      <c r="F131" s="3" t="n"/>
      <c r="G131" s="3" t="n"/>
      <c r="H131" s="4" t="n"/>
      <c r="I131" s="4" t="n"/>
      <c r="J131" s="3">
        <f>INDEX(Проверки!$F:$F, ROW())</f>
        <v/>
      </c>
      <c r="K131" s="3">
        <f>INDEX(Проверки!$D:$D, ROW())</f>
        <v/>
      </c>
      <c r="L131" s="3">
        <f>INDEX(Проверки!$G:$G, ROW())</f>
        <v/>
      </c>
    </row>
    <row r="132">
      <c r="A132" s="3" t="n"/>
      <c r="B132" s="4" t="n"/>
      <c r="C132" s="3" t="n"/>
      <c r="D132" s="4" t="n"/>
      <c r="E132" s="3" t="n"/>
      <c r="F132" s="3" t="n"/>
      <c r="G132" s="3" t="n"/>
      <c r="H132" s="4" t="n"/>
      <c r="I132" s="4" t="n"/>
      <c r="J132" s="3">
        <f>INDEX(Проверки!$F:$F, ROW())</f>
        <v/>
      </c>
      <c r="K132" s="3">
        <f>INDEX(Проверки!$D:$D, ROW())</f>
        <v/>
      </c>
      <c r="L132" s="3">
        <f>INDEX(Проверки!$G:$G, ROW())</f>
        <v/>
      </c>
    </row>
    <row r="133">
      <c r="A133" s="3" t="n"/>
      <c r="B133" s="4" t="n"/>
      <c r="C133" s="3" t="n"/>
      <c r="D133" s="4" t="n"/>
      <c r="E133" s="3" t="n"/>
      <c r="F133" s="3" t="n"/>
      <c r="G133" s="3" t="n"/>
      <c r="H133" s="4" t="n"/>
      <c r="I133" s="4" t="n"/>
      <c r="J133" s="3">
        <f>INDEX(Проверки!$F:$F, ROW())</f>
        <v/>
      </c>
      <c r="K133" s="3">
        <f>INDEX(Проверки!$D:$D, ROW())</f>
        <v/>
      </c>
      <c r="L133" s="3">
        <f>INDEX(Проверки!$G:$G, ROW())</f>
        <v/>
      </c>
    </row>
    <row r="134">
      <c r="A134" s="3" t="n"/>
      <c r="B134" s="4" t="n"/>
      <c r="C134" s="3" t="n"/>
      <c r="D134" s="4" t="n"/>
      <c r="E134" s="3" t="n"/>
      <c r="F134" s="3" t="n"/>
      <c r="G134" s="3" t="n"/>
      <c r="H134" s="4" t="n"/>
      <c r="I134" s="4" t="n"/>
      <c r="J134" s="3">
        <f>INDEX(Проверки!$F:$F, ROW())</f>
        <v/>
      </c>
      <c r="K134" s="3">
        <f>INDEX(Проверки!$D:$D, ROW())</f>
        <v/>
      </c>
      <c r="L134" s="3">
        <f>INDEX(Проверки!$G:$G, ROW())</f>
        <v/>
      </c>
    </row>
    <row r="135">
      <c r="A135" s="3" t="n"/>
      <c r="B135" s="4" t="n"/>
      <c r="C135" s="3" t="n"/>
      <c r="D135" s="4" t="n"/>
      <c r="E135" s="3" t="n"/>
      <c r="F135" s="3" t="n"/>
      <c r="G135" s="3" t="n"/>
      <c r="H135" s="4" t="n"/>
      <c r="I135" s="4" t="n"/>
      <c r="J135" s="3">
        <f>INDEX(Проверки!$F:$F, ROW())</f>
        <v/>
      </c>
      <c r="K135" s="3">
        <f>INDEX(Проверки!$D:$D, ROW())</f>
        <v/>
      </c>
      <c r="L135" s="3">
        <f>INDEX(Проверки!$G:$G, ROW())</f>
        <v/>
      </c>
    </row>
    <row r="136">
      <c r="A136" s="3" t="n"/>
      <c r="B136" s="4" t="n"/>
      <c r="C136" s="3" t="n"/>
      <c r="D136" s="4" t="n"/>
      <c r="E136" s="3" t="n"/>
      <c r="F136" s="3" t="n"/>
      <c r="G136" s="3" t="n"/>
      <c r="H136" s="4" t="n"/>
      <c r="I136" s="4" t="n"/>
      <c r="J136" s="3">
        <f>INDEX(Проверки!$F:$F, ROW())</f>
        <v/>
      </c>
      <c r="K136" s="3">
        <f>INDEX(Проверки!$D:$D, ROW())</f>
        <v/>
      </c>
      <c r="L136" s="3">
        <f>INDEX(Проверки!$G:$G, ROW())</f>
        <v/>
      </c>
    </row>
    <row r="137">
      <c r="A137" s="3" t="n"/>
      <c r="B137" s="4" t="n"/>
      <c r="C137" s="3" t="n"/>
      <c r="D137" s="4" t="n"/>
      <c r="E137" s="3" t="n"/>
      <c r="F137" s="3" t="n"/>
      <c r="G137" s="3" t="n"/>
      <c r="H137" s="4" t="n"/>
      <c r="I137" s="4" t="n"/>
      <c r="J137" s="3">
        <f>INDEX(Проверки!$F:$F, ROW())</f>
        <v/>
      </c>
      <c r="K137" s="3">
        <f>INDEX(Проверки!$D:$D, ROW())</f>
        <v/>
      </c>
      <c r="L137" s="3">
        <f>INDEX(Проверки!$G:$G, ROW())</f>
        <v/>
      </c>
    </row>
    <row r="138">
      <c r="A138" s="3" t="n"/>
      <c r="B138" s="4" t="n"/>
      <c r="C138" s="3" t="n"/>
      <c r="D138" s="4" t="n"/>
      <c r="E138" s="3" t="n"/>
      <c r="F138" s="3" t="n"/>
      <c r="G138" s="3" t="n"/>
      <c r="H138" s="4" t="n"/>
      <c r="I138" s="4" t="n"/>
      <c r="J138" s="3">
        <f>INDEX(Проверки!$F:$F, ROW())</f>
        <v/>
      </c>
      <c r="K138" s="3">
        <f>INDEX(Проверки!$D:$D, ROW())</f>
        <v/>
      </c>
      <c r="L138" s="3">
        <f>INDEX(Проверки!$G:$G, ROW())</f>
        <v/>
      </c>
    </row>
    <row r="139">
      <c r="A139" s="3" t="n"/>
      <c r="B139" s="4" t="n"/>
      <c r="C139" s="3" t="n"/>
      <c r="D139" s="4" t="n"/>
      <c r="E139" s="3" t="n"/>
      <c r="F139" s="3" t="n"/>
      <c r="G139" s="3" t="n"/>
      <c r="H139" s="4" t="n"/>
      <c r="I139" s="4" t="n"/>
      <c r="J139" s="3">
        <f>INDEX(Проверки!$F:$F, ROW())</f>
        <v/>
      </c>
      <c r="K139" s="3">
        <f>INDEX(Проверки!$D:$D, ROW())</f>
        <v/>
      </c>
      <c r="L139" s="3">
        <f>INDEX(Проверки!$G:$G, ROW())</f>
        <v/>
      </c>
    </row>
    <row r="140">
      <c r="A140" s="3" t="n"/>
      <c r="B140" s="4" t="n"/>
      <c r="C140" s="3" t="n"/>
      <c r="D140" s="4" t="n"/>
      <c r="E140" s="3" t="n"/>
      <c r="F140" s="3" t="n"/>
      <c r="G140" s="3" t="n"/>
      <c r="H140" s="4" t="n"/>
      <c r="I140" s="4" t="n"/>
      <c r="J140" s="3">
        <f>INDEX(Проверки!$F:$F, ROW())</f>
        <v/>
      </c>
      <c r="K140" s="3">
        <f>INDEX(Проверки!$D:$D, ROW())</f>
        <v/>
      </c>
      <c r="L140" s="3">
        <f>INDEX(Проверки!$G:$G, ROW())</f>
        <v/>
      </c>
    </row>
    <row r="141">
      <c r="A141" s="3" t="n"/>
      <c r="B141" s="4" t="n"/>
      <c r="C141" s="3" t="n"/>
      <c r="D141" s="4" t="n"/>
      <c r="E141" s="3" t="n"/>
      <c r="F141" s="3" t="n"/>
      <c r="G141" s="3" t="n"/>
      <c r="H141" s="4" t="n"/>
      <c r="I141" s="4" t="n"/>
      <c r="J141" s="3">
        <f>INDEX(Проверки!$F:$F, ROW())</f>
        <v/>
      </c>
      <c r="K141" s="3">
        <f>INDEX(Проверки!$D:$D, ROW())</f>
        <v/>
      </c>
      <c r="L141" s="3">
        <f>INDEX(Проверки!$G:$G, ROW())</f>
        <v/>
      </c>
    </row>
    <row r="142">
      <c r="A142" s="3" t="n"/>
      <c r="B142" s="4" t="n"/>
      <c r="C142" s="3" t="n"/>
      <c r="D142" s="4" t="n"/>
      <c r="E142" s="3" t="n"/>
      <c r="F142" s="3" t="n"/>
      <c r="G142" s="3" t="n"/>
      <c r="H142" s="4" t="n"/>
      <c r="I142" s="4" t="n"/>
      <c r="J142" s="3">
        <f>INDEX(Проверки!$F:$F, ROW())</f>
        <v/>
      </c>
      <c r="K142" s="3">
        <f>INDEX(Проверки!$D:$D, ROW())</f>
        <v/>
      </c>
      <c r="L142" s="3">
        <f>INDEX(Проверки!$G:$G, ROW())</f>
        <v/>
      </c>
    </row>
    <row r="143">
      <c r="A143" s="3" t="n"/>
      <c r="B143" s="4" t="n"/>
      <c r="C143" s="3" t="n"/>
      <c r="D143" s="4" t="n"/>
      <c r="E143" s="3" t="n"/>
      <c r="F143" s="3" t="n"/>
      <c r="G143" s="3" t="n"/>
      <c r="H143" s="4" t="n"/>
      <c r="I143" s="4" t="n"/>
      <c r="J143" s="3">
        <f>INDEX(Проверки!$F:$F, ROW())</f>
        <v/>
      </c>
      <c r="K143" s="3">
        <f>INDEX(Проверки!$D:$D, ROW())</f>
        <v/>
      </c>
      <c r="L143" s="3">
        <f>INDEX(Проверки!$G:$G, ROW())</f>
        <v/>
      </c>
    </row>
    <row r="144">
      <c r="A144" s="3" t="n"/>
      <c r="B144" s="4" t="n"/>
      <c r="C144" s="3" t="n"/>
      <c r="D144" s="4" t="n"/>
      <c r="E144" s="3" t="n"/>
      <c r="F144" s="3" t="n"/>
      <c r="G144" s="3" t="n"/>
      <c r="H144" s="4" t="n"/>
      <c r="I144" s="4" t="n"/>
      <c r="J144" s="3">
        <f>INDEX(Проверки!$F:$F, ROW())</f>
        <v/>
      </c>
      <c r="K144" s="3">
        <f>INDEX(Проверки!$D:$D, ROW())</f>
        <v/>
      </c>
      <c r="L144" s="3">
        <f>INDEX(Проверки!$G:$G, ROW())</f>
        <v/>
      </c>
    </row>
    <row r="145">
      <c r="A145" s="3" t="n"/>
      <c r="B145" s="4" t="n"/>
      <c r="C145" s="3" t="n"/>
      <c r="D145" s="4" t="n"/>
      <c r="E145" s="3" t="n"/>
      <c r="F145" s="3" t="n"/>
      <c r="G145" s="3" t="n"/>
      <c r="H145" s="4" t="n"/>
      <c r="I145" s="4" t="n"/>
      <c r="J145" s="3">
        <f>INDEX(Проверки!$F:$F, ROW())</f>
        <v/>
      </c>
      <c r="K145" s="3">
        <f>INDEX(Проверки!$D:$D, ROW())</f>
        <v/>
      </c>
      <c r="L145" s="3">
        <f>INDEX(Проверки!$G:$G, ROW())</f>
        <v/>
      </c>
    </row>
    <row r="146">
      <c r="A146" s="3" t="n"/>
      <c r="B146" s="4" t="n"/>
      <c r="C146" s="3" t="n"/>
      <c r="D146" s="4" t="n"/>
      <c r="E146" s="3" t="n"/>
      <c r="F146" s="3" t="n"/>
      <c r="G146" s="3" t="n"/>
      <c r="H146" s="4" t="n"/>
      <c r="I146" s="4" t="n"/>
      <c r="J146" s="3">
        <f>INDEX(Проверки!$F:$F, ROW())</f>
        <v/>
      </c>
      <c r="K146" s="3">
        <f>INDEX(Проверки!$D:$D, ROW())</f>
        <v/>
      </c>
      <c r="L146" s="3">
        <f>INDEX(Проверки!$G:$G, ROW())</f>
        <v/>
      </c>
    </row>
    <row r="147">
      <c r="A147" s="3" t="n"/>
      <c r="B147" s="4" t="n"/>
      <c r="C147" s="3" t="n"/>
      <c r="D147" s="4" t="n"/>
      <c r="E147" s="3" t="n"/>
      <c r="F147" s="3" t="n"/>
      <c r="G147" s="3" t="n"/>
      <c r="H147" s="4" t="n"/>
      <c r="I147" s="4" t="n"/>
      <c r="J147" s="3">
        <f>INDEX(Проверки!$F:$F, ROW())</f>
        <v/>
      </c>
      <c r="K147" s="3">
        <f>INDEX(Проверки!$D:$D, ROW())</f>
        <v/>
      </c>
      <c r="L147" s="3">
        <f>INDEX(Проверки!$G:$G, ROW())</f>
        <v/>
      </c>
    </row>
    <row r="148">
      <c r="A148" s="3" t="n"/>
      <c r="B148" s="4" t="n"/>
      <c r="C148" s="3" t="n"/>
      <c r="D148" s="4" t="n"/>
      <c r="E148" s="3" t="n"/>
      <c r="F148" s="3" t="n"/>
      <c r="G148" s="3" t="n"/>
      <c r="H148" s="4" t="n"/>
      <c r="I148" s="4" t="n"/>
      <c r="J148" s="3">
        <f>INDEX(Проверки!$F:$F, ROW())</f>
        <v/>
      </c>
      <c r="K148" s="3">
        <f>INDEX(Проверки!$D:$D, ROW())</f>
        <v/>
      </c>
      <c r="L148" s="3">
        <f>INDEX(Проверки!$G:$G, ROW())</f>
        <v/>
      </c>
    </row>
    <row r="149">
      <c r="A149" s="3" t="n"/>
      <c r="B149" s="4" t="n"/>
      <c r="C149" s="3" t="n"/>
      <c r="D149" s="4" t="n"/>
      <c r="E149" s="3" t="n"/>
      <c r="F149" s="3" t="n"/>
      <c r="G149" s="3" t="n"/>
      <c r="H149" s="4" t="n"/>
      <c r="I149" s="4" t="n"/>
      <c r="J149" s="3">
        <f>INDEX(Проверки!$F:$F, ROW())</f>
        <v/>
      </c>
      <c r="K149" s="3">
        <f>INDEX(Проверки!$D:$D, ROW())</f>
        <v/>
      </c>
      <c r="L149" s="3">
        <f>INDEX(Проверки!$G:$G, ROW())</f>
        <v/>
      </c>
    </row>
    <row r="150">
      <c r="A150" s="3" t="n"/>
      <c r="B150" s="4" t="n"/>
      <c r="C150" s="3" t="n"/>
      <c r="D150" s="4" t="n"/>
      <c r="E150" s="3" t="n"/>
      <c r="F150" s="3" t="n"/>
      <c r="G150" s="3" t="n"/>
      <c r="H150" s="4" t="n"/>
      <c r="I150" s="4" t="n"/>
      <c r="J150" s="3">
        <f>INDEX(Проверки!$F:$F, ROW())</f>
        <v/>
      </c>
      <c r="K150" s="3">
        <f>INDEX(Проверки!$D:$D, ROW())</f>
        <v/>
      </c>
      <c r="L150" s="3">
        <f>INDEX(Проверки!$G:$G, ROW())</f>
        <v/>
      </c>
    </row>
    <row r="151">
      <c r="A151" s="3" t="n"/>
      <c r="B151" s="4" t="n"/>
      <c r="C151" s="3" t="n"/>
      <c r="D151" s="4" t="n"/>
      <c r="E151" s="3" t="n"/>
      <c r="F151" s="3" t="n"/>
      <c r="G151" s="3" t="n"/>
      <c r="H151" s="4" t="n"/>
      <c r="I151" s="4" t="n"/>
      <c r="J151" s="3">
        <f>INDEX(Проверки!$F:$F, ROW())</f>
        <v/>
      </c>
      <c r="K151" s="3">
        <f>INDEX(Проверки!$D:$D, ROW())</f>
        <v/>
      </c>
      <c r="L151" s="3">
        <f>INDEX(Проверки!$G:$G, ROW())</f>
        <v/>
      </c>
    </row>
    <row r="152">
      <c r="A152" s="3" t="n"/>
      <c r="B152" s="4" t="n"/>
      <c r="C152" s="3" t="n"/>
      <c r="D152" s="4" t="n"/>
      <c r="E152" s="3" t="n"/>
      <c r="F152" s="3" t="n"/>
      <c r="G152" s="3" t="n"/>
      <c r="H152" s="4" t="n"/>
      <c r="I152" s="4" t="n"/>
      <c r="J152" s="3">
        <f>INDEX(Проверки!$F:$F, ROW())</f>
        <v/>
      </c>
      <c r="K152" s="3">
        <f>INDEX(Проверки!$D:$D, ROW())</f>
        <v/>
      </c>
      <c r="L152" s="3">
        <f>INDEX(Проверки!$G:$G, ROW())</f>
        <v/>
      </c>
    </row>
    <row r="153">
      <c r="A153" s="3" t="n"/>
      <c r="B153" s="4" t="n"/>
      <c r="C153" s="3" t="n"/>
      <c r="D153" s="4" t="n"/>
      <c r="E153" s="3" t="n"/>
      <c r="F153" s="3" t="n"/>
      <c r="G153" s="3" t="n"/>
      <c r="H153" s="4" t="n"/>
      <c r="I153" s="4" t="n"/>
      <c r="J153" s="3">
        <f>INDEX(Проверки!$F:$F, ROW())</f>
        <v/>
      </c>
      <c r="K153" s="3">
        <f>INDEX(Проверки!$D:$D, ROW())</f>
        <v/>
      </c>
      <c r="L153" s="3">
        <f>INDEX(Проверки!$G:$G, ROW())</f>
        <v/>
      </c>
    </row>
    <row r="154">
      <c r="A154" s="3" t="n"/>
      <c r="B154" s="4" t="n"/>
      <c r="C154" s="3" t="n"/>
      <c r="D154" s="4" t="n"/>
      <c r="E154" s="3" t="n"/>
      <c r="F154" s="3" t="n"/>
      <c r="G154" s="3" t="n"/>
      <c r="H154" s="4" t="n"/>
      <c r="I154" s="4" t="n"/>
      <c r="J154" s="3">
        <f>INDEX(Проверки!$F:$F, ROW())</f>
        <v/>
      </c>
      <c r="K154" s="3">
        <f>INDEX(Проверки!$D:$D, ROW())</f>
        <v/>
      </c>
      <c r="L154" s="3">
        <f>INDEX(Проверки!$G:$G, ROW())</f>
        <v/>
      </c>
    </row>
    <row r="155">
      <c r="A155" s="3" t="n"/>
      <c r="B155" s="4" t="n"/>
      <c r="C155" s="3" t="n"/>
      <c r="D155" s="4" t="n"/>
      <c r="E155" s="3" t="n"/>
      <c r="F155" s="3" t="n"/>
      <c r="G155" s="3" t="n"/>
      <c r="H155" s="4" t="n"/>
      <c r="I155" s="4" t="n"/>
      <c r="J155" s="3">
        <f>INDEX(Проверки!$F:$F, ROW())</f>
        <v/>
      </c>
      <c r="K155" s="3">
        <f>INDEX(Проверки!$D:$D, ROW())</f>
        <v/>
      </c>
      <c r="L155" s="3">
        <f>INDEX(Проверки!$G:$G, ROW())</f>
        <v/>
      </c>
    </row>
    <row r="156">
      <c r="A156" s="3" t="n"/>
      <c r="B156" s="4" t="n"/>
      <c r="C156" s="3" t="n"/>
      <c r="D156" s="4" t="n"/>
      <c r="E156" s="3" t="n"/>
      <c r="F156" s="3" t="n"/>
      <c r="G156" s="3" t="n"/>
      <c r="H156" s="4" t="n"/>
      <c r="I156" s="4" t="n"/>
      <c r="J156" s="3">
        <f>INDEX(Проверки!$F:$F, ROW())</f>
        <v/>
      </c>
      <c r="K156" s="3">
        <f>INDEX(Проверки!$D:$D, ROW())</f>
        <v/>
      </c>
      <c r="L156" s="3">
        <f>INDEX(Проверки!$G:$G, ROW())</f>
        <v/>
      </c>
    </row>
    <row r="157">
      <c r="A157" s="3" t="n"/>
      <c r="B157" s="4" t="n"/>
      <c r="C157" s="3" t="n"/>
      <c r="D157" s="4" t="n"/>
      <c r="E157" s="3" t="n"/>
      <c r="F157" s="3" t="n"/>
      <c r="G157" s="3" t="n"/>
      <c r="H157" s="4" t="n"/>
      <c r="I157" s="4" t="n"/>
      <c r="J157" s="3">
        <f>INDEX(Проверки!$F:$F, ROW())</f>
        <v/>
      </c>
      <c r="K157" s="3">
        <f>INDEX(Проверки!$D:$D, ROW())</f>
        <v/>
      </c>
      <c r="L157" s="3">
        <f>INDEX(Проверки!$G:$G, ROW())</f>
        <v/>
      </c>
    </row>
    <row r="158">
      <c r="A158" s="3" t="n"/>
      <c r="B158" s="4" t="n"/>
      <c r="C158" s="3" t="n"/>
      <c r="D158" s="4" t="n"/>
      <c r="E158" s="3" t="n"/>
      <c r="F158" s="3" t="n"/>
      <c r="G158" s="3" t="n"/>
      <c r="H158" s="4" t="n"/>
      <c r="I158" s="4" t="n"/>
      <c r="J158" s="3">
        <f>INDEX(Проверки!$F:$F, ROW())</f>
        <v/>
      </c>
      <c r="K158" s="3">
        <f>INDEX(Проверки!$D:$D, ROW())</f>
        <v/>
      </c>
      <c r="L158" s="3">
        <f>INDEX(Проверки!$G:$G, ROW())</f>
        <v/>
      </c>
    </row>
    <row r="159">
      <c r="A159" s="3" t="n"/>
      <c r="B159" s="4" t="n"/>
      <c r="C159" s="3" t="n"/>
      <c r="D159" s="4" t="n"/>
      <c r="E159" s="3" t="n"/>
      <c r="F159" s="3" t="n"/>
      <c r="G159" s="3" t="n"/>
      <c r="H159" s="4" t="n"/>
      <c r="I159" s="4" t="n"/>
      <c r="J159" s="3">
        <f>INDEX(Проверки!$F:$F, ROW())</f>
        <v/>
      </c>
      <c r="K159" s="3">
        <f>INDEX(Проверки!$D:$D, ROW())</f>
        <v/>
      </c>
      <c r="L159" s="3">
        <f>INDEX(Проверки!$G:$G, ROW())</f>
        <v/>
      </c>
    </row>
    <row r="160">
      <c r="A160" s="3" t="n"/>
      <c r="B160" s="4" t="n"/>
      <c r="C160" s="3" t="n"/>
      <c r="D160" s="4" t="n"/>
      <c r="E160" s="3" t="n"/>
      <c r="F160" s="3" t="n"/>
      <c r="G160" s="3" t="n"/>
      <c r="H160" s="4" t="n"/>
      <c r="I160" s="4" t="n"/>
      <c r="J160" s="3">
        <f>INDEX(Проверки!$F:$F, ROW())</f>
        <v/>
      </c>
      <c r="K160" s="3">
        <f>INDEX(Проверки!$D:$D, ROW())</f>
        <v/>
      </c>
      <c r="L160" s="3">
        <f>INDEX(Проверки!$G:$G, ROW())</f>
        <v/>
      </c>
    </row>
    <row r="161">
      <c r="A161" s="3" t="n"/>
      <c r="B161" s="4" t="n"/>
      <c r="C161" s="3" t="n"/>
      <c r="D161" s="4" t="n"/>
      <c r="E161" s="3" t="n"/>
      <c r="F161" s="3" t="n"/>
      <c r="G161" s="3" t="n"/>
      <c r="H161" s="4" t="n"/>
      <c r="I161" s="4" t="n"/>
      <c r="J161" s="3">
        <f>INDEX(Проверки!$F:$F, ROW())</f>
        <v/>
      </c>
      <c r="K161" s="3">
        <f>INDEX(Проверки!$D:$D, ROW())</f>
        <v/>
      </c>
      <c r="L161" s="3">
        <f>INDEX(Проверки!$G:$G, ROW())</f>
        <v/>
      </c>
    </row>
    <row r="162">
      <c r="A162" s="3" t="n"/>
      <c r="B162" s="4" t="n"/>
      <c r="C162" s="3" t="n"/>
      <c r="D162" s="4" t="n"/>
      <c r="E162" s="3" t="n"/>
      <c r="F162" s="3" t="n"/>
      <c r="G162" s="3" t="n"/>
      <c r="H162" s="4" t="n"/>
      <c r="I162" s="4" t="n"/>
      <c r="J162" s="3">
        <f>INDEX(Проверки!$F:$F, ROW())</f>
        <v/>
      </c>
      <c r="K162" s="3">
        <f>INDEX(Проверки!$D:$D, ROW())</f>
        <v/>
      </c>
      <c r="L162" s="3">
        <f>INDEX(Проверки!$G:$G, ROW())</f>
        <v/>
      </c>
    </row>
    <row r="163">
      <c r="A163" s="3" t="n"/>
      <c r="B163" s="4" t="n"/>
      <c r="C163" s="3" t="n"/>
      <c r="D163" s="4" t="n"/>
      <c r="E163" s="3" t="n"/>
      <c r="F163" s="3" t="n"/>
      <c r="G163" s="3" t="n"/>
      <c r="H163" s="4" t="n"/>
      <c r="I163" s="4" t="n"/>
      <c r="J163" s="3">
        <f>INDEX(Проверки!$F:$F, ROW())</f>
        <v/>
      </c>
      <c r="K163" s="3">
        <f>INDEX(Проверки!$D:$D, ROW())</f>
        <v/>
      </c>
      <c r="L163" s="3">
        <f>INDEX(Проверки!$G:$G, ROW())</f>
        <v/>
      </c>
    </row>
    <row r="164">
      <c r="A164" s="3" t="n"/>
      <c r="B164" s="4" t="n"/>
      <c r="C164" s="3" t="n"/>
      <c r="D164" s="4" t="n"/>
      <c r="E164" s="3" t="n"/>
      <c r="F164" s="3" t="n"/>
      <c r="G164" s="3" t="n"/>
      <c r="H164" s="4" t="n"/>
      <c r="I164" s="4" t="n"/>
      <c r="J164" s="3">
        <f>INDEX(Проверки!$F:$F, ROW())</f>
        <v/>
      </c>
      <c r="K164" s="3">
        <f>INDEX(Проверки!$D:$D, ROW())</f>
        <v/>
      </c>
      <c r="L164" s="3">
        <f>INDEX(Проверки!$G:$G, ROW())</f>
        <v/>
      </c>
    </row>
    <row r="165">
      <c r="A165" s="3" t="n"/>
      <c r="B165" s="4" t="n"/>
      <c r="C165" s="3" t="n"/>
      <c r="D165" s="4" t="n"/>
      <c r="E165" s="3" t="n"/>
      <c r="F165" s="3" t="n"/>
      <c r="G165" s="3" t="n"/>
      <c r="H165" s="4" t="n"/>
      <c r="I165" s="4" t="n"/>
      <c r="J165" s="3">
        <f>INDEX(Проверки!$F:$F, ROW())</f>
        <v/>
      </c>
      <c r="K165" s="3">
        <f>INDEX(Проверки!$D:$D, ROW())</f>
        <v/>
      </c>
      <c r="L165" s="3">
        <f>INDEX(Проверки!$G:$G, ROW())</f>
        <v/>
      </c>
    </row>
    <row r="166">
      <c r="A166" s="3" t="n"/>
      <c r="B166" s="4" t="n"/>
      <c r="C166" s="3" t="n"/>
      <c r="D166" s="4" t="n"/>
      <c r="E166" s="3" t="n"/>
      <c r="F166" s="3" t="n"/>
      <c r="G166" s="3" t="n"/>
      <c r="H166" s="4" t="n"/>
      <c r="I166" s="4" t="n"/>
      <c r="J166" s="3">
        <f>INDEX(Проверки!$F:$F, ROW())</f>
        <v/>
      </c>
      <c r="K166" s="3">
        <f>INDEX(Проверки!$D:$D, ROW())</f>
        <v/>
      </c>
      <c r="L166" s="3">
        <f>INDEX(Проверки!$G:$G, ROW())</f>
        <v/>
      </c>
    </row>
    <row r="167">
      <c r="A167" s="3" t="n"/>
      <c r="B167" s="4" t="n"/>
      <c r="C167" s="3" t="n"/>
      <c r="D167" s="4" t="n"/>
      <c r="E167" s="3" t="n"/>
      <c r="F167" s="3" t="n"/>
      <c r="G167" s="3" t="n"/>
      <c r="H167" s="4" t="n"/>
      <c r="I167" s="4" t="n"/>
      <c r="J167" s="3">
        <f>INDEX(Проверки!$F:$F, ROW())</f>
        <v/>
      </c>
      <c r="K167" s="3">
        <f>INDEX(Проверки!$D:$D, ROW())</f>
        <v/>
      </c>
      <c r="L167" s="3">
        <f>INDEX(Проверки!$G:$G, ROW())</f>
        <v/>
      </c>
    </row>
    <row r="168">
      <c r="A168" s="3" t="n"/>
      <c r="B168" s="4" t="n"/>
      <c r="C168" s="3" t="n"/>
      <c r="D168" s="4" t="n"/>
      <c r="E168" s="3" t="n"/>
      <c r="F168" s="3" t="n"/>
      <c r="G168" s="3" t="n"/>
      <c r="H168" s="4" t="n"/>
      <c r="I168" s="4" t="n"/>
      <c r="J168" s="3">
        <f>INDEX(Проверки!$F:$F, ROW())</f>
        <v/>
      </c>
      <c r="K168" s="3">
        <f>INDEX(Проверки!$D:$D, ROW())</f>
        <v/>
      </c>
      <c r="L168" s="3">
        <f>INDEX(Проверки!$G:$G, ROW())</f>
        <v/>
      </c>
    </row>
    <row r="169">
      <c r="A169" s="3" t="n"/>
      <c r="B169" s="4" t="n"/>
      <c r="C169" s="3" t="n"/>
      <c r="D169" s="4" t="n"/>
      <c r="E169" s="3" t="n"/>
      <c r="F169" s="3" t="n"/>
      <c r="G169" s="3" t="n"/>
      <c r="H169" s="4" t="n"/>
      <c r="I169" s="4" t="n"/>
      <c r="J169" s="3">
        <f>INDEX(Проверки!$F:$F, ROW())</f>
        <v/>
      </c>
      <c r="K169" s="3">
        <f>INDEX(Проверки!$D:$D, ROW())</f>
        <v/>
      </c>
      <c r="L169" s="3">
        <f>INDEX(Проверки!$G:$G, ROW())</f>
        <v/>
      </c>
    </row>
    <row r="170">
      <c r="A170" s="3" t="n"/>
      <c r="B170" s="4" t="n"/>
      <c r="C170" s="3" t="n"/>
      <c r="D170" s="4" t="n"/>
      <c r="E170" s="3" t="n"/>
      <c r="F170" s="3" t="n"/>
      <c r="G170" s="3" t="n"/>
      <c r="H170" s="4" t="n"/>
      <c r="I170" s="4" t="n"/>
      <c r="J170" s="3">
        <f>INDEX(Проверки!$F:$F, ROW())</f>
        <v/>
      </c>
      <c r="K170" s="3">
        <f>INDEX(Проверки!$D:$D, ROW())</f>
        <v/>
      </c>
      <c r="L170" s="3">
        <f>INDEX(Проверки!$G:$G, ROW())</f>
        <v/>
      </c>
    </row>
    <row r="171">
      <c r="A171" s="3" t="n"/>
      <c r="B171" s="4" t="n"/>
      <c r="C171" s="3" t="n"/>
      <c r="D171" s="4" t="n"/>
      <c r="E171" s="3" t="n"/>
      <c r="F171" s="3" t="n"/>
      <c r="G171" s="3" t="n"/>
      <c r="H171" s="4" t="n"/>
      <c r="I171" s="4" t="n"/>
      <c r="J171" s="3">
        <f>INDEX(Проверки!$F:$F, ROW())</f>
        <v/>
      </c>
      <c r="K171" s="3">
        <f>INDEX(Проверки!$D:$D, ROW())</f>
        <v/>
      </c>
      <c r="L171" s="3">
        <f>INDEX(Проверки!$G:$G, ROW())</f>
        <v/>
      </c>
    </row>
    <row r="172">
      <c r="A172" s="3" t="n"/>
      <c r="B172" s="4" t="n"/>
      <c r="C172" s="3" t="n"/>
      <c r="D172" s="4" t="n"/>
      <c r="E172" s="3" t="n"/>
      <c r="F172" s="3" t="n"/>
      <c r="G172" s="3" t="n"/>
      <c r="H172" s="4" t="n"/>
      <c r="I172" s="4" t="n"/>
      <c r="J172" s="3">
        <f>INDEX(Проверки!$F:$F, ROW())</f>
        <v/>
      </c>
      <c r="K172" s="3">
        <f>INDEX(Проверки!$D:$D, ROW())</f>
        <v/>
      </c>
      <c r="L172" s="3">
        <f>INDEX(Проверки!$G:$G, ROW())</f>
        <v/>
      </c>
    </row>
    <row r="173">
      <c r="A173" s="3" t="n"/>
      <c r="B173" s="4" t="n"/>
      <c r="C173" s="3" t="n"/>
      <c r="D173" s="4" t="n"/>
      <c r="E173" s="3" t="n"/>
      <c r="F173" s="3" t="n"/>
      <c r="G173" s="3" t="n"/>
      <c r="H173" s="4" t="n"/>
      <c r="I173" s="4" t="n"/>
      <c r="J173" s="3">
        <f>INDEX(Проверки!$F:$F, ROW())</f>
        <v/>
      </c>
      <c r="K173" s="3">
        <f>INDEX(Проверки!$D:$D, ROW())</f>
        <v/>
      </c>
      <c r="L173" s="3">
        <f>INDEX(Проверки!$G:$G, ROW())</f>
        <v/>
      </c>
    </row>
    <row r="174">
      <c r="A174" s="3" t="n"/>
      <c r="B174" s="4" t="n"/>
      <c r="C174" s="3" t="n"/>
      <c r="D174" s="4" t="n"/>
      <c r="E174" s="3" t="n"/>
      <c r="F174" s="3" t="n"/>
      <c r="G174" s="3" t="n"/>
      <c r="H174" s="4" t="n"/>
      <c r="I174" s="4" t="n"/>
      <c r="J174" s="3">
        <f>INDEX(Проверки!$F:$F, ROW())</f>
        <v/>
      </c>
      <c r="K174" s="3">
        <f>INDEX(Проверки!$D:$D, ROW())</f>
        <v/>
      </c>
      <c r="L174" s="3">
        <f>INDEX(Проверки!$G:$G, ROW())</f>
        <v/>
      </c>
    </row>
    <row r="175">
      <c r="A175" s="3" t="n"/>
      <c r="B175" s="4" t="n"/>
      <c r="C175" s="3" t="n"/>
      <c r="D175" s="4" t="n"/>
      <c r="E175" s="3" t="n"/>
      <c r="F175" s="3" t="n"/>
      <c r="G175" s="3" t="n"/>
      <c r="H175" s="4" t="n"/>
      <c r="I175" s="4" t="n"/>
      <c r="J175" s="3">
        <f>INDEX(Проверки!$F:$F, ROW())</f>
        <v/>
      </c>
      <c r="K175" s="3">
        <f>INDEX(Проверки!$D:$D, ROW())</f>
        <v/>
      </c>
      <c r="L175" s="3">
        <f>INDEX(Проверки!$G:$G, ROW())</f>
        <v/>
      </c>
    </row>
    <row r="176">
      <c r="A176" s="3" t="n"/>
      <c r="B176" s="4" t="n"/>
      <c r="C176" s="3" t="n"/>
      <c r="D176" s="4" t="n"/>
      <c r="E176" s="3" t="n"/>
      <c r="F176" s="3" t="n"/>
      <c r="G176" s="3" t="n"/>
      <c r="H176" s="4" t="n"/>
      <c r="I176" s="4" t="n"/>
      <c r="J176" s="3">
        <f>INDEX(Проверки!$F:$F, ROW())</f>
        <v/>
      </c>
      <c r="K176" s="3">
        <f>INDEX(Проверки!$D:$D, ROW())</f>
        <v/>
      </c>
      <c r="L176" s="3">
        <f>INDEX(Проверки!$G:$G, ROW())</f>
        <v/>
      </c>
    </row>
    <row r="177">
      <c r="A177" s="3" t="n"/>
      <c r="B177" s="4" t="n"/>
      <c r="C177" s="3" t="n"/>
      <c r="D177" s="4" t="n"/>
      <c r="E177" s="3" t="n"/>
      <c r="F177" s="3" t="n"/>
      <c r="G177" s="3" t="n"/>
      <c r="H177" s="4" t="n"/>
      <c r="I177" s="4" t="n"/>
      <c r="J177" s="3">
        <f>INDEX(Проверки!$F:$F, ROW())</f>
        <v/>
      </c>
      <c r="K177" s="3">
        <f>INDEX(Проверки!$D:$D, ROW())</f>
        <v/>
      </c>
      <c r="L177" s="3">
        <f>INDEX(Проверки!$G:$G, ROW())</f>
        <v/>
      </c>
    </row>
    <row r="178">
      <c r="A178" s="3" t="n"/>
      <c r="B178" s="4" t="n"/>
      <c r="C178" s="3" t="n"/>
      <c r="D178" s="4" t="n"/>
      <c r="E178" s="3" t="n"/>
      <c r="F178" s="3" t="n"/>
      <c r="G178" s="3" t="n"/>
      <c r="H178" s="4" t="n"/>
      <c r="I178" s="4" t="n"/>
      <c r="J178" s="3">
        <f>INDEX(Проверки!$F:$F, ROW())</f>
        <v/>
      </c>
      <c r="K178" s="3">
        <f>INDEX(Проверки!$D:$D, ROW())</f>
        <v/>
      </c>
      <c r="L178" s="3">
        <f>INDEX(Проверки!$G:$G, ROW())</f>
        <v/>
      </c>
    </row>
    <row r="179">
      <c r="A179" s="3" t="n"/>
      <c r="B179" s="4" t="n"/>
      <c r="C179" s="3" t="n"/>
      <c r="D179" s="4" t="n"/>
      <c r="E179" s="3" t="n"/>
      <c r="F179" s="3" t="n"/>
      <c r="G179" s="3" t="n"/>
      <c r="H179" s="4" t="n"/>
      <c r="I179" s="4" t="n"/>
      <c r="J179" s="3">
        <f>INDEX(Проверки!$F:$F, ROW())</f>
        <v/>
      </c>
      <c r="K179" s="3">
        <f>INDEX(Проверки!$D:$D, ROW())</f>
        <v/>
      </c>
      <c r="L179" s="3">
        <f>INDEX(Проверки!$G:$G, ROW())</f>
        <v/>
      </c>
    </row>
    <row r="180">
      <c r="A180" s="3" t="n"/>
      <c r="B180" s="4" t="n"/>
      <c r="C180" s="3" t="n"/>
      <c r="D180" s="4" t="n"/>
      <c r="E180" s="3" t="n"/>
      <c r="F180" s="3" t="n"/>
      <c r="G180" s="3" t="n"/>
      <c r="H180" s="4" t="n"/>
      <c r="I180" s="4" t="n"/>
      <c r="J180" s="3">
        <f>INDEX(Проверки!$F:$F, ROW())</f>
        <v/>
      </c>
      <c r="K180" s="3">
        <f>INDEX(Проверки!$D:$D, ROW())</f>
        <v/>
      </c>
      <c r="L180" s="3">
        <f>INDEX(Проверки!$G:$G, ROW())</f>
        <v/>
      </c>
    </row>
    <row r="181">
      <c r="A181" s="3" t="n"/>
      <c r="B181" s="4" t="n"/>
      <c r="C181" s="3" t="n"/>
      <c r="D181" s="4" t="n"/>
      <c r="E181" s="3" t="n"/>
      <c r="F181" s="3" t="n"/>
      <c r="G181" s="3" t="n"/>
      <c r="H181" s="4" t="n"/>
      <c r="I181" s="4" t="n"/>
      <c r="J181" s="3">
        <f>INDEX(Проверки!$F:$F, ROW())</f>
        <v/>
      </c>
      <c r="K181" s="3">
        <f>INDEX(Проверки!$D:$D, ROW())</f>
        <v/>
      </c>
      <c r="L181" s="3">
        <f>INDEX(Проверки!$G:$G, ROW())</f>
        <v/>
      </c>
    </row>
    <row r="182">
      <c r="A182" s="3" t="n"/>
      <c r="B182" s="4" t="n"/>
      <c r="C182" s="3" t="n"/>
      <c r="D182" s="4" t="n"/>
      <c r="E182" s="3" t="n"/>
      <c r="F182" s="3" t="n"/>
      <c r="G182" s="3" t="n"/>
      <c r="H182" s="4" t="n"/>
      <c r="I182" s="4" t="n"/>
      <c r="J182" s="3">
        <f>INDEX(Проверки!$F:$F, ROW())</f>
        <v/>
      </c>
      <c r="K182" s="3">
        <f>INDEX(Проверки!$D:$D, ROW())</f>
        <v/>
      </c>
      <c r="L182" s="3">
        <f>INDEX(Проверки!$G:$G, ROW())</f>
        <v/>
      </c>
    </row>
    <row r="183">
      <c r="A183" s="3" t="n"/>
      <c r="B183" s="4" t="n"/>
      <c r="C183" s="3" t="n"/>
      <c r="D183" s="4" t="n"/>
      <c r="E183" s="3" t="n"/>
      <c r="F183" s="3" t="n"/>
      <c r="G183" s="3" t="n"/>
      <c r="H183" s="4" t="n"/>
      <c r="I183" s="4" t="n"/>
      <c r="J183" s="3">
        <f>INDEX(Проверки!$F:$F, ROW())</f>
        <v/>
      </c>
      <c r="K183" s="3">
        <f>INDEX(Проверки!$D:$D, ROW())</f>
        <v/>
      </c>
      <c r="L183" s="3">
        <f>INDEX(Проверки!$G:$G, ROW())</f>
        <v/>
      </c>
    </row>
    <row r="184">
      <c r="A184" s="3" t="n"/>
      <c r="B184" s="4" t="n"/>
      <c r="C184" s="3" t="n"/>
      <c r="D184" s="4" t="n"/>
      <c r="E184" s="3" t="n"/>
      <c r="F184" s="3" t="n"/>
      <c r="G184" s="3" t="n"/>
      <c r="H184" s="4" t="n"/>
      <c r="I184" s="4" t="n"/>
      <c r="J184" s="3">
        <f>INDEX(Проверки!$F:$F, ROW())</f>
        <v/>
      </c>
      <c r="K184" s="3">
        <f>INDEX(Проверки!$D:$D, ROW())</f>
        <v/>
      </c>
      <c r="L184" s="3">
        <f>INDEX(Проверки!$G:$G, ROW())</f>
        <v/>
      </c>
    </row>
    <row r="185">
      <c r="A185" s="3" t="n"/>
      <c r="B185" s="4" t="n"/>
      <c r="C185" s="3" t="n"/>
      <c r="D185" s="4" t="n"/>
      <c r="E185" s="3" t="n"/>
      <c r="F185" s="3" t="n"/>
      <c r="G185" s="3" t="n"/>
      <c r="H185" s="4" t="n"/>
      <c r="I185" s="4" t="n"/>
      <c r="J185" s="3">
        <f>INDEX(Проверки!$F:$F, ROW())</f>
        <v/>
      </c>
      <c r="K185" s="3">
        <f>INDEX(Проверки!$D:$D, ROW())</f>
        <v/>
      </c>
      <c r="L185" s="3">
        <f>INDEX(Проверки!$G:$G, ROW())</f>
        <v/>
      </c>
    </row>
    <row r="186">
      <c r="A186" s="3" t="n"/>
      <c r="B186" s="4" t="n"/>
      <c r="C186" s="3" t="n"/>
      <c r="D186" s="4" t="n"/>
      <c r="E186" s="3" t="n"/>
      <c r="F186" s="3" t="n"/>
      <c r="G186" s="3" t="n"/>
      <c r="H186" s="4" t="n"/>
      <c r="I186" s="4" t="n"/>
      <c r="J186" s="3">
        <f>INDEX(Проверки!$F:$F, ROW())</f>
        <v/>
      </c>
      <c r="K186" s="3">
        <f>INDEX(Проверки!$D:$D, ROW())</f>
        <v/>
      </c>
      <c r="L186" s="3">
        <f>INDEX(Проверки!$G:$G, ROW())</f>
        <v/>
      </c>
    </row>
    <row r="187">
      <c r="A187" s="3" t="n"/>
      <c r="B187" s="4" t="n"/>
      <c r="C187" s="3" t="n"/>
      <c r="D187" s="4" t="n"/>
      <c r="E187" s="3" t="n"/>
      <c r="F187" s="3" t="n"/>
      <c r="G187" s="3" t="n"/>
      <c r="H187" s="4" t="n"/>
      <c r="I187" s="4" t="n"/>
      <c r="J187" s="3">
        <f>INDEX(Проверки!$F:$F, ROW())</f>
        <v/>
      </c>
      <c r="K187" s="3">
        <f>INDEX(Проверки!$D:$D, ROW())</f>
        <v/>
      </c>
      <c r="L187" s="3">
        <f>INDEX(Проверки!$G:$G, ROW())</f>
        <v/>
      </c>
    </row>
    <row r="188">
      <c r="A188" s="3" t="n"/>
      <c r="B188" s="4" t="n"/>
      <c r="C188" s="3" t="n"/>
      <c r="D188" s="4" t="n"/>
      <c r="E188" s="3" t="n"/>
      <c r="F188" s="3" t="n"/>
      <c r="G188" s="3" t="n"/>
      <c r="H188" s="4" t="n"/>
      <c r="I188" s="4" t="n"/>
      <c r="J188" s="3">
        <f>INDEX(Проверки!$F:$F, ROW())</f>
        <v/>
      </c>
      <c r="K188" s="3">
        <f>INDEX(Проверки!$D:$D, ROW())</f>
        <v/>
      </c>
      <c r="L188" s="3">
        <f>INDEX(Проверки!$G:$G, ROW())</f>
        <v/>
      </c>
    </row>
    <row r="189">
      <c r="A189" s="3" t="n"/>
      <c r="B189" s="4" t="n"/>
      <c r="C189" s="3" t="n"/>
      <c r="D189" s="4" t="n"/>
      <c r="E189" s="3" t="n"/>
      <c r="F189" s="3" t="n"/>
      <c r="G189" s="3" t="n"/>
      <c r="H189" s="4" t="n"/>
      <c r="I189" s="4" t="n"/>
      <c r="J189" s="3">
        <f>INDEX(Проверки!$F:$F, ROW())</f>
        <v/>
      </c>
      <c r="K189" s="3">
        <f>INDEX(Проверки!$D:$D, ROW())</f>
        <v/>
      </c>
      <c r="L189" s="3">
        <f>INDEX(Проверки!$G:$G, ROW())</f>
        <v/>
      </c>
    </row>
    <row r="190">
      <c r="A190" s="3" t="n"/>
      <c r="B190" s="4" t="n"/>
      <c r="C190" s="3" t="n"/>
      <c r="D190" s="4" t="n"/>
      <c r="E190" s="3" t="n"/>
      <c r="F190" s="3" t="n"/>
      <c r="G190" s="3" t="n"/>
      <c r="H190" s="4" t="n"/>
      <c r="I190" s="4" t="n"/>
      <c r="J190" s="3">
        <f>INDEX(Проверки!$F:$F, ROW())</f>
        <v/>
      </c>
      <c r="K190" s="3">
        <f>INDEX(Проверки!$D:$D, ROW())</f>
        <v/>
      </c>
      <c r="L190" s="3">
        <f>INDEX(Проверки!$G:$G, ROW())</f>
        <v/>
      </c>
    </row>
    <row r="191">
      <c r="A191" s="3" t="n"/>
      <c r="B191" s="4" t="n"/>
      <c r="C191" s="3" t="n"/>
      <c r="D191" s="4" t="n"/>
      <c r="E191" s="3" t="n"/>
      <c r="F191" s="3" t="n"/>
      <c r="G191" s="3" t="n"/>
      <c r="H191" s="4" t="n"/>
      <c r="I191" s="4" t="n"/>
      <c r="J191" s="3">
        <f>INDEX(Проверки!$F:$F, ROW())</f>
        <v/>
      </c>
      <c r="K191" s="3">
        <f>INDEX(Проверки!$D:$D, ROW())</f>
        <v/>
      </c>
      <c r="L191" s="3">
        <f>INDEX(Проверки!$G:$G, ROW())</f>
        <v/>
      </c>
    </row>
    <row r="192">
      <c r="A192" s="3" t="n"/>
      <c r="B192" s="4" t="n"/>
      <c r="C192" s="3" t="n"/>
      <c r="D192" s="4" t="n"/>
      <c r="E192" s="3" t="n"/>
      <c r="F192" s="3" t="n"/>
      <c r="G192" s="3" t="n"/>
      <c r="H192" s="4" t="n"/>
      <c r="I192" s="4" t="n"/>
      <c r="J192" s="3">
        <f>INDEX(Проверки!$F:$F, ROW())</f>
        <v/>
      </c>
      <c r="K192" s="3">
        <f>INDEX(Проверки!$D:$D, ROW())</f>
        <v/>
      </c>
      <c r="L192" s="3">
        <f>INDEX(Проверки!$G:$G, ROW())</f>
        <v/>
      </c>
    </row>
    <row r="193">
      <c r="A193" s="3" t="n"/>
      <c r="B193" s="4" t="n"/>
      <c r="C193" s="3" t="n"/>
      <c r="D193" s="4" t="n"/>
      <c r="E193" s="3" t="n"/>
      <c r="F193" s="3" t="n"/>
      <c r="G193" s="3" t="n"/>
      <c r="H193" s="4" t="n"/>
      <c r="I193" s="4" t="n"/>
      <c r="J193" s="3">
        <f>INDEX(Проверки!$F:$F, ROW())</f>
        <v/>
      </c>
      <c r="K193" s="3">
        <f>INDEX(Проверки!$D:$D, ROW())</f>
        <v/>
      </c>
      <c r="L193" s="3">
        <f>INDEX(Проверки!$G:$G, ROW())</f>
        <v/>
      </c>
    </row>
    <row r="194">
      <c r="A194" s="3" t="n"/>
      <c r="B194" s="4" t="n"/>
      <c r="C194" s="3" t="n"/>
      <c r="D194" s="4" t="n"/>
      <c r="E194" s="3" t="n"/>
      <c r="F194" s="3" t="n"/>
      <c r="G194" s="3" t="n"/>
      <c r="H194" s="4" t="n"/>
      <c r="I194" s="4" t="n"/>
      <c r="J194" s="3">
        <f>INDEX(Проверки!$F:$F, ROW())</f>
        <v/>
      </c>
      <c r="K194" s="3">
        <f>INDEX(Проверки!$D:$D, ROW())</f>
        <v/>
      </c>
      <c r="L194" s="3">
        <f>INDEX(Проверки!$G:$G, ROW())</f>
        <v/>
      </c>
    </row>
    <row r="195">
      <c r="A195" s="3" t="n"/>
      <c r="B195" s="4" t="n"/>
      <c r="C195" s="3" t="n"/>
      <c r="D195" s="4" t="n"/>
      <c r="E195" s="3" t="n"/>
      <c r="F195" s="3" t="n"/>
      <c r="G195" s="3" t="n"/>
      <c r="H195" s="4" t="n"/>
      <c r="I195" s="4" t="n"/>
      <c r="J195" s="3">
        <f>INDEX(Проверки!$F:$F, ROW())</f>
        <v/>
      </c>
      <c r="K195" s="3">
        <f>INDEX(Проверки!$D:$D, ROW())</f>
        <v/>
      </c>
      <c r="L195" s="3">
        <f>INDEX(Проверки!$G:$G, ROW())</f>
        <v/>
      </c>
    </row>
    <row r="196">
      <c r="A196" s="3" t="n"/>
      <c r="B196" s="4" t="n"/>
      <c r="C196" s="3" t="n"/>
      <c r="D196" s="4" t="n"/>
      <c r="E196" s="3" t="n"/>
      <c r="F196" s="3" t="n"/>
      <c r="G196" s="3" t="n"/>
      <c r="H196" s="4" t="n"/>
      <c r="I196" s="4" t="n"/>
      <c r="J196" s="3">
        <f>INDEX(Проверки!$F:$F, ROW())</f>
        <v/>
      </c>
      <c r="K196" s="3">
        <f>INDEX(Проверки!$D:$D, ROW())</f>
        <v/>
      </c>
      <c r="L196" s="3">
        <f>INDEX(Проверки!$G:$G, ROW())</f>
        <v/>
      </c>
    </row>
    <row r="197">
      <c r="A197" s="3" t="n"/>
      <c r="B197" s="4" t="n"/>
      <c r="C197" s="3" t="n"/>
      <c r="D197" s="4" t="n"/>
      <c r="E197" s="3" t="n"/>
      <c r="F197" s="3" t="n"/>
      <c r="G197" s="3" t="n"/>
      <c r="H197" s="4" t="n"/>
      <c r="I197" s="4" t="n"/>
      <c r="J197" s="3">
        <f>INDEX(Проверки!$F:$F, ROW())</f>
        <v/>
      </c>
      <c r="K197" s="3">
        <f>INDEX(Проверки!$D:$D, ROW())</f>
        <v/>
      </c>
      <c r="L197" s="3">
        <f>INDEX(Проверки!$G:$G, ROW())</f>
        <v/>
      </c>
    </row>
    <row r="198">
      <c r="A198" s="3" t="n"/>
      <c r="B198" s="4" t="n"/>
      <c r="C198" s="3" t="n"/>
      <c r="D198" s="4" t="n"/>
      <c r="E198" s="3" t="n"/>
      <c r="F198" s="3" t="n"/>
      <c r="G198" s="3" t="n"/>
      <c r="H198" s="4" t="n"/>
      <c r="I198" s="4" t="n"/>
      <c r="J198" s="3">
        <f>INDEX(Проверки!$F:$F, ROW())</f>
        <v/>
      </c>
      <c r="K198" s="3">
        <f>INDEX(Проверки!$D:$D, ROW())</f>
        <v/>
      </c>
      <c r="L198" s="3">
        <f>INDEX(Проверки!$G:$G, ROW())</f>
        <v/>
      </c>
    </row>
    <row r="199">
      <c r="A199" s="3" t="n"/>
      <c r="B199" s="4" t="n"/>
      <c r="C199" s="3" t="n"/>
      <c r="D199" s="4" t="n"/>
      <c r="E199" s="3" t="n"/>
      <c r="F199" s="3" t="n"/>
      <c r="G199" s="3" t="n"/>
      <c r="H199" s="4" t="n"/>
      <c r="I199" s="4" t="n"/>
      <c r="J199" s="3">
        <f>INDEX(Проверки!$F:$F, ROW())</f>
        <v/>
      </c>
      <c r="K199" s="3">
        <f>INDEX(Проверки!$D:$D, ROW())</f>
        <v/>
      </c>
      <c r="L199" s="3">
        <f>INDEX(Проверки!$G:$G, ROW())</f>
        <v/>
      </c>
    </row>
    <row r="200">
      <c r="A200" s="3" t="n"/>
      <c r="B200" s="4" t="n"/>
      <c r="C200" s="3" t="n"/>
      <c r="D200" s="4" t="n"/>
      <c r="E200" s="3" t="n"/>
      <c r="F200" s="3" t="n"/>
      <c r="G200" s="3" t="n"/>
      <c r="H200" s="4" t="n"/>
      <c r="I200" s="4" t="n"/>
      <c r="J200" s="3">
        <f>INDEX(Проверки!$F:$F, ROW())</f>
        <v/>
      </c>
      <c r="K200" s="3">
        <f>INDEX(Проверки!$D:$D, ROW())</f>
        <v/>
      </c>
      <c r="L200" s="3">
        <f>INDEX(Проверки!$G:$G, ROW())</f>
        <v/>
      </c>
    </row>
    <row r="201">
      <c r="A201" s="3" t="n"/>
      <c r="B201" s="4" t="n"/>
      <c r="C201" s="3" t="n"/>
      <c r="D201" s="4" t="n"/>
      <c r="E201" s="3" t="n"/>
      <c r="F201" s="3" t="n"/>
      <c r="G201" s="3" t="n"/>
      <c r="H201" s="4" t="n"/>
      <c r="I201" s="4" t="n"/>
      <c r="J201" s="3">
        <f>INDEX(Проверки!$F:$F, ROW())</f>
        <v/>
      </c>
      <c r="K201" s="3">
        <f>INDEX(Проверки!$D:$D, ROW())</f>
        <v/>
      </c>
      <c r="L201" s="3">
        <f>INDEX(Проверки!$G:$G, ROW())</f>
        <v/>
      </c>
    </row>
    <row r="202">
      <c r="A202" s="3" t="n"/>
      <c r="B202" s="4" t="n"/>
      <c r="C202" s="3" t="n"/>
      <c r="D202" s="4" t="n"/>
      <c r="E202" s="3" t="n"/>
      <c r="F202" s="3" t="n"/>
      <c r="G202" s="3" t="n"/>
      <c r="H202" s="4" t="n"/>
      <c r="I202" s="4" t="n"/>
      <c r="J202" s="3">
        <f>INDEX(Проверки!$F:$F, ROW())</f>
        <v/>
      </c>
      <c r="K202" s="3">
        <f>INDEX(Проверки!$D:$D, ROW())</f>
        <v/>
      </c>
      <c r="L202" s="3">
        <f>INDEX(Проверки!$G:$G, ROW())</f>
        <v/>
      </c>
    </row>
    <row r="203">
      <c r="A203" s="3" t="n"/>
      <c r="B203" s="4" t="n"/>
      <c r="C203" s="3" t="n"/>
      <c r="D203" s="4" t="n"/>
      <c r="E203" s="3" t="n"/>
      <c r="F203" s="3" t="n"/>
      <c r="G203" s="3" t="n"/>
      <c r="H203" s="4" t="n"/>
      <c r="I203" s="4" t="n"/>
      <c r="J203" s="3">
        <f>INDEX(Проверки!$F:$F, ROW())</f>
        <v/>
      </c>
      <c r="K203" s="3">
        <f>INDEX(Проверки!$D:$D, ROW())</f>
        <v/>
      </c>
      <c r="L203" s="3">
        <f>INDEX(Проверки!$G:$G, ROW())</f>
        <v/>
      </c>
    </row>
    <row r="204">
      <c r="A204" s="3" t="n"/>
      <c r="B204" s="4" t="n"/>
      <c r="C204" s="3" t="n"/>
      <c r="D204" s="4" t="n"/>
      <c r="E204" s="3" t="n"/>
      <c r="F204" s="3" t="n"/>
      <c r="G204" s="3" t="n"/>
      <c r="H204" s="4" t="n"/>
      <c r="I204" s="4" t="n"/>
      <c r="J204" s="3">
        <f>INDEX(Проверки!$F:$F, ROW())</f>
        <v/>
      </c>
      <c r="K204" s="3">
        <f>INDEX(Проверки!$D:$D, ROW())</f>
        <v/>
      </c>
      <c r="L204" s="3">
        <f>INDEX(Проверки!$G:$G, ROW())</f>
        <v/>
      </c>
    </row>
    <row r="205">
      <c r="A205" s="3" t="n"/>
      <c r="B205" s="4" t="n"/>
      <c r="C205" s="3" t="n"/>
      <c r="D205" s="4" t="n"/>
      <c r="E205" s="3" t="n"/>
      <c r="F205" s="3" t="n"/>
      <c r="G205" s="3" t="n"/>
      <c r="H205" s="4" t="n"/>
      <c r="I205" s="4" t="n"/>
      <c r="J205" s="3">
        <f>INDEX(Проверки!$F:$F, ROW())</f>
        <v/>
      </c>
      <c r="K205" s="3">
        <f>INDEX(Проверки!$D:$D, ROW())</f>
        <v/>
      </c>
      <c r="L205" s="3">
        <f>INDEX(Проверки!$G:$G, ROW())</f>
        <v/>
      </c>
    </row>
    <row r="206">
      <c r="A206" s="3" t="n"/>
      <c r="B206" s="4" t="n"/>
      <c r="C206" s="3" t="n"/>
      <c r="D206" s="4" t="n"/>
      <c r="E206" s="3" t="n"/>
      <c r="F206" s="3" t="n"/>
      <c r="G206" s="3" t="n"/>
      <c r="H206" s="4" t="n"/>
      <c r="I206" s="4" t="n"/>
      <c r="J206" s="3">
        <f>INDEX(Проверки!$F:$F, ROW())</f>
        <v/>
      </c>
      <c r="K206" s="3">
        <f>INDEX(Проверки!$D:$D, ROW())</f>
        <v/>
      </c>
      <c r="L206" s="3">
        <f>INDEX(Проверки!$G:$G, ROW())</f>
        <v/>
      </c>
    </row>
    <row r="207">
      <c r="A207" s="3" t="n"/>
      <c r="B207" s="4" t="n"/>
      <c r="C207" s="3" t="n"/>
      <c r="D207" s="4" t="n"/>
      <c r="E207" s="3" t="n"/>
      <c r="F207" s="3" t="n"/>
      <c r="G207" s="3" t="n"/>
      <c r="H207" s="4" t="n"/>
      <c r="I207" s="4" t="n"/>
      <c r="J207" s="3">
        <f>INDEX(Проверки!$F:$F, ROW())</f>
        <v/>
      </c>
      <c r="K207" s="3">
        <f>INDEX(Проверки!$D:$D, ROW())</f>
        <v/>
      </c>
      <c r="L207" s="3">
        <f>INDEX(Проверки!$G:$G, ROW())</f>
        <v/>
      </c>
    </row>
    <row r="208">
      <c r="A208" s="3" t="n"/>
      <c r="B208" s="4" t="n"/>
      <c r="C208" s="3" t="n"/>
      <c r="D208" s="4" t="n"/>
      <c r="E208" s="3" t="n"/>
      <c r="F208" s="3" t="n"/>
      <c r="G208" s="3" t="n"/>
      <c r="H208" s="4" t="n"/>
      <c r="I208" s="4" t="n"/>
      <c r="J208" s="3">
        <f>INDEX(Проверки!$F:$F, ROW())</f>
        <v/>
      </c>
      <c r="K208" s="3">
        <f>INDEX(Проверки!$D:$D, ROW())</f>
        <v/>
      </c>
      <c r="L208" s="3">
        <f>INDEX(Проверки!$G:$G, ROW())</f>
        <v/>
      </c>
    </row>
    <row r="209">
      <c r="A209" s="3" t="n"/>
      <c r="B209" s="4" t="n"/>
      <c r="C209" s="3" t="n"/>
      <c r="D209" s="4" t="n"/>
      <c r="E209" s="3" t="n"/>
      <c r="F209" s="3" t="n"/>
      <c r="G209" s="3" t="n"/>
      <c r="H209" s="4" t="n"/>
      <c r="I209" s="4" t="n"/>
      <c r="J209" s="3">
        <f>INDEX(Проверки!$F:$F, ROW())</f>
        <v/>
      </c>
      <c r="K209" s="3">
        <f>INDEX(Проверки!$D:$D, ROW())</f>
        <v/>
      </c>
      <c r="L209" s="3">
        <f>INDEX(Проверки!$G:$G, ROW())</f>
        <v/>
      </c>
    </row>
    <row r="210">
      <c r="A210" s="3" t="n"/>
      <c r="B210" s="4" t="n"/>
      <c r="C210" s="3" t="n"/>
      <c r="D210" s="4" t="n"/>
      <c r="E210" s="3" t="n"/>
      <c r="F210" s="3" t="n"/>
      <c r="G210" s="3" t="n"/>
      <c r="H210" s="4" t="n"/>
      <c r="I210" s="4" t="n"/>
      <c r="J210" s="3">
        <f>INDEX(Проверки!$F:$F, ROW())</f>
        <v/>
      </c>
      <c r="K210" s="3">
        <f>INDEX(Проверки!$D:$D, ROW())</f>
        <v/>
      </c>
      <c r="L210" s="3">
        <f>INDEX(Проверки!$G:$G, ROW())</f>
        <v/>
      </c>
    </row>
    <row r="211">
      <c r="A211" s="3" t="n"/>
      <c r="B211" s="4" t="n"/>
      <c r="C211" s="3" t="n"/>
      <c r="D211" s="4" t="n"/>
      <c r="E211" s="3" t="n"/>
      <c r="F211" s="3" t="n"/>
      <c r="G211" s="3" t="n"/>
      <c r="H211" s="4" t="n"/>
      <c r="I211" s="4" t="n"/>
      <c r="J211" s="3">
        <f>INDEX(Проверки!$F:$F, ROW())</f>
        <v/>
      </c>
      <c r="K211" s="3">
        <f>INDEX(Проверки!$D:$D, ROW())</f>
        <v/>
      </c>
      <c r="L211" s="3">
        <f>INDEX(Проверки!$G:$G, ROW())</f>
        <v/>
      </c>
    </row>
    <row r="212">
      <c r="A212" s="3" t="n"/>
      <c r="B212" s="4" t="n"/>
      <c r="C212" s="3" t="n"/>
      <c r="D212" s="4" t="n"/>
      <c r="E212" s="3" t="n"/>
      <c r="F212" s="3" t="n"/>
      <c r="G212" s="3" t="n"/>
      <c r="H212" s="4" t="n"/>
      <c r="I212" s="4" t="n"/>
      <c r="J212" s="3">
        <f>INDEX(Проверки!$F:$F, ROW())</f>
        <v/>
      </c>
      <c r="K212" s="3">
        <f>INDEX(Проверки!$D:$D, ROW())</f>
        <v/>
      </c>
      <c r="L212" s="3">
        <f>INDEX(Проверки!$G:$G, ROW())</f>
        <v/>
      </c>
    </row>
    <row r="213">
      <c r="A213" s="3" t="n"/>
      <c r="B213" s="4" t="n"/>
      <c r="C213" s="3" t="n"/>
      <c r="D213" s="4" t="n"/>
      <c r="E213" s="3" t="n"/>
      <c r="F213" s="3" t="n"/>
      <c r="G213" s="3" t="n"/>
      <c r="H213" s="4" t="n"/>
      <c r="I213" s="4" t="n"/>
      <c r="J213" s="3">
        <f>INDEX(Проверки!$F:$F, ROW())</f>
        <v/>
      </c>
      <c r="K213" s="3">
        <f>INDEX(Проверки!$D:$D, ROW())</f>
        <v/>
      </c>
      <c r="L213" s="3">
        <f>INDEX(Проверки!$G:$G, ROW())</f>
        <v/>
      </c>
    </row>
    <row r="214">
      <c r="A214" s="3" t="n"/>
      <c r="B214" s="4" t="n"/>
      <c r="C214" s="3" t="n"/>
      <c r="D214" s="4" t="n"/>
      <c r="E214" s="3" t="n"/>
      <c r="F214" s="3" t="n"/>
      <c r="G214" s="3" t="n"/>
      <c r="H214" s="4" t="n"/>
      <c r="I214" s="4" t="n"/>
      <c r="J214" s="3">
        <f>INDEX(Проверки!$F:$F, ROW())</f>
        <v/>
      </c>
      <c r="K214" s="3">
        <f>INDEX(Проверки!$D:$D, ROW())</f>
        <v/>
      </c>
      <c r="L214" s="3">
        <f>INDEX(Проверки!$G:$G, ROW())</f>
        <v/>
      </c>
    </row>
    <row r="215">
      <c r="A215" s="3" t="n"/>
      <c r="B215" s="4" t="n"/>
      <c r="C215" s="3" t="n"/>
      <c r="D215" s="4" t="n"/>
      <c r="E215" s="3" t="n"/>
      <c r="F215" s="3" t="n"/>
      <c r="G215" s="3" t="n"/>
      <c r="H215" s="4" t="n"/>
      <c r="I215" s="4" t="n"/>
      <c r="J215" s="3">
        <f>INDEX(Проверки!$F:$F, ROW())</f>
        <v/>
      </c>
      <c r="K215" s="3">
        <f>INDEX(Проверки!$D:$D, ROW())</f>
        <v/>
      </c>
      <c r="L215" s="3">
        <f>INDEX(Проверки!$G:$G, ROW())</f>
        <v/>
      </c>
    </row>
    <row r="216">
      <c r="A216" s="3" t="n"/>
      <c r="B216" s="4" t="n"/>
      <c r="C216" s="3" t="n"/>
      <c r="D216" s="4" t="n"/>
      <c r="E216" s="3" t="n"/>
      <c r="F216" s="3" t="n"/>
      <c r="G216" s="3" t="n"/>
      <c r="H216" s="4" t="n"/>
      <c r="I216" s="4" t="n"/>
      <c r="J216" s="3">
        <f>INDEX(Проверки!$F:$F, ROW())</f>
        <v/>
      </c>
      <c r="K216" s="3">
        <f>INDEX(Проверки!$D:$D, ROW())</f>
        <v/>
      </c>
      <c r="L216" s="3">
        <f>INDEX(Проверки!$G:$G, ROW())</f>
        <v/>
      </c>
    </row>
    <row r="217">
      <c r="A217" s="3" t="n"/>
      <c r="B217" s="4" t="n"/>
      <c r="C217" s="3" t="n"/>
      <c r="D217" s="4" t="n"/>
      <c r="E217" s="3" t="n"/>
      <c r="F217" s="3" t="n"/>
      <c r="G217" s="3" t="n"/>
      <c r="H217" s="4" t="n"/>
      <c r="I217" s="4" t="n"/>
      <c r="J217" s="3">
        <f>INDEX(Проверки!$F:$F, ROW())</f>
        <v/>
      </c>
      <c r="K217" s="3">
        <f>INDEX(Проверки!$D:$D, ROW())</f>
        <v/>
      </c>
      <c r="L217" s="3">
        <f>INDEX(Проверки!$G:$G, ROW())</f>
        <v/>
      </c>
    </row>
    <row r="218">
      <c r="A218" s="3" t="n"/>
      <c r="B218" s="4" t="n"/>
      <c r="C218" s="3" t="n"/>
      <c r="D218" s="4" t="n"/>
      <c r="E218" s="3" t="n"/>
      <c r="F218" s="3" t="n"/>
      <c r="G218" s="3" t="n"/>
      <c r="H218" s="4" t="n"/>
      <c r="I218" s="4" t="n"/>
      <c r="J218" s="3">
        <f>INDEX(Проверки!$F:$F, ROW())</f>
        <v/>
      </c>
      <c r="K218" s="3">
        <f>INDEX(Проверки!$D:$D, ROW())</f>
        <v/>
      </c>
      <c r="L218" s="3">
        <f>INDEX(Проверки!$G:$G, ROW())</f>
        <v/>
      </c>
    </row>
    <row r="219">
      <c r="A219" s="3" t="n"/>
      <c r="B219" s="4" t="n"/>
      <c r="C219" s="3" t="n"/>
      <c r="D219" s="4" t="n"/>
      <c r="E219" s="3" t="n"/>
      <c r="F219" s="3" t="n"/>
      <c r="G219" s="3" t="n"/>
      <c r="H219" s="4" t="n"/>
      <c r="I219" s="4" t="n"/>
      <c r="J219" s="3">
        <f>INDEX(Проверки!$F:$F, ROW())</f>
        <v/>
      </c>
      <c r="K219" s="3">
        <f>INDEX(Проверки!$D:$D, ROW())</f>
        <v/>
      </c>
      <c r="L219" s="3">
        <f>INDEX(Проверки!$G:$G, ROW())</f>
        <v/>
      </c>
    </row>
    <row r="220">
      <c r="A220" s="3" t="n"/>
      <c r="B220" s="4" t="n"/>
      <c r="C220" s="3" t="n"/>
      <c r="D220" s="4" t="n"/>
      <c r="E220" s="3" t="n"/>
      <c r="F220" s="3" t="n"/>
      <c r="G220" s="3" t="n"/>
      <c r="H220" s="4" t="n"/>
      <c r="I220" s="4" t="n"/>
      <c r="J220" s="3">
        <f>INDEX(Проверки!$F:$F, ROW())</f>
        <v/>
      </c>
      <c r="K220" s="3">
        <f>INDEX(Проверки!$D:$D, ROW())</f>
        <v/>
      </c>
      <c r="L220" s="3">
        <f>INDEX(Проверки!$G:$G, ROW())</f>
        <v/>
      </c>
    </row>
    <row r="221">
      <c r="A221" s="3" t="n"/>
      <c r="B221" s="4" t="n"/>
      <c r="C221" s="3" t="n"/>
      <c r="D221" s="4" t="n"/>
      <c r="E221" s="3" t="n"/>
      <c r="F221" s="3" t="n"/>
      <c r="G221" s="3" t="n"/>
      <c r="H221" s="4" t="n"/>
      <c r="I221" s="4" t="n"/>
      <c r="J221" s="3">
        <f>INDEX(Проверки!$F:$F, ROW())</f>
        <v/>
      </c>
      <c r="K221" s="3">
        <f>INDEX(Проверки!$D:$D, ROW())</f>
        <v/>
      </c>
      <c r="L221" s="3">
        <f>INDEX(Проверки!$G:$G, ROW())</f>
        <v/>
      </c>
    </row>
    <row r="222">
      <c r="A222" s="3" t="n"/>
      <c r="B222" s="4" t="n"/>
      <c r="C222" s="3" t="n"/>
      <c r="D222" s="4" t="n"/>
      <c r="E222" s="3" t="n"/>
      <c r="F222" s="3" t="n"/>
      <c r="G222" s="3" t="n"/>
      <c r="H222" s="4" t="n"/>
      <c r="I222" s="4" t="n"/>
      <c r="J222" s="3">
        <f>INDEX(Проверки!$F:$F, ROW())</f>
        <v/>
      </c>
      <c r="K222" s="3">
        <f>INDEX(Проверки!$D:$D, ROW())</f>
        <v/>
      </c>
      <c r="L222" s="3">
        <f>INDEX(Проверки!$G:$G, ROW())</f>
        <v/>
      </c>
    </row>
    <row r="223">
      <c r="A223" s="3" t="n"/>
      <c r="B223" s="4" t="n"/>
      <c r="C223" s="3" t="n"/>
      <c r="D223" s="4" t="n"/>
      <c r="E223" s="3" t="n"/>
      <c r="F223" s="3" t="n"/>
      <c r="G223" s="3" t="n"/>
      <c r="H223" s="4" t="n"/>
      <c r="I223" s="4" t="n"/>
      <c r="J223" s="3">
        <f>INDEX(Проверки!$F:$F, ROW())</f>
        <v/>
      </c>
      <c r="K223" s="3">
        <f>INDEX(Проверки!$D:$D, ROW())</f>
        <v/>
      </c>
      <c r="L223" s="3">
        <f>INDEX(Проверки!$G:$G, ROW())</f>
        <v/>
      </c>
    </row>
    <row r="224">
      <c r="A224" s="3" t="n"/>
      <c r="B224" s="4" t="n"/>
      <c r="C224" s="3" t="n"/>
      <c r="D224" s="4" t="n"/>
      <c r="E224" s="3" t="n"/>
      <c r="F224" s="3" t="n"/>
      <c r="G224" s="3" t="n"/>
      <c r="H224" s="4" t="n"/>
      <c r="I224" s="4" t="n"/>
      <c r="J224" s="3">
        <f>INDEX(Проверки!$F:$F, ROW())</f>
        <v/>
      </c>
      <c r="K224" s="3">
        <f>INDEX(Проверки!$D:$D, ROW())</f>
        <v/>
      </c>
      <c r="L224" s="3">
        <f>INDEX(Проверки!$G:$G, ROW())</f>
        <v/>
      </c>
    </row>
    <row r="225">
      <c r="A225" s="3" t="n"/>
      <c r="B225" s="4" t="n"/>
      <c r="C225" s="3" t="n"/>
      <c r="D225" s="4" t="n"/>
      <c r="E225" s="3" t="n"/>
      <c r="F225" s="3" t="n"/>
      <c r="G225" s="3" t="n"/>
      <c r="H225" s="4" t="n"/>
      <c r="I225" s="4" t="n"/>
      <c r="J225" s="3">
        <f>INDEX(Проверки!$F:$F, ROW())</f>
        <v/>
      </c>
      <c r="K225" s="3">
        <f>INDEX(Проверки!$D:$D, ROW())</f>
        <v/>
      </c>
      <c r="L225" s="3">
        <f>INDEX(Проверки!$G:$G, ROW())</f>
        <v/>
      </c>
    </row>
    <row r="226">
      <c r="A226" s="3" t="n"/>
      <c r="B226" s="4" t="n"/>
      <c r="C226" s="3" t="n"/>
      <c r="D226" s="4" t="n"/>
      <c r="E226" s="3" t="n"/>
      <c r="F226" s="3" t="n"/>
      <c r="G226" s="3" t="n"/>
      <c r="H226" s="4" t="n"/>
      <c r="I226" s="4" t="n"/>
      <c r="J226" s="3">
        <f>INDEX(Проверки!$F:$F, ROW())</f>
        <v/>
      </c>
      <c r="K226" s="3">
        <f>INDEX(Проверки!$D:$D, ROW())</f>
        <v/>
      </c>
      <c r="L226" s="3">
        <f>INDEX(Проверки!$G:$G, ROW())</f>
        <v/>
      </c>
    </row>
    <row r="227">
      <c r="A227" s="3" t="n"/>
      <c r="B227" s="4" t="n"/>
      <c r="C227" s="3" t="n"/>
      <c r="D227" s="4" t="n"/>
      <c r="E227" s="3" t="n"/>
      <c r="F227" s="3" t="n"/>
      <c r="G227" s="3" t="n"/>
      <c r="H227" s="4" t="n"/>
      <c r="I227" s="4" t="n"/>
      <c r="J227" s="3">
        <f>INDEX(Проверки!$F:$F, ROW())</f>
        <v/>
      </c>
      <c r="K227" s="3">
        <f>INDEX(Проверки!$D:$D, ROW())</f>
        <v/>
      </c>
      <c r="L227" s="3">
        <f>INDEX(Проверки!$G:$G, ROW())</f>
        <v/>
      </c>
    </row>
    <row r="228">
      <c r="A228" s="3" t="n"/>
      <c r="B228" s="4" t="n"/>
      <c r="C228" s="3" t="n"/>
      <c r="D228" s="4" t="n"/>
      <c r="E228" s="3" t="n"/>
      <c r="F228" s="3" t="n"/>
      <c r="G228" s="3" t="n"/>
      <c r="H228" s="4" t="n"/>
      <c r="I228" s="4" t="n"/>
      <c r="J228" s="3">
        <f>INDEX(Проверки!$F:$F, ROW())</f>
        <v/>
      </c>
      <c r="K228" s="3">
        <f>INDEX(Проверки!$D:$D, ROW())</f>
        <v/>
      </c>
      <c r="L228" s="3">
        <f>INDEX(Проверки!$G:$G, ROW())</f>
        <v/>
      </c>
    </row>
    <row r="229">
      <c r="A229" s="3" t="n"/>
      <c r="B229" s="4" t="n"/>
      <c r="C229" s="3" t="n"/>
      <c r="D229" s="4" t="n"/>
      <c r="E229" s="3" t="n"/>
      <c r="F229" s="3" t="n"/>
      <c r="G229" s="3" t="n"/>
      <c r="H229" s="4" t="n"/>
      <c r="I229" s="4" t="n"/>
      <c r="J229" s="3">
        <f>INDEX(Проверки!$F:$F, ROW())</f>
        <v/>
      </c>
      <c r="K229" s="3">
        <f>INDEX(Проверки!$D:$D, ROW())</f>
        <v/>
      </c>
      <c r="L229" s="3">
        <f>INDEX(Проверки!$G:$G, ROW())</f>
        <v/>
      </c>
    </row>
    <row r="230">
      <c r="A230" s="3" t="n"/>
      <c r="B230" s="4" t="n"/>
      <c r="C230" s="3" t="n"/>
      <c r="D230" s="4" t="n"/>
      <c r="E230" s="3" t="n"/>
      <c r="F230" s="3" t="n"/>
      <c r="G230" s="3" t="n"/>
      <c r="H230" s="4" t="n"/>
      <c r="I230" s="4" t="n"/>
      <c r="J230" s="3">
        <f>INDEX(Проверки!$F:$F, ROW())</f>
        <v/>
      </c>
      <c r="K230" s="3">
        <f>INDEX(Проверки!$D:$D, ROW())</f>
        <v/>
      </c>
      <c r="L230" s="3">
        <f>INDEX(Проверки!$G:$G, ROW())</f>
        <v/>
      </c>
    </row>
    <row r="231">
      <c r="A231" s="3" t="n"/>
      <c r="B231" s="4" t="n"/>
      <c r="C231" s="3" t="n"/>
      <c r="D231" s="4" t="n"/>
      <c r="E231" s="3" t="n"/>
      <c r="F231" s="3" t="n"/>
      <c r="G231" s="3" t="n"/>
      <c r="H231" s="4" t="n"/>
      <c r="I231" s="4" t="n"/>
      <c r="J231" s="3">
        <f>INDEX(Проверки!$F:$F, ROW())</f>
        <v/>
      </c>
      <c r="K231" s="3">
        <f>INDEX(Проверки!$D:$D, ROW())</f>
        <v/>
      </c>
      <c r="L231" s="3">
        <f>INDEX(Проверки!$G:$G, ROW())</f>
        <v/>
      </c>
    </row>
    <row r="232">
      <c r="A232" s="3" t="n"/>
      <c r="B232" s="4" t="n"/>
      <c r="C232" s="3" t="n"/>
      <c r="D232" s="4" t="n"/>
      <c r="E232" s="3" t="n"/>
      <c r="F232" s="3" t="n"/>
      <c r="G232" s="3" t="n"/>
      <c r="H232" s="4" t="n"/>
      <c r="I232" s="4" t="n"/>
      <c r="J232" s="3">
        <f>INDEX(Проверки!$F:$F, ROW())</f>
        <v/>
      </c>
      <c r="K232" s="3">
        <f>INDEX(Проверки!$D:$D, ROW())</f>
        <v/>
      </c>
      <c r="L232" s="3">
        <f>INDEX(Проверки!$G:$G, ROW())</f>
        <v/>
      </c>
    </row>
    <row r="233">
      <c r="A233" s="3" t="n"/>
      <c r="B233" s="4" t="n"/>
      <c r="C233" s="3" t="n"/>
      <c r="D233" s="4" t="n"/>
      <c r="E233" s="3" t="n"/>
      <c r="F233" s="3" t="n"/>
      <c r="G233" s="3" t="n"/>
      <c r="H233" s="4" t="n"/>
      <c r="I233" s="4" t="n"/>
      <c r="J233" s="3">
        <f>INDEX(Проверки!$F:$F, ROW())</f>
        <v/>
      </c>
      <c r="K233" s="3">
        <f>INDEX(Проверки!$D:$D, ROW())</f>
        <v/>
      </c>
      <c r="L233" s="3">
        <f>INDEX(Проверки!$G:$G, ROW())</f>
        <v/>
      </c>
    </row>
    <row r="234">
      <c r="A234" s="3" t="n"/>
      <c r="B234" s="4" t="n"/>
      <c r="C234" s="3" t="n"/>
      <c r="D234" s="4" t="n"/>
      <c r="E234" s="3" t="n"/>
      <c r="F234" s="3" t="n"/>
      <c r="G234" s="3" t="n"/>
      <c r="H234" s="4" t="n"/>
      <c r="I234" s="4" t="n"/>
      <c r="J234" s="3">
        <f>INDEX(Проверки!$F:$F, ROW())</f>
        <v/>
      </c>
      <c r="K234" s="3">
        <f>INDEX(Проверки!$D:$D, ROW())</f>
        <v/>
      </c>
      <c r="L234" s="3">
        <f>INDEX(Проверки!$G:$G, ROW())</f>
        <v/>
      </c>
    </row>
    <row r="235">
      <c r="A235" s="3" t="n"/>
      <c r="B235" s="4" t="n"/>
      <c r="C235" s="3" t="n"/>
      <c r="D235" s="4" t="n"/>
      <c r="E235" s="3" t="n"/>
      <c r="F235" s="3" t="n"/>
      <c r="G235" s="3" t="n"/>
      <c r="H235" s="4" t="n"/>
      <c r="I235" s="4" t="n"/>
      <c r="J235" s="3">
        <f>INDEX(Проверки!$F:$F, ROW())</f>
        <v/>
      </c>
      <c r="K235" s="3">
        <f>INDEX(Проверки!$D:$D, ROW())</f>
        <v/>
      </c>
      <c r="L235" s="3">
        <f>INDEX(Проверки!$G:$G, ROW())</f>
        <v/>
      </c>
    </row>
    <row r="236">
      <c r="A236" s="3" t="n"/>
      <c r="B236" s="4" t="n"/>
      <c r="C236" s="3" t="n"/>
      <c r="D236" s="4" t="n"/>
      <c r="E236" s="3" t="n"/>
      <c r="F236" s="3" t="n"/>
      <c r="G236" s="3" t="n"/>
      <c r="H236" s="4" t="n"/>
      <c r="I236" s="4" t="n"/>
      <c r="J236" s="3">
        <f>INDEX(Проверки!$F:$F, ROW())</f>
        <v/>
      </c>
      <c r="K236" s="3">
        <f>INDEX(Проверки!$D:$D, ROW())</f>
        <v/>
      </c>
      <c r="L236" s="3">
        <f>INDEX(Проверки!$G:$G, ROW())</f>
        <v/>
      </c>
    </row>
    <row r="237">
      <c r="A237" s="3" t="n"/>
      <c r="B237" s="4" t="n"/>
      <c r="C237" s="3" t="n"/>
      <c r="D237" s="4" t="n"/>
      <c r="E237" s="3" t="n"/>
      <c r="F237" s="3" t="n"/>
      <c r="G237" s="3" t="n"/>
      <c r="H237" s="4" t="n"/>
      <c r="I237" s="4" t="n"/>
      <c r="J237" s="3">
        <f>INDEX(Проверки!$F:$F, ROW())</f>
        <v/>
      </c>
      <c r="K237" s="3">
        <f>INDEX(Проверки!$D:$D, ROW())</f>
        <v/>
      </c>
      <c r="L237" s="3">
        <f>INDEX(Проверки!$G:$G, ROW())</f>
        <v/>
      </c>
    </row>
    <row r="238">
      <c r="A238" s="3" t="n"/>
      <c r="B238" s="4" t="n"/>
      <c r="C238" s="3" t="n"/>
      <c r="D238" s="4" t="n"/>
      <c r="E238" s="3" t="n"/>
      <c r="F238" s="3" t="n"/>
      <c r="G238" s="3" t="n"/>
      <c r="H238" s="4" t="n"/>
      <c r="I238" s="4" t="n"/>
      <c r="J238" s="3">
        <f>INDEX(Проверки!$F:$F, ROW())</f>
        <v/>
      </c>
      <c r="K238" s="3">
        <f>INDEX(Проверки!$D:$D, ROW())</f>
        <v/>
      </c>
      <c r="L238" s="3">
        <f>INDEX(Проверки!$G:$G, ROW())</f>
        <v/>
      </c>
    </row>
    <row r="239">
      <c r="A239" s="3" t="n"/>
      <c r="B239" s="4" t="n"/>
      <c r="C239" s="3" t="n"/>
      <c r="D239" s="4" t="n"/>
      <c r="E239" s="3" t="n"/>
      <c r="F239" s="3" t="n"/>
      <c r="G239" s="3" t="n"/>
      <c r="H239" s="4" t="n"/>
      <c r="I239" s="4" t="n"/>
      <c r="J239" s="3">
        <f>INDEX(Проверки!$F:$F, ROW())</f>
        <v/>
      </c>
      <c r="K239" s="3">
        <f>INDEX(Проверки!$D:$D, ROW())</f>
        <v/>
      </c>
      <c r="L239" s="3">
        <f>INDEX(Проверки!$G:$G, ROW())</f>
        <v/>
      </c>
    </row>
    <row r="240">
      <c r="A240" s="3" t="n"/>
      <c r="B240" s="4" t="n"/>
      <c r="C240" s="3" t="n"/>
      <c r="D240" s="4" t="n"/>
      <c r="E240" s="3" t="n"/>
      <c r="F240" s="3" t="n"/>
      <c r="G240" s="3" t="n"/>
      <c r="H240" s="4" t="n"/>
      <c r="I240" s="4" t="n"/>
      <c r="J240" s="3">
        <f>INDEX(Проверки!$F:$F, ROW())</f>
        <v/>
      </c>
      <c r="K240" s="3">
        <f>INDEX(Проверки!$D:$D, ROW())</f>
        <v/>
      </c>
      <c r="L240" s="3">
        <f>INDEX(Проверки!$G:$G, ROW())</f>
        <v/>
      </c>
    </row>
    <row r="241">
      <c r="A241" s="3" t="n"/>
      <c r="B241" s="4" t="n"/>
      <c r="C241" s="3" t="n"/>
      <c r="D241" s="4" t="n"/>
      <c r="E241" s="3" t="n"/>
      <c r="F241" s="3" t="n"/>
      <c r="G241" s="3" t="n"/>
      <c r="H241" s="4" t="n"/>
      <c r="I241" s="4" t="n"/>
      <c r="J241" s="3">
        <f>INDEX(Проверки!$F:$F, ROW())</f>
        <v/>
      </c>
      <c r="K241" s="3">
        <f>INDEX(Проверки!$D:$D, ROW())</f>
        <v/>
      </c>
      <c r="L241" s="3">
        <f>INDEX(Проверки!$G:$G, ROW())</f>
        <v/>
      </c>
    </row>
    <row r="242">
      <c r="A242" s="3" t="n"/>
      <c r="B242" s="4" t="n"/>
      <c r="C242" s="3" t="n"/>
      <c r="D242" s="4" t="n"/>
      <c r="E242" s="3" t="n"/>
      <c r="F242" s="3" t="n"/>
      <c r="G242" s="3" t="n"/>
      <c r="H242" s="4" t="n"/>
      <c r="I242" s="4" t="n"/>
      <c r="J242" s="3">
        <f>INDEX(Проверки!$F:$F, ROW())</f>
        <v/>
      </c>
      <c r="K242" s="3">
        <f>INDEX(Проверки!$D:$D, ROW())</f>
        <v/>
      </c>
      <c r="L242" s="3">
        <f>INDEX(Проверки!$G:$G, ROW())</f>
        <v/>
      </c>
    </row>
    <row r="243">
      <c r="A243" s="3" t="n"/>
      <c r="B243" s="4" t="n"/>
      <c r="C243" s="3" t="n"/>
      <c r="D243" s="4" t="n"/>
      <c r="E243" s="3" t="n"/>
      <c r="F243" s="3" t="n"/>
      <c r="G243" s="3" t="n"/>
      <c r="H243" s="4" t="n"/>
      <c r="I243" s="4" t="n"/>
      <c r="J243" s="3">
        <f>INDEX(Проверки!$F:$F, ROW())</f>
        <v/>
      </c>
      <c r="K243" s="3">
        <f>INDEX(Проверки!$D:$D, ROW())</f>
        <v/>
      </c>
      <c r="L243" s="3">
        <f>INDEX(Проверки!$G:$G, ROW())</f>
        <v/>
      </c>
    </row>
    <row r="244">
      <c r="A244" s="3" t="n"/>
      <c r="B244" s="4" t="n"/>
      <c r="C244" s="3" t="n"/>
      <c r="D244" s="4" t="n"/>
      <c r="E244" s="3" t="n"/>
      <c r="F244" s="3" t="n"/>
      <c r="G244" s="3" t="n"/>
      <c r="H244" s="4" t="n"/>
      <c r="I244" s="4" t="n"/>
      <c r="J244" s="3">
        <f>INDEX(Проверки!$F:$F, ROW())</f>
        <v/>
      </c>
      <c r="K244" s="3">
        <f>INDEX(Проверки!$D:$D, ROW())</f>
        <v/>
      </c>
      <c r="L244" s="3">
        <f>INDEX(Проверки!$G:$G, ROW())</f>
        <v/>
      </c>
    </row>
    <row r="245">
      <c r="A245" s="3" t="n"/>
      <c r="B245" s="4" t="n"/>
      <c r="C245" s="3" t="n"/>
      <c r="D245" s="4" t="n"/>
      <c r="E245" s="3" t="n"/>
      <c r="F245" s="3" t="n"/>
      <c r="G245" s="3" t="n"/>
      <c r="H245" s="4" t="n"/>
      <c r="I245" s="4" t="n"/>
      <c r="J245" s="3">
        <f>INDEX(Проверки!$F:$F, ROW())</f>
        <v/>
      </c>
      <c r="K245" s="3">
        <f>INDEX(Проверки!$D:$D, ROW())</f>
        <v/>
      </c>
      <c r="L245" s="3">
        <f>INDEX(Проверки!$G:$G, ROW())</f>
        <v/>
      </c>
    </row>
    <row r="246">
      <c r="A246" s="3" t="n"/>
      <c r="B246" s="4" t="n"/>
      <c r="C246" s="3" t="n"/>
      <c r="D246" s="4" t="n"/>
      <c r="E246" s="3" t="n"/>
      <c r="F246" s="3" t="n"/>
      <c r="G246" s="3" t="n"/>
      <c r="H246" s="4" t="n"/>
      <c r="I246" s="4" t="n"/>
      <c r="J246" s="3">
        <f>INDEX(Проверки!$F:$F, ROW())</f>
        <v/>
      </c>
      <c r="K246" s="3">
        <f>INDEX(Проверки!$D:$D, ROW())</f>
        <v/>
      </c>
      <c r="L246" s="3">
        <f>INDEX(Проверки!$G:$G, ROW())</f>
        <v/>
      </c>
    </row>
    <row r="247">
      <c r="A247" s="3" t="n"/>
      <c r="B247" s="4" t="n"/>
      <c r="C247" s="3" t="n"/>
      <c r="D247" s="4" t="n"/>
      <c r="E247" s="3" t="n"/>
      <c r="F247" s="3" t="n"/>
      <c r="G247" s="3" t="n"/>
      <c r="H247" s="4" t="n"/>
      <c r="I247" s="4" t="n"/>
      <c r="J247" s="3">
        <f>INDEX(Проверки!$F:$F, ROW())</f>
        <v/>
      </c>
      <c r="K247" s="3">
        <f>INDEX(Проверки!$D:$D, ROW())</f>
        <v/>
      </c>
      <c r="L247" s="3">
        <f>INDEX(Проверки!$G:$G, ROW())</f>
        <v/>
      </c>
    </row>
    <row r="248">
      <c r="A248" s="3" t="n"/>
      <c r="B248" s="4" t="n"/>
      <c r="C248" s="3" t="n"/>
      <c r="D248" s="4" t="n"/>
      <c r="E248" s="3" t="n"/>
      <c r="F248" s="3" t="n"/>
      <c r="G248" s="3" t="n"/>
      <c r="H248" s="4" t="n"/>
      <c r="I248" s="4" t="n"/>
      <c r="J248" s="3">
        <f>INDEX(Проверки!$F:$F, ROW())</f>
        <v/>
      </c>
      <c r="K248" s="3">
        <f>INDEX(Проверки!$D:$D, ROW())</f>
        <v/>
      </c>
      <c r="L248" s="3">
        <f>INDEX(Проверки!$G:$G, ROW())</f>
        <v/>
      </c>
    </row>
    <row r="249">
      <c r="A249" s="3" t="n"/>
      <c r="B249" s="4" t="n"/>
      <c r="C249" s="3" t="n"/>
      <c r="D249" s="4" t="n"/>
      <c r="E249" s="3" t="n"/>
      <c r="F249" s="3" t="n"/>
      <c r="G249" s="3" t="n"/>
      <c r="H249" s="4" t="n"/>
      <c r="I249" s="4" t="n"/>
      <c r="J249" s="3">
        <f>INDEX(Проверки!$F:$F, ROW())</f>
        <v/>
      </c>
      <c r="K249" s="3">
        <f>INDEX(Проверки!$D:$D, ROW())</f>
        <v/>
      </c>
      <c r="L249" s="3">
        <f>INDEX(Проверки!$G:$G, ROW())</f>
        <v/>
      </c>
    </row>
    <row r="250">
      <c r="A250" s="3" t="n"/>
      <c r="B250" s="4" t="n"/>
      <c r="C250" s="3" t="n"/>
      <c r="D250" s="4" t="n"/>
      <c r="E250" s="3" t="n"/>
      <c r="F250" s="3" t="n"/>
      <c r="G250" s="3" t="n"/>
      <c r="H250" s="4" t="n"/>
      <c r="I250" s="4" t="n"/>
      <c r="J250" s="3">
        <f>INDEX(Проверки!$F:$F, ROW())</f>
        <v/>
      </c>
      <c r="K250" s="3">
        <f>INDEX(Проверки!$D:$D, ROW())</f>
        <v/>
      </c>
      <c r="L250" s="3">
        <f>INDEX(Проверки!$G:$G, ROW())</f>
        <v/>
      </c>
    </row>
    <row r="251">
      <c r="A251" s="3" t="n"/>
      <c r="B251" s="4" t="n"/>
      <c r="C251" s="3" t="n"/>
      <c r="D251" s="4" t="n"/>
      <c r="E251" s="3" t="n"/>
      <c r="F251" s="3" t="n"/>
      <c r="G251" s="3" t="n"/>
      <c r="H251" s="4" t="n"/>
      <c r="I251" s="4" t="n"/>
      <c r="J251" s="3">
        <f>INDEX(Проверки!$F:$F, ROW())</f>
        <v/>
      </c>
      <c r="K251" s="3">
        <f>INDEX(Проверки!$D:$D, ROW())</f>
        <v/>
      </c>
      <c r="L251" s="3">
        <f>INDEX(Проверки!$G:$G, ROW())</f>
        <v/>
      </c>
    </row>
    <row r="252">
      <c r="A252" s="3" t="n"/>
      <c r="B252" s="4" t="n"/>
      <c r="C252" s="3" t="n"/>
      <c r="D252" s="4" t="n"/>
      <c r="E252" s="3" t="n"/>
      <c r="F252" s="3" t="n"/>
      <c r="G252" s="3" t="n"/>
      <c r="H252" s="4" t="n"/>
      <c r="I252" s="4" t="n"/>
      <c r="J252" s="3">
        <f>INDEX(Проверки!$F:$F, ROW())</f>
        <v/>
      </c>
      <c r="K252" s="3">
        <f>INDEX(Проверки!$D:$D, ROW())</f>
        <v/>
      </c>
      <c r="L252" s="3">
        <f>INDEX(Проверки!$G:$G, ROW())</f>
        <v/>
      </c>
    </row>
    <row r="253">
      <c r="A253" s="3" t="n"/>
      <c r="B253" s="4" t="n"/>
      <c r="C253" s="3" t="n"/>
      <c r="D253" s="4" t="n"/>
      <c r="E253" s="3" t="n"/>
      <c r="F253" s="3" t="n"/>
      <c r="G253" s="3" t="n"/>
      <c r="H253" s="4" t="n"/>
      <c r="I253" s="4" t="n"/>
      <c r="J253" s="3">
        <f>INDEX(Проверки!$F:$F, ROW())</f>
        <v/>
      </c>
      <c r="K253" s="3">
        <f>INDEX(Проверки!$D:$D, ROW())</f>
        <v/>
      </c>
      <c r="L253" s="3">
        <f>INDEX(Проверки!$G:$G, ROW())</f>
        <v/>
      </c>
    </row>
    <row r="254">
      <c r="A254" s="3" t="n"/>
      <c r="B254" s="4" t="n"/>
      <c r="C254" s="3" t="n"/>
      <c r="D254" s="4" t="n"/>
      <c r="E254" s="3" t="n"/>
      <c r="F254" s="3" t="n"/>
      <c r="G254" s="3" t="n"/>
      <c r="H254" s="4" t="n"/>
      <c r="I254" s="4" t="n"/>
      <c r="J254" s="3">
        <f>INDEX(Проверки!$F:$F, ROW())</f>
        <v/>
      </c>
      <c r="K254" s="3">
        <f>INDEX(Проверки!$D:$D, ROW())</f>
        <v/>
      </c>
      <c r="L254" s="3">
        <f>INDEX(Проверки!$G:$G, ROW())</f>
        <v/>
      </c>
    </row>
    <row r="255">
      <c r="A255" s="3" t="n"/>
      <c r="B255" s="4" t="n"/>
      <c r="C255" s="3" t="n"/>
      <c r="D255" s="4" t="n"/>
      <c r="E255" s="3" t="n"/>
      <c r="F255" s="3" t="n"/>
      <c r="G255" s="3" t="n"/>
      <c r="H255" s="4" t="n"/>
      <c r="I255" s="4" t="n"/>
      <c r="J255" s="3">
        <f>INDEX(Проверки!$F:$F, ROW())</f>
        <v/>
      </c>
      <c r="K255" s="3">
        <f>INDEX(Проверки!$D:$D, ROW())</f>
        <v/>
      </c>
      <c r="L255" s="3">
        <f>INDEX(Проверки!$G:$G, ROW())</f>
        <v/>
      </c>
    </row>
    <row r="256">
      <c r="A256" s="3" t="n"/>
      <c r="B256" s="4" t="n"/>
      <c r="C256" s="3" t="n"/>
      <c r="D256" s="4" t="n"/>
      <c r="E256" s="3" t="n"/>
      <c r="F256" s="3" t="n"/>
      <c r="G256" s="3" t="n"/>
      <c r="H256" s="4" t="n"/>
      <c r="I256" s="4" t="n"/>
      <c r="J256" s="3">
        <f>INDEX(Проверки!$F:$F, ROW())</f>
        <v/>
      </c>
      <c r="K256" s="3">
        <f>INDEX(Проверки!$D:$D, ROW())</f>
        <v/>
      </c>
      <c r="L256" s="3">
        <f>INDEX(Проверки!$G:$G, ROW())</f>
        <v/>
      </c>
    </row>
    <row r="257">
      <c r="A257" s="3" t="n"/>
      <c r="B257" s="4" t="n"/>
      <c r="C257" s="3" t="n"/>
      <c r="D257" s="4" t="n"/>
      <c r="E257" s="3" t="n"/>
      <c r="F257" s="3" t="n"/>
      <c r="G257" s="3" t="n"/>
      <c r="H257" s="4" t="n"/>
      <c r="I257" s="4" t="n"/>
      <c r="J257" s="3">
        <f>INDEX(Проверки!$F:$F, ROW())</f>
        <v/>
      </c>
      <c r="K257" s="3">
        <f>INDEX(Проверки!$D:$D, ROW())</f>
        <v/>
      </c>
      <c r="L257" s="3">
        <f>INDEX(Проверки!$G:$G, ROW())</f>
        <v/>
      </c>
    </row>
    <row r="258">
      <c r="A258" s="3" t="n"/>
      <c r="B258" s="4" t="n"/>
      <c r="C258" s="3" t="n"/>
      <c r="D258" s="4" t="n"/>
      <c r="E258" s="3" t="n"/>
      <c r="F258" s="3" t="n"/>
      <c r="G258" s="3" t="n"/>
      <c r="H258" s="4" t="n"/>
      <c r="I258" s="4" t="n"/>
      <c r="J258" s="3">
        <f>INDEX(Проверки!$F:$F, ROW())</f>
        <v/>
      </c>
      <c r="K258" s="3">
        <f>INDEX(Проверки!$D:$D, ROW())</f>
        <v/>
      </c>
      <c r="L258" s="3">
        <f>INDEX(Проверки!$G:$G, ROW())</f>
        <v/>
      </c>
    </row>
    <row r="259">
      <c r="A259" s="3" t="n"/>
      <c r="B259" s="4" t="n"/>
      <c r="C259" s="3" t="n"/>
      <c r="D259" s="4" t="n"/>
      <c r="E259" s="3" t="n"/>
      <c r="F259" s="3" t="n"/>
      <c r="G259" s="3" t="n"/>
      <c r="H259" s="4" t="n"/>
      <c r="I259" s="4" t="n"/>
      <c r="J259" s="3">
        <f>INDEX(Проверки!$F:$F, ROW())</f>
        <v/>
      </c>
      <c r="K259" s="3">
        <f>INDEX(Проверки!$D:$D, ROW())</f>
        <v/>
      </c>
      <c r="L259" s="3">
        <f>INDEX(Проверки!$G:$G, ROW())</f>
        <v/>
      </c>
    </row>
    <row r="260">
      <c r="A260" s="3" t="n"/>
      <c r="B260" s="4" t="n"/>
      <c r="C260" s="3" t="n"/>
      <c r="D260" s="4" t="n"/>
      <c r="E260" s="3" t="n"/>
      <c r="F260" s="3" t="n"/>
      <c r="G260" s="3" t="n"/>
      <c r="H260" s="4" t="n"/>
      <c r="I260" s="4" t="n"/>
      <c r="J260" s="3">
        <f>INDEX(Проверки!$F:$F, ROW())</f>
        <v/>
      </c>
      <c r="K260" s="3">
        <f>INDEX(Проверки!$D:$D, ROW())</f>
        <v/>
      </c>
      <c r="L260" s="3">
        <f>INDEX(Проверки!$G:$G, ROW())</f>
        <v/>
      </c>
    </row>
    <row r="261">
      <c r="A261" s="3" t="n"/>
      <c r="B261" s="4" t="n"/>
      <c r="C261" s="3" t="n"/>
      <c r="D261" s="4" t="n"/>
      <c r="E261" s="3" t="n"/>
      <c r="F261" s="3" t="n"/>
      <c r="G261" s="3" t="n"/>
      <c r="H261" s="4" t="n"/>
      <c r="I261" s="4" t="n"/>
      <c r="J261" s="3">
        <f>INDEX(Проверки!$F:$F, ROW())</f>
        <v/>
      </c>
      <c r="K261" s="3">
        <f>INDEX(Проверки!$D:$D, ROW())</f>
        <v/>
      </c>
      <c r="L261" s="3">
        <f>INDEX(Проверки!$G:$G, ROW())</f>
        <v/>
      </c>
    </row>
    <row r="262">
      <c r="A262" s="3" t="n"/>
      <c r="B262" s="4" t="n"/>
      <c r="C262" s="3" t="n"/>
      <c r="D262" s="4" t="n"/>
      <c r="E262" s="3" t="n"/>
      <c r="F262" s="3" t="n"/>
      <c r="G262" s="3" t="n"/>
      <c r="H262" s="4" t="n"/>
      <c r="I262" s="4" t="n"/>
      <c r="J262" s="3">
        <f>INDEX(Проверки!$F:$F, ROW())</f>
        <v/>
      </c>
      <c r="K262" s="3">
        <f>INDEX(Проверки!$D:$D, ROW())</f>
        <v/>
      </c>
      <c r="L262" s="3">
        <f>INDEX(Проверки!$G:$G, ROW())</f>
        <v/>
      </c>
    </row>
    <row r="263">
      <c r="A263" s="3" t="n"/>
      <c r="B263" s="4" t="n"/>
      <c r="C263" s="3" t="n"/>
      <c r="D263" s="4" t="n"/>
      <c r="E263" s="3" t="n"/>
      <c r="F263" s="3" t="n"/>
      <c r="G263" s="3" t="n"/>
      <c r="H263" s="4" t="n"/>
      <c r="I263" s="4" t="n"/>
      <c r="J263" s="3">
        <f>INDEX(Проверки!$F:$F, ROW())</f>
        <v/>
      </c>
      <c r="K263" s="3">
        <f>INDEX(Проверки!$D:$D, ROW())</f>
        <v/>
      </c>
      <c r="L263" s="3">
        <f>INDEX(Проверки!$G:$G, ROW())</f>
        <v/>
      </c>
    </row>
    <row r="264">
      <c r="A264" s="3" t="n"/>
      <c r="B264" s="4" t="n"/>
      <c r="C264" s="3" t="n"/>
      <c r="D264" s="4" t="n"/>
      <c r="E264" s="3" t="n"/>
      <c r="F264" s="3" t="n"/>
      <c r="G264" s="3" t="n"/>
      <c r="H264" s="4" t="n"/>
      <c r="I264" s="4" t="n"/>
      <c r="J264" s="3">
        <f>INDEX(Проверки!$F:$F, ROW())</f>
        <v/>
      </c>
      <c r="K264" s="3">
        <f>INDEX(Проверки!$D:$D, ROW())</f>
        <v/>
      </c>
      <c r="L264" s="3">
        <f>INDEX(Проверки!$G:$G, ROW())</f>
        <v/>
      </c>
    </row>
    <row r="265">
      <c r="A265" s="3" t="n"/>
      <c r="B265" s="4" t="n"/>
      <c r="C265" s="3" t="n"/>
      <c r="D265" s="4" t="n"/>
      <c r="E265" s="3" t="n"/>
      <c r="F265" s="3" t="n"/>
      <c r="G265" s="3" t="n"/>
      <c r="H265" s="4" t="n"/>
      <c r="I265" s="4" t="n"/>
      <c r="J265" s="3">
        <f>INDEX(Проверки!$F:$F, ROW())</f>
        <v/>
      </c>
      <c r="K265" s="3">
        <f>INDEX(Проверки!$D:$D, ROW())</f>
        <v/>
      </c>
      <c r="L265" s="3">
        <f>INDEX(Проверки!$G:$G, ROW())</f>
        <v/>
      </c>
    </row>
    <row r="266">
      <c r="A266" s="3" t="n"/>
      <c r="B266" s="4" t="n"/>
      <c r="C266" s="3" t="n"/>
      <c r="D266" s="4" t="n"/>
      <c r="E266" s="3" t="n"/>
      <c r="F266" s="3" t="n"/>
      <c r="G266" s="3" t="n"/>
      <c r="H266" s="4" t="n"/>
      <c r="I266" s="4" t="n"/>
      <c r="J266" s="3">
        <f>INDEX(Проверки!$F:$F, ROW())</f>
        <v/>
      </c>
      <c r="K266" s="3">
        <f>INDEX(Проверки!$D:$D, ROW())</f>
        <v/>
      </c>
      <c r="L266" s="3">
        <f>INDEX(Проверки!$G:$G, ROW())</f>
        <v/>
      </c>
    </row>
    <row r="267">
      <c r="A267" s="3" t="n"/>
      <c r="B267" s="4" t="n"/>
      <c r="C267" s="3" t="n"/>
      <c r="D267" s="4" t="n"/>
      <c r="E267" s="3" t="n"/>
      <c r="F267" s="3" t="n"/>
      <c r="G267" s="3" t="n"/>
      <c r="H267" s="4" t="n"/>
      <c r="I267" s="4" t="n"/>
      <c r="J267" s="3">
        <f>INDEX(Проверки!$F:$F, ROW())</f>
        <v/>
      </c>
      <c r="K267" s="3">
        <f>INDEX(Проверки!$D:$D, ROW())</f>
        <v/>
      </c>
      <c r="L267" s="3">
        <f>INDEX(Проверки!$G:$G, ROW())</f>
        <v/>
      </c>
    </row>
    <row r="268">
      <c r="A268" s="3" t="n"/>
      <c r="B268" s="4" t="n"/>
      <c r="C268" s="3" t="n"/>
      <c r="D268" s="4" t="n"/>
      <c r="E268" s="3" t="n"/>
      <c r="F268" s="3" t="n"/>
      <c r="G268" s="3" t="n"/>
      <c r="H268" s="4" t="n"/>
      <c r="I268" s="4" t="n"/>
      <c r="J268" s="3">
        <f>INDEX(Проверки!$F:$F, ROW())</f>
        <v/>
      </c>
      <c r="K268" s="3">
        <f>INDEX(Проверки!$D:$D, ROW())</f>
        <v/>
      </c>
      <c r="L268" s="3">
        <f>INDEX(Проверки!$G:$G, ROW())</f>
        <v/>
      </c>
    </row>
    <row r="269">
      <c r="A269" s="3" t="n"/>
      <c r="B269" s="4" t="n"/>
      <c r="C269" s="3" t="n"/>
      <c r="D269" s="4" t="n"/>
      <c r="E269" s="3" t="n"/>
      <c r="F269" s="3" t="n"/>
      <c r="G269" s="3" t="n"/>
      <c r="H269" s="4" t="n"/>
      <c r="I269" s="4" t="n"/>
      <c r="J269" s="3">
        <f>INDEX(Проверки!$F:$F, ROW())</f>
        <v/>
      </c>
      <c r="K269" s="3">
        <f>INDEX(Проверки!$D:$D, ROW())</f>
        <v/>
      </c>
      <c r="L269" s="3">
        <f>INDEX(Проверки!$G:$G, ROW())</f>
        <v/>
      </c>
    </row>
    <row r="270">
      <c r="A270" s="3" t="n"/>
      <c r="B270" s="4" t="n"/>
      <c r="C270" s="3" t="n"/>
      <c r="D270" s="4" t="n"/>
      <c r="E270" s="3" t="n"/>
      <c r="F270" s="3" t="n"/>
      <c r="G270" s="3" t="n"/>
      <c r="H270" s="4" t="n"/>
      <c r="I270" s="4" t="n"/>
      <c r="J270" s="3">
        <f>INDEX(Проверки!$F:$F, ROW())</f>
        <v/>
      </c>
      <c r="K270" s="3">
        <f>INDEX(Проверки!$D:$D, ROW())</f>
        <v/>
      </c>
      <c r="L270" s="3">
        <f>INDEX(Проверки!$G:$G, ROW())</f>
        <v/>
      </c>
    </row>
    <row r="271">
      <c r="A271" s="3" t="n"/>
      <c r="B271" s="4" t="n"/>
      <c r="C271" s="3" t="n"/>
      <c r="D271" s="4" t="n"/>
      <c r="E271" s="3" t="n"/>
      <c r="F271" s="3" t="n"/>
      <c r="G271" s="3" t="n"/>
      <c r="H271" s="4" t="n"/>
      <c r="I271" s="4" t="n"/>
      <c r="J271" s="3">
        <f>INDEX(Проверки!$F:$F, ROW())</f>
        <v/>
      </c>
      <c r="K271" s="3">
        <f>INDEX(Проверки!$D:$D, ROW())</f>
        <v/>
      </c>
      <c r="L271" s="3">
        <f>INDEX(Проверки!$G:$G, ROW())</f>
        <v/>
      </c>
    </row>
    <row r="272">
      <c r="A272" s="3" t="n"/>
      <c r="B272" s="4" t="n"/>
      <c r="C272" s="3" t="n"/>
      <c r="D272" s="4" t="n"/>
      <c r="E272" s="3" t="n"/>
      <c r="F272" s="3" t="n"/>
      <c r="G272" s="3" t="n"/>
      <c r="H272" s="4" t="n"/>
      <c r="I272" s="4" t="n"/>
      <c r="J272" s="3">
        <f>INDEX(Проверки!$F:$F, ROW())</f>
        <v/>
      </c>
      <c r="K272" s="3">
        <f>INDEX(Проверки!$D:$D, ROW())</f>
        <v/>
      </c>
      <c r="L272" s="3">
        <f>INDEX(Проверки!$G:$G, ROW())</f>
        <v/>
      </c>
    </row>
    <row r="273">
      <c r="A273" s="3" t="n"/>
      <c r="B273" s="4" t="n"/>
      <c r="C273" s="3" t="n"/>
      <c r="D273" s="4" t="n"/>
      <c r="E273" s="3" t="n"/>
      <c r="F273" s="3" t="n"/>
      <c r="G273" s="3" t="n"/>
      <c r="H273" s="4" t="n"/>
      <c r="I273" s="4" t="n"/>
      <c r="J273" s="3">
        <f>INDEX(Проверки!$F:$F, ROW())</f>
        <v/>
      </c>
      <c r="K273" s="3">
        <f>INDEX(Проверки!$D:$D, ROW())</f>
        <v/>
      </c>
      <c r="L273" s="3">
        <f>INDEX(Проверки!$G:$G, ROW())</f>
        <v/>
      </c>
    </row>
    <row r="274">
      <c r="A274" s="3" t="n"/>
      <c r="B274" s="4" t="n"/>
      <c r="C274" s="3" t="n"/>
      <c r="D274" s="4" t="n"/>
      <c r="E274" s="3" t="n"/>
      <c r="F274" s="3" t="n"/>
      <c r="G274" s="3" t="n"/>
      <c r="H274" s="4" t="n"/>
      <c r="I274" s="4" t="n"/>
      <c r="J274" s="3">
        <f>INDEX(Проверки!$F:$F, ROW())</f>
        <v/>
      </c>
      <c r="K274" s="3">
        <f>INDEX(Проверки!$D:$D, ROW())</f>
        <v/>
      </c>
      <c r="L274" s="3">
        <f>INDEX(Проверки!$G:$G, ROW())</f>
        <v/>
      </c>
    </row>
    <row r="275">
      <c r="A275" s="3" t="n"/>
      <c r="B275" s="4" t="n"/>
      <c r="C275" s="3" t="n"/>
      <c r="D275" s="4" t="n"/>
      <c r="E275" s="3" t="n"/>
      <c r="F275" s="3" t="n"/>
      <c r="G275" s="3" t="n"/>
      <c r="H275" s="4" t="n"/>
      <c r="I275" s="4" t="n"/>
      <c r="J275" s="3">
        <f>INDEX(Проверки!$F:$F, ROW())</f>
        <v/>
      </c>
      <c r="K275" s="3">
        <f>INDEX(Проверки!$D:$D, ROW())</f>
        <v/>
      </c>
      <c r="L275" s="3">
        <f>INDEX(Проверки!$G:$G, ROW())</f>
        <v/>
      </c>
    </row>
    <row r="276">
      <c r="A276" s="3" t="n"/>
      <c r="B276" s="4" t="n"/>
      <c r="C276" s="3" t="n"/>
      <c r="D276" s="4" t="n"/>
      <c r="E276" s="3" t="n"/>
      <c r="F276" s="3" t="n"/>
      <c r="G276" s="3" t="n"/>
      <c r="H276" s="4" t="n"/>
      <c r="I276" s="4" t="n"/>
      <c r="J276" s="3">
        <f>INDEX(Проверки!$F:$F, ROW())</f>
        <v/>
      </c>
      <c r="K276" s="3">
        <f>INDEX(Проверки!$D:$D, ROW())</f>
        <v/>
      </c>
      <c r="L276" s="3">
        <f>INDEX(Проверки!$G:$G, ROW())</f>
        <v/>
      </c>
    </row>
    <row r="277">
      <c r="A277" s="3" t="n"/>
      <c r="B277" s="4" t="n"/>
      <c r="C277" s="3" t="n"/>
      <c r="D277" s="4" t="n"/>
      <c r="E277" s="3" t="n"/>
      <c r="F277" s="3" t="n"/>
      <c r="G277" s="3" t="n"/>
      <c r="H277" s="4" t="n"/>
      <c r="I277" s="4" t="n"/>
      <c r="J277" s="3">
        <f>INDEX(Проверки!$F:$F, ROW())</f>
        <v/>
      </c>
      <c r="K277" s="3">
        <f>INDEX(Проверки!$D:$D, ROW())</f>
        <v/>
      </c>
      <c r="L277" s="3">
        <f>INDEX(Проверки!$G:$G, ROW())</f>
        <v/>
      </c>
    </row>
    <row r="278">
      <c r="A278" s="3" t="n"/>
      <c r="B278" s="4" t="n"/>
      <c r="C278" s="3" t="n"/>
      <c r="D278" s="4" t="n"/>
      <c r="E278" s="3" t="n"/>
      <c r="F278" s="3" t="n"/>
      <c r="G278" s="3" t="n"/>
      <c r="H278" s="4" t="n"/>
      <c r="I278" s="4" t="n"/>
      <c r="J278" s="3">
        <f>INDEX(Проверки!$F:$F, ROW())</f>
        <v/>
      </c>
      <c r="K278" s="3">
        <f>INDEX(Проверки!$D:$D, ROW())</f>
        <v/>
      </c>
      <c r="L278" s="3">
        <f>INDEX(Проверки!$G:$G, ROW())</f>
        <v/>
      </c>
    </row>
    <row r="279">
      <c r="A279" s="3" t="n"/>
      <c r="B279" s="4" t="n"/>
      <c r="C279" s="3" t="n"/>
      <c r="D279" s="4" t="n"/>
      <c r="E279" s="3" t="n"/>
      <c r="F279" s="3" t="n"/>
      <c r="G279" s="3" t="n"/>
      <c r="H279" s="4" t="n"/>
      <c r="I279" s="4" t="n"/>
      <c r="J279" s="3">
        <f>INDEX(Проверки!$F:$F, ROW())</f>
        <v/>
      </c>
      <c r="K279" s="3">
        <f>INDEX(Проверки!$D:$D, ROW())</f>
        <v/>
      </c>
      <c r="L279" s="3">
        <f>INDEX(Проверки!$G:$G, ROW())</f>
        <v/>
      </c>
    </row>
    <row r="280">
      <c r="A280" s="3" t="n"/>
      <c r="B280" s="4" t="n"/>
      <c r="C280" s="3" t="n"/>
      <c r="D280" s="4" t="n"/>
      <c r="E280" s="3" t="n"/>
      <c r="F280" s="3" t="n"/>
      <c r="G280" s="3" t="n"/>
      <c r="H280" s="4" t="n"/>
      <c r="I280" s="4" t="n"/>
      <c r="J280" s="3">
        <f>INDEX(Проверки!$F:$F, ROW())</f>
        <v/>
      </c>
      <c r="K280" s="3">
        <f>INDEX(Проверки!$D:$D, ROW())</f>
        <v/>
      </c>
      <c r="L280" s="3">
        <f>INDEX(Проверки!$G:$G, ROW())</f>
        <v/>
      </c>
    </row>
    <row r="281">
      <c r="A281" s="3" t="n"/>
      <c r="B281" s="4" t="n"/>
      <c r="C281" s="3" t="n"/>
      <c r="D281" s="4" t="n"/>
      <c r="E281" s="3" t="n"/>
      <c r="F281" s="3" t="n"/>
      <c r="G281" s="3" t="n"/>
      <c r="H281" s="4" t="n"/>
      <c r="I281" s="4" t="n"/>
      <c r="J281" s="3">
        <f>INDEX(Проверки!$F:$F, ROW())</f>
        <v/>
      </c>
      <c r="K281" s="3">
        <f>INDEX(Проверки!$D:$D, ROW())</f>
        <v/>
      </c>
      <c r="L281" s="3">
        <f>INDEX(Проверки!$G:$G, ROW())</f>
        <v/>
      </c>
    </row>
    <row r="282">
      <c r="A282" s="3" t="n"/>
      <c r="B282" s="4" t="n"/>
      <c r="C282" s="3" t="n"/>
      <c r="D282" s="4" t="n"/>
      <c r="E282" s="3" t="n"/>
      <c r="F282" s="3" t="n"/>
      <c r="G282" s="3" t="n"/>
      <c r="H282" s="4" t="n"/>
      <c r="I282" s="4" t="n"/>
      <c r="J282" s="3">
        <f>INDEX(Проверки!$F:$F, ROW())</f>
        <v/>
      </c>
      <c r="K282" s="3">
        <f>INDEX(Проверки!$D:$D, ROW())</f>
        <v/>
      </c>
      <c r="L282" s="3">
        <f>INDEX(Проверки!$G:$G, ROW())</f>
        <v/>
      </c>
    </row>
    <row r="283">
      <c r="A283" s="3" t="n"/>
      <c r="B283" s="4" t="n"/>
      <c r="C283" s="3" t="n"/>
      <c r="D283" s="4" t="n"/>
      <c r="E283" s="3" t="n"/>
      <c r="F283" s="3" t="n"/>
      <c r="G283" s="3" t="n"/>
      <c r="H283" s="4" t="n"/>
      <c r="I283" s="4" t="n"/>
      <c r="J283" s="3">
        <f>INDEX(Проверки!$F:$F, ROW())</f>
        <v/>
      </c>
      <c r="K283" s="3">
        <f>INDEX(Проверки!$D:$D, ROW())</f>
        <v/>
      </c>
      <c r="L283" s="3">
        <f>INDEX(Проверки!$G:$G, ROW())</f>
        <v/>
      </c>
    </row>
    <row r="284">
      <c r="A284" s="3" t="n"/>
      <c r="B284" s="4" t="n"/>
      <c r="C284" s="3" t="n"/>
      <c r="D284" s="4" t="n"/>
      <c r="E284" s="3" t="n"/>
      <c r="F284" s="3" t="n"/>
      <c r="G284" s="3" t="n"/>
      <c r="H284" s="4" t="n"/>
      <c r="I284" s="4" t="n"/>
      <c r="J284" s="3">
        <f>INDEX(Проверки!$F:$F, ROW())</f>
        <v/>
      </c>
      <c r="K284" s="3">
        <f>INDEX(Проверки!$D:$D, ROW())</f>
        <v/>
      </c>
      <c r="L284" s="3">
        <f>INDEX(Проверки!$G:$G, ROW())</f>
        <v/>
      </c>
    </row>
    <row r="285">
      <c r="A285" s="3" t="n"/>
      <c r="B285" s="4" t="n"/>
      <c r="C285" s="3" t="n"/>
      <c r="D285" s="4" t="n"/>
      <c r="E285" s="3" t="n"/>
      <c r="F285" s="3" t="n"/>
      <c r="G285" s="3" t="n"/>
      <c r="H285" s="4" t="n"/>
      <c r="I285" s="4" t="n"/>
      <c r="J285" s="3">
        <f>INDEX(Проверки!$F:$F, ROW())</f>
        <v/>
      </c>
      <c r="K285" s="3">
        <f>INDEX(Проверки!$D:$D, ROW())</f>
        <v/>
      </c>
      <c r="L285" s="3">
        <f>INDEX(Проверки!$G:$G, ROW())</f>
        <v/>
      </c>
    </row>
    <row r="286">
      <c r="A286" s="3" t="n"/>
      <c r="B286" s="4" t="n"/>
      <c r="C286" s="3" t="n"/>
      <c r="D286" s="4" t="n"/>
      <c r="E286" s="3" t="n"/>
      <c r="F286" s="3" t="n"/>
      <c r="G286" s="3" t="n"/>
      <c r="H286" s="4" t="n"/>
      <c r="I286" s="4" t="n"/>
      <c r="J286" s="3">
        <f>INDEX(Проверки!$F:$F, ROW())</f>
        <v/>
      </c>
      <c r="K286" s="3">
        <f>INDEX(Проверки!$D:$D, ROW())</f>
        <v/>
      </c>
      <c r="L286" s="3">
        <f>INDEX(Проверки!$G:$G, ROW())</f>
        <v/>
      </c>
    </row>
    <row r="287">
      <c r="A287" s="3" t="n"/>
      <c r="B287" s="4" t="n"/>
      <c r="C287" s="3" t="n"/>
      <c r="D287" s="4" t="n"/>
      <c r="E287" s="3" t="n"/>
      <c r="F287" s="3" t="n"/>
      <c r="G287" s="3" t="n"/>
      <c r="H287" s="4" t="n"/>
      <c r="I287" s="4" t="n"/>
      <c r="J287" s="3">
        <f>INDEX(Проверки!$F:$F, ROW())</f>
        <v/>
      </c>
      <c r="K287" s="3">
        <f>INDEX(Проверки!$D:$D, ROW())</f>
        <v/>
      </c>
      <c r="L287" s="3">
        <f>INDEX(Проверки!$G:$G, ROW())</f>
        <v/>
      </c>
    </row>
    <row r="288">
      <c r="A288" s="3" t="n"/>
      <c r="B288" s="4" t="n"/>
      <c r="C288" s="3" t="n"/>
      <c r="D288" s="4" t="n"/>
      <c r="E288" s="3" t="n"/>
      <c r="F288" s="3" t="n"/>
      <c r="G288" s="3" t="n"/>
      <c r="H288" s="4" t="n"/>
      <c r="I288" s="4" t="n"/>
      <c r="J288" s="3">
        <f>INDEX(Проверки!$F:$F, ROW())</f>
        <v/>
      </c>
      <c r="K288" s="3">
        <f>INDEX(Проверки!$D:$D, ROW())</f>
        <v/>
      </c>
      <c r="L288" s="3">
        <f>INDEX(Проверки!$G:$G, ROW())</f>
        <v/>
      </c>
    </row>
    <row r="289">
      <c r="A289" s="3" t="n"/>
      <c r="B289" s="4" t="n"/>
      <c r="C289" s="3" t="n"/>
      <c r="D289" s="4" t="n"/>
      <c r="E289" s="3" t="n"/>
      <c r="F289" s="3" t="n"/>
      <c r="G289" s="3" t="n"/>
      <c r="H289" s="4" t="n"/>
      <c r="I289" s="4" t="n"/>
      <c r="J289" s="3">
        <f>INDEX(Проверки!$F:$F, ROW())</f>
        <v/>
      </c>
      <c r="K289" s="3">
        <f>INDEX(Проверки!$D:$D, ROW())</f>
        <v/>
      </c>
      <c r="L289" s="3">
        <f>INDEX(Проверки!$G:$G, ROW())</f>
        <v/>
      </c>
    </row>
    <row r="290">
      <c r="A290" s="3" t="n"/>
      <c r="B290" s="4" t="n"/>
      <c r="C290" s="3" t="n"/>
      <c r="D290" s="4" t="n"/>
      <c r="E290" s="3" t="n"/>
      <c r="F290" s="3" t="n"/>
      <c r="G290" s="3" t="n"/>
      <c r="H290" s="4" t="n"/>
      <c r="I290" s="4" t="n"/>
      <c r="J290" s="3">
        <f>INDEX(Проверки!$F:$F, ROW())</f>
        <v/>
      </c>
      <c r="K290" s="3">
        <f>INDEX(Проверки!$D:$D, ROW())</f>
        <v/>
      </c>
      <c r="L290" s="3">
        <f>INDEX(Проверки!$G:$G, ROW())</f>
        <v/>
      </c>
    </row>
    <row r="291">
      <c r="A291" s="3" t="n"/>
      <c r="B291" s="4" t="n"/>
      <c r="C291" s="3" t="n"/>
      <c r="D291" s="4" t="n"/>
      <c r="E291" s="3" t="n"/>
      <c r="F291" s="3" t="n"/>
      <c r="G291" s="3" t="n"/>
      <c r="H291" s="4" t="n"/>
      <c r="I291" s="4" t="n"/>
      <c r="J291" s="3">
        <f>INDEX(Проверки!$F:$F, ROW())</f>
        <v/>
      </c>
      <c r="K291" s="3">
        <f>INDEX(Проверки!$D:$D, ROW())</f>
        <v/>
      </c>
      <c r="L291" s="3">
        <f>INDEX(Проверки!$G:$G, ROW())</f>
        <v/>
      </c>
    </row>
    <row r="292">
      <c r="A292" s="3" t="n"/>
      <c r="B292" s="4" t="n"/>
      <c r="C292" s="3" t="n"/>
      <c r="D292" s="4" t="n"/>
      <c r="E292" s="3" t="n"/>
      <c r="F292" s="3" t="n"/>
      <c r="G292" s="3" t="n"/>
      <c r="H292" s="4" t="n"/>
      <c r="I292" s="4" t="n"/>
      <c r="J292" s="3">
        <f>INDEX(Проверки!$F:$F, ROW())</f>
        <v/>
      </c>
      <c r="K292" s="3">
        <f>INDEX(Проверки!$D:$D, ROW())</f>
        <v/>
      </c>
      <c r="L292" s="3">
        <f>INDEX(Проверки!$G:$G, ROW())</f>
        <v/>
      </c>
    </row>
    <row r="293">
      <c r="A293" s="3" t="n"/>
      <c r="B293" s="4" t="n"/>
      <c r="C293" s="3" t="n"/>
      <c r="D293" s="4" t="n"/>
      <c r="E293" s="3" t="n"/>
      <c r="F293" s="3" t="n"/>
      <c r="G293" s="3" t="n"/>
      <c r="H293" s="4" t="n"/>
      <c r="I293" s="4" t="n"/>
      <c r="J293" s="3">
        <f>INDEX(Проверки!$F:$F, ROW())</f>
        <v/>
      </c>
      <c r="K293" s="3">
        <f>INDEX(Проверки!$D:$D, ROW())</f>
        <v/>
      </c>
      <c r="L293" s="3">
        <f>INDEX(Проверки!$G:$G, ROW())</f>
        <v/>
      </c>
    </row>
    <row r="294">
      <c r="A294" s="3" t="n"/>
      <c r="B294" s="4" t="n"/>
      <c r="C294" s="3" t="n"/>
      <c r="D294" s="4" t="n"/>
      <c r="E294" s="3" t="n"/>
      <c r="F294" s="3" t="n"/>
      <c r="G294" s="3" t="n"/>
      <c r="H294" s="4" t="n"/>
      <c r="I294" s="4" t="n"/>
      <c r="J294" s="3">
        <f>INDEX(Проверки!$F:$F, ROW())</f>
        <v/>
      </c>
      <c r="K294" s="3">
        <f>INDEX(Проверки!$D:$D, ROW())</f>
        <v/>
      </c>
      <c r="L294" s="3">
        <f>INDEX(Проверки!$G:$G, ROW())</f>
        <v/>
      </c>
    </row>
    <row r="295">
      <c r="A295" s="3" t="n"/>
      <c r="B295" s="4" t="n"/>
      <c r="C295" s="3" t="n"/>
      <c r="D295" s="4" t="n"/>
      <c r="E295" s="3" t="n"/>
      <c r="F295" s="3" t="n"/>
      <c r="G295" s="3" t="n"/>
      <c r="H295" s="4" t="n"/>
      <c r="I295" s="4" t="n"/>
      <c r="J295" s="3">
        <f>INDEX(Проверки!$F:$F, ROW())</f>
        <v/>
      </c>
      <c r="K295" s="3">
        <f>INDEX(Проверки!$D:$D, ROW())</f>
        <v/>
      </c>
      <c r="L295" s="3">
        <f>INDEX(Проверки!$G:$G, ROW())</f>
        <v/>
      </c>
    </row>
    <row r="296">
      <c r="A296" s="3" t="n"/>
      <c r="B296" s="4" t="n"/>
      <c r="C296" s="3" t="n"/>
      <c r="D296" s="4" t="n"/>
      <c r="E296" s="3" t="n"/>
      <c r="F296" s="3" t="n"/>
      <c r="G296" s="3" t="n"/>
      <c r="H296" s="4" t="n"/>
      <c r="I296" s="4" t="n"/>
      <c r="J296" s="3">
        <f>INDEX(Проверки!$F:$F, ROW())</f>
        <v/>
      </c>
      <c r="K296" s="3">
        <f>INDEX(Проверки!$D:$D, ROW())</f>
        <v/>
      </c>
      <c r="L296" s="3">
        <f>INDEX(Проверки!$G:$G, ROW())</f>
        <v/>
      </c>
    </row>
    <row r="297">
      <c r="A297" s="3" t="n"/>
      <c r="B297" s="4" t="n"/>
      <c r="C297" s="3" t="n"/>
      <c r="D297" s="4" t="n"/>
      <c r="E297" s="3" t="n"/>
      <c r="F297" s="3" t="n"/>
      <c r="G297" s="3" t="n"/>
      <c r="H297" s="4" t="n"/>
      <c r="I297" s="4" t="n"/>
      <c r="J297" s="3">
        <f>INDEX(Проверки!$F:$F, ROW())</f>
        <v/>
      </c>
      <c r="K297" s="3">
        <f>INDEX(Проверки!$D:$D, ROW())</f>
        <v/>
      </c>
      <c r="L297" s="3">
        <f>INDEX(Проверки!$G:$G, ROW())</f>
        <v/>
      </c>
    </row>
    <row r="298">
      <c r="A298" s="3" t="n"/>
      <c r="B298" s="4" t="n"/>
      <c r="C298" s="3" t="n"/>
      <c r="D298" s="4" t="n"/>
      <c r="E298" s="3" t="n"/>
      <c r="F298" s="3" t="n"/>
      <c r="G298" s="3" t="n"/>
      <c r="H298" s="4" t="n"/>
      <c r="I298" s="4" t="n"/>
      <c r="J298" s="3">
        <f>INDEX(Проверки!$F:$F, ROW())</f>
        <v/>
      </c>
      <c r="K298" s="3">
        <f>INDEX(Проверки!$D:$D, ROW())</f>
        <v/>
      </c>
      <c r="L298" s="3">
        <f>INDEX(Проверки!$G:$G, ROW())</f>
        <v/>
      </c>
    </row>
    <row r="299">
      <c r="A299" s="3" t="n"/>
      <c r="B299" s="4" t="n"/>
      <c r="C299" s="3" t="n"/>
      <c r="D299" s="4" t="n"/>
      <c r="E299" s="3" t="n"/>
      <c r="F299" s="3" t="n"/>
      <c r="G299" s="3" t="n"/>
      <c r="H299" s="4" t="n"/>
      <c r="I299" s="4" t="n"/>
      <c r="J299" s="3">
        <f>INDEX(Проверки!$F:$F, ROW())</f>
        <v/>
      </c>
      <c r="K299" s="3">
        <f>INDEX(Проверки!$D:$D, ROW())</f>
        <v/>
      </c>
      <c r="L299" s="3">
        <f>INDEX(Проверки!$G:$G, ROW())</f>
        <v/>
      </c>
    </row>
    <row r="300">
      <c r="A300" s="3" t="n"/>
      <c r="B300" s="4" t="n"/>
      <c r="C300" s="3" t="n"/>
      <c r="D300" s="4" t="n"/>
      <c r="E300" s="3" t="n"/>
      <c r="F300" s="3" t="n"/>
      <c r="G300" s="3" t="n"/>
      <c r="H300" s="4" t="n"/>
      <c r="I300" s="4" t="n"/>
      <c r="J300" s="3">
        <f>INDEX(Проверки!$F:$F, ROW())</f>
        <v/>
      </c>
      <c r="K300" s="3">
        <f>INDEX(Проверки!$D:$D, ROW())</f>
        <v/>
      </c>
      <c r="L300" s="3">
        <f>INDEX(Проверки!$G:$G, ROW())</f>
        <v/>
      </c>
    </row>
    <row r="301">
      <c r="A301" s="3" t="n"/>
      <c r="B301" s="4" t="n"/>
      <c r="C301" s="3" t="n"/>
      <c r="D301" s="4" t="n"/>
      <c r="E301" s="3" t="n"/>
      <c r="F301" s="3" t="n"/>
      <c r="G301" s="3" t="n"/>
      <c r="H301" s="4" t="n"/>
      <c r="I301" s="4" t="n"/>
      <c r="J301" s="3">
        <f>INDEX(Проверки!$F:$F, ROW())</f>
        <v/>
      </c>
      <c r="K301" s="3">
        <f>INDEX(Проверки!$D:$D, ROW())</f>
        <v/>
      </c>
      <c r="L301" s="3">
        <f>INDEX(Проверки!$G:$G, ROW())</f>
        <v/>
      </c>
    </row>
    <row r="302">
      <c r="A302" s="3" t="n"/>
      <c r="B302" s="4" t="n"/>
      <c r="C302" s="3" t="n"/>
      <c r="D302" s="4" t="n"/>
      <c r="E302" s="3" t="n"/>
      <c r="F302" s="3" t="n"/>
      <c r="G302" s="3" t="n"/>
      <c r="H302" s="4" t="n"/>
      <c r="I302" s="4" t="n"/>
      <c r="J302" s="3">
        <f>INDEX(Проверки!$F:$F, ROW())</f>
        <v/>
      </c>
      <c r="K302" s="3">
        <f>INDEX(Проверки!$D:$D, ROW())</f>
        <v/>
      </c>
      <c r="L302" s="3">
        <f>INDEX(Проверки!$G:$G, ROW())</f>
        <v/>
      </c>
    </row>
    <row r="303">
      <c r="A303" s="3" t="n"/>
      <c r="B303" s="4" t="n"/>
      <c r="C303" s="3" t="n"/>
      <c r="D303" s="4" t="n"/>
      <c r="E303" s="3" t="n"/>
      <c r="F303" s="3" t="n"/>
      <c r="G303" s="3" t="n"/>
      <c r="H303" s="4" t="n"/>
      <c r="I303" s="4" t="n"/>
      <c r="J303" s="3">
        <f>INDEX(Проверки!$F:$F, ROW())</f>
        <v/>
      </c>
      <c r="K303" s="3">
        <f>INDEX(Проверки!$D:$D, ROW())</f>
        <v/>
      </c>
      <c r="L303" s="3">
        <f>INDEX(Проверки!$G:$G, ROW())</f>
        <v/>
      </c>
    </row>
    <row r="304">
      <c r="A304" s="3" t="n"/>
      <c r="B304" s="4" t="n"/>
      <c r="C304" s="3" t="n"/>
      <c r="D304" s="4" t="n"/>
      <c r="E304" s="3" t="n"/>
      <c r="F304" s="3" t="n"/>
      <c r="G304" s="3" t="n"/>
      <c r="H304" s="4" t="n"/>
      <c r="I304" s="4" t="n"/>
      <c r="J304" s="3">
        <f>INDEX(Проверки!$F:$F, ROW())</f>
        <v/>
      </c>
      <c r="K304" s="3">
        <f>INDEX(Проверки!$D:$D, ROW())</f>
        <v/>
      </c>
      <c r="L304" s="3">
        <f>INDEX(Проверки!$G:$G, ROW())</f>
        <v/>
      </c>
    </row>
    <row r="305">
      <c r="A305" s="3" t="n"/>
      <c r="B305" s="4" t="n"/>
      <c r="C305" s="3" t="n"/>
      <c r="D305" s="4" t="n"/>
      <c r="E305" s="3" t="n"/>
      <c r="F305" s="3" t="n"/>
      <c r="G305" s="3" t="n"/>
      <c r="H305" s="4" t="n"/>
      <c r="I305" s="4" t="n"/>
      <c r="J305" s="3">
        <f>INDEX(Проверки!$F:$F, ROW())</f>
        <v/>
      </c>
      <c r="K305" s="3">
        <f>INDEX(Проверки!$D:$D, ROW())</f>
        <v/>
      </c>
      <c r="L305" s="3">
        <f>INDEX(Проверки!$G:$G, ROW())</f>
        <v/>
      </c>
    </row>
    <row r="306">
      <c r="A306" s="3" t="n"/>
      <c r="B306" s="4" t="n"/>
      <c r="C306" s="3" t="n"/>
      <c r="D306" s="4" t="n"/>
      <c r="E306" s="3" t="n"/>
      <c r="F306" s="3" t="n"/>
      <c r="G306" s="3" t="n"/>
      <c r="H306" s="4" t="n"/>
      <c r="I306" s="4" t="n"/>
      <c r="J306" s="3">
        <f>INDEX(Проверки!$F:$F, ROW())</f>
        <v/>
      </c>
      <c r="K306" s="3">
        <f>INDEX(Проверки!$D:$D, ROW())</f>
        <v/>
      </c>
      <c r="L306" s="3">
        <f>INDEX(Проверки!$G:$G, ROW())</f>
        <v/>
      </c>
    </row>
    <row r="307">
      <c r="A307" s="3" t="n"/>
      <c r="B307" s="4" t="n"/>
      <c r="C307" s="3" t="n"/>
      <c r="D307" s="4" t="n"/>
      <c r="E307" s="3" t="n"/>
      <c r="F307" s="3" t="n"/>
      <c r="G307" s="3" t="n"/>
      <c r="H307" s="4" t="n"/>
      <c r="I307" s="4" t="n"/>
      <c r="J307" s="3">
        <f>INDEX(Проверки!$F:$F, ROW())</f>
        <v/>
      </c>
      <c r="K307" s="3">
        <f>INDEX(Проверки!$D:$D, ROW())</f>
        <v/>
      </c>
      <c r="L307" s="3">
        <f>INDEX(Проверки!$G:$G, ROW())</f>
        <v/>
      </c>
    </row>
    <row r="308">
      <c r="A308" s="3" t="n"/>
      <c r="B308" s="4" t="n"/>
      <c r="C308" s="3" t="n"/>
      <c r="D308" s="4" t="n"/>
      <c r="E308" s="3" t="n"/>
      <c r="F308" s="3" t="n"/>
      <c r="G308" s="3" t="n"/>
      <c r="H308" s="4" t="n"/>
      <c r="I308" s="4" t="n"/>
      <c r="J308" s="3">
        <f>INDEX(Проверки!$F:$F, ROW())</f>
        <v/>
      </c>
      <c r="K308" s="3">
        <f>INDEX(Проверки!$D:$D, ROW())</f>
        <v/>
      </c>
      <c r="L308" s="3">
        <f>INDEX(Проверки!$G:$G, ROW())</f>
        <v/>
      </c>
    </row>
    <row r="309">
      <c r="A309" s="3" t="n"/>
      <c r="B309" s="4" t="n"/>
      <c r="C309" s="3" t="n"/>
      <c r="D309" s="4" t="n"/>
      <c r="E309" s="3" t="n"/>
      <c r="F309" s="3" t="n"/>
      <c r="G309" s="3" t="n"/>
      <c r="H309" s="4" t="n"/>
      <c r="I309" s="4" t="n"/>
      <c r="J309" s="3">
        <f>INDEX(Проверки!$F:$F, ROW())</f>
        <v/>
      </c>
      <c r="K309" s="3">
        <f>INDEX(Проверки!$D:$D, ROW())</f>
        <v/>
      </c>
      <c r="L309" s="3">
        <f>INDEX(Проверки!$G:$G, ROW())</f>
        <v/>
      </c>
    </row>
    <row r="310">
      <c r="A310" s="3" t="n"/>
      <c r="B310" s="4" t="n"/>
      <c r="C310" s="3" t="n"/>
      <c r="D310" s="4" t="n"/>
      <c r="E310" s="3" t="n"/>
      <c r="F310" s="3" t="n"/>
      <c r="G310" s="3" t="n"/>
      <c r="H310" s="4" t="n"/>
      <c r="I310" s="4" t="n"/>
      <c r="J310" s="3">
        <f>INDEX(Проверки!$F:$F, ROW())</f>
        <v/>
      </c>
      <c r="K310" s="3">
        <f>INDEX(Проверки!$D:$D, ROW())</f>
        <v/>
      </c>
      <c r="L310" s="3">
        <f>INDEX(Проверки!$G:$G, ROW())</f>
        <v/>
      </c>
    </row>
    <row r="311">
      <c r="A311" s="3" t="n"/>
      <c r="B311" s="4" t="n"/>
      <c r="C311" s="3" t="n"/>
      <c r="D311" s="4" t="n"/>
      <c r="E311" s="3" t="n"/>
      <c r="F311" s="3" t="n"/>
      <c r="G311" s="3" t="n"/>
      <c r="H311" s="4" t="n"/>
      <c r="I311" s="4" t="n"/>
      <c r="J311" s="3">
        <f>INDEX(Проверки!$F:$F, ROW())</f>
        <v/>
      </c>
      <c r="K311" s="3">
        <f>INDEX(Проверки!$D:$D, ROW())</f>
        <v/>
      </c>
      <c r="L311" s="3">
        <f>INDEX(Проверки!$G:$G, ROW())</f>
        <v/>
      </c>
    </row>
    <row r="312">
      <c r="A312" s="3" t="n"/>
      <c r="B312" s="4" t="n"/>
      <c r="C312" s="3" t="n"/>
      <c r="D312" s="4" t="n"/>
      <c r="E312" s="3" t="n"/>
      <c r="F312" s="3" t="n"/>
      <c r="G312" s="3" t="n"/>
      <c r="H312" s="4" t="n"/>
      <c r="I312" s="4" t="n"/>
      <c r="J312" s="3">
        <f>INDEX(Проверки!$F:$F, ROW())</f>
        <v/>
      </c>
      <c r="K312" s="3">
        <f>INDEX(Проверки!$D:$D, ROW())</f>
        <v/>
      </c>
      <c r="L312" s="3">
        <f>INDEX(Проверки!$G:$G, ROW())</f>
        <v/>
      </c>
    </row>
    <row r="313">
      <c r="A313" s="3" t="n"/>
      <c r="B313" s="4" t="n"/>
      <c r="C313" s="3" t="n"/>
      <c r="D313" s="4" t="n"/>
      <c r="E313" s="3" t="n"/>
      <c r="F313" s="3" t="n"/>
      <c r="G313" s="3" t="n"/>
      <c r="H313" s="4" t="n"/>
      <c r="I313" s="4" t="n"/>
      <c r="J313" s="3">
        <f>INDEX(Проверки!$F:$F, ROW())</f>
        <v/>
      </c>
      <c r="K313" s="3">
        <f>INDEX(Проверки!$D:$D, ROW())</f>
        <v/>
      </c>
      <c r="L313" s="3">
        <f>INDEX(Проверки!$G:$G, ROW())</f>
        <v/>
      </c>
    </row>
    <row r="314">
      <c r="A314" s="3" t="n"/>
      <c r="B314" s="4" t="n"/>
      <c r="C314" s="3" t="n"/>
      <c r="D314" s="4" t="n"/>
      <c r="E314" s="3" t="n"/>
      <c r="F314" s="3" t="n"/>
      <c r="G314" s="3" t="n"/>
      <c r="H314" s="4" t="n"/>
      <c r="I314" s="4" t="n"/>
      <c r="J314" s="3">
        <f>INDEX(Проверки!$F:$F, ROW())</f>
        <v/>
      </c>
      <c r="K314" s="3">
        <f>INDEX(Проверки!$D:$D, ROW())</f>
        <v/>
      </c>
      <c r="L314" s="3">
        <f>INDEX(Проверки!$G:$G, ROW())</f>
        <v/>
      </c>
    </row>
    <row r="315">
      <c r="A315" s="3" t="n"/>
      <c r="B315" s="4" t="n"/>
      <c r="C315" s="3" t="n"/>
      <c r="D315" s="4" t="n"/>
      <c r="E315" s="3" t="n"/>
      <c r="F315" s="3" t="n"/>
      <c r="G315" s="3" t="n"/>
      <c r="H315" s="4" t="n"/>
      <c r="I315" s="4" t="n"/>
      <c r="J315" s="3">
        <f>INDEX(Проверки!$F:$F, ROW())</f>
        <v/>
      </c>
      <c r="K315" s="3">
        <f>INDEX(Проверки!$D:$D, ROW())</f>
        <v/>
      </c>
      <c r="L315" s="3">
        <f>INDEX(Проверки!$G:$G, ROW())</f>
        <v/>
      </c>
    </row>
    <row r="316">
      <c r="A316" s="3" t="n"/>
      <c r="B316" s="4" t="n"/>
      <c r="C316" s="3" t="n"/>
      <c r="D316" s="4" t="n"/>
      <c r="E316" s="3" t="n"/>
      <c r="F316" s="3" t="n"/>
      <c r="G316" s="3" t="n"/>
      <c r="H316" s="4" t="n"/>
      <c r="I316" s="4" t="n"/>
      <c r="J316" s="3">
        <f>INDEX(Проверки!$F:$F, ROW())</f>
        <v/>
      </c>
      <c r="K316" s="3">
        <f>INDEX(Проверки!$D:$D, ROW())</f>
        <v/>
      </c>
      <c r="L316" s="3">
        <f>INDEX(Проверки!$G:$G, ROW())</f>
        <v/>
      </c>
    </row>
    <row r="317">
      <c r="A317" s="3" t="n"/>
      <c r="B317" s="4" t="n"/>
      <c r="C317" s="3" t="n"/>
      <c r="D317" s="4" t="n"/>
      <c r="E317" s="3" t="n"/>
      <c r="F317" s="3" t="n"/>
      <c r="G317" s="3" t="n"/>
      <c r="H317" s="4" t="n"/>
      <c r="I317" s="4" t="n"/>
      <c r="J317" s="3">
        <f>INDEX(Проверки!$F:$F, ROW())</f>
        <v/>
      </c>
      <c r="K317" s="3">
        <f>INDEX(Проверки!$D:$D, ROW())</f>
        <v/>
      </c>
      <c r="L317" s="3">
        <f>INDEX(Проверки!$G:$G, ROW())</f>
        <v/>
      </c>
    </row>
    <row r="318">
      <c r="A318" s="3" t="n"/>
      <c r="B318" s="4" t="n"/>
      <c r="C318" s="3" t="n"/>
      <c r="D318" s="4" t="n"/>
      <c r="E318" s="3" t="n"/>
      <c r="F318" s="3" t="n"/>
      <c r="G318" s="3" t="n"/>
      <c r="H318" s="4" t="n"/>
      <c r="I318" s="4" t="n"/>
      <c r="J318" s="3">
        <f>INDEX(Проверки!$F:$F, ROW())</f>
        <v/>
      </c>
      <c r="K318" s="3">
        <f>INDEX(Проверки!$D:$D, ROW())</f>
        <v/>
      </c>
      <c r="L318" s="3">
        <f>INDEX(Проверки!$G:$G, ROW())</f>
        <v/>
      </c>
    </row>
    <row r="319">
      <c r="A319" s="3" t="n"/>
      <c r="B319" s="4" t="n"/>
      <c r="C319" s="3" t="n"/>
      <c r="D319" s="4" t="n"/>
      <c r="E319" s="3" t="n"/>
      <c r="F319" s="3" t="n"/>
      <c r="G319" s="3" t="n"/>
      <c r="H319" s="4" t="n"/>
      <c r="I319" s="4" t="n"/>
      <c r="J319" s="3">
        <f>INDEX(Проверки!$F:$F, ROW())</f>
        <v/>
      </c>
      <c r="K319" s="3">
        <f>INDEX(Проверки!$D:$D, ROW())</f>
        <v/>
      </c>
      <c r="L319" s="3">
        <f>INDEX(Проверки!$G:$G, ROW())</f>
        <v/>
      </c>
    </row>
    <row r="320">
      <c r="A320" s="3" t="n"/>
      <c r="B320" s="4" t="n"/>
      <c r="C320" s="3" t="n"/>
      <c r="D320" s="4" t="n"/>
      <c r="E320" s="3" t="n"/>
      <c r="F320" s="3" t="n"/>
      <c r="G320" s="3" t="n"/>
      <c r="H320" s="4" t="n"/>
      <c r="I320" s="4" t="n"/>
      <c r="J320" s="3">
        <f>INDEX(Проверки!$F:$F, ROW())</f>
        <v/>
      </c>
      <c r="K320" s="3">
        <f>INDEX(Проверки!$D:$D, ROW())</f>
        <v/>
      </c>
      <c r="L320" s="3">
        <f>INDEX(Проверки!$G:$G, ROW())</f>
        <v/>
      </c>
    </row>
    <row r="321">
      <c r="A321" s="3" t="n"/>
      <c r="B321" s="4" t="n"/>
      <c r="C321" s="3" t="n"/>
      <c r="D321" s="4" t="n"/>
      <c r="E321" s="3" t="n"/>
      <c r="F321" s="3" t="n"/>
      <c r="G321" s="3" t="n"/>
      <c r="H321" s="4" t="n"/>
      <c r="I321" s="4" t="n"/>
      <c r="J321" s="3">
        <f>INDEX(Проверки!$F:$F, ROW())</f>
        <v/>
      </c>
      <c r="K321" s="3">
        <f>INDEX(Проверки!$D:$D, ROW())</f>
        <v/>
      </c>
      <c r="L321" s="3">
        <f>INDEX(Проверки!$G:$G, ROW())</f>
        <v/>
      </c>
    </row>
    <row r="322">
      <c r="A322" s="3" t="n"/>
      <c r="B322" s="4" t="n"/>
      <c r="C322" s="3" t="n"/>
      <c r="D322" s="4" t="n"/>
      <c r="E322" s="3" t="n"/>
      <c r="F322" s="3" t="n"/>
      <c r="G322" s="3" t="n"/>
      <c r="H322" s="4" t="n"/>
      <c r="I322" s="4" t="n"/>
      <c r="J322" s="3">
        <f>INDEX(Проверки!$F:$F, ROW())</f>
        <v/>
      </c>
      <c r="K322" s="3">
        <f>INDEX(Проверки!$D:$D, ROW())</f>
        <v/>
      </c>
      <c r="L322" s="3">
        <f>INDEX(Проверки!$G:$G, ROW())</f>
        <v/>
      </c>
    </row>
    <row r="323">
      <c r="A323" s="3" t="n"/>
      <c r="B323" s="4" t="n"/>
      <c r="C323" s="3" t="n"/>
      <c r="D323" s="4" t="n"/>
      <c r="E323" s="3" t="n"/>
      <c r="F323" s="3" t="n"/>
      <c r="G323" s="3" t="n"/>
      <c r="H323" s="4" t="n"/>
      <c r="I323" s="4" t="n"/>
      <c r="J323" s="3">
        <f>INDEX(Проверки!$F:$F, ROW())</f>
        <v/>
      </c>
      <c r="K323" s="3">
        <f>INDEX(Проверки!$D:$D, ROW())</f>
        <v/>
      </c>
      <c r="L323" s="3">
        <f>INDEX(Проверки!$G:$G, ROW())</f>
        <v/>
      </c>
    </row>
    <row r="324">
      <c r="A324" s="3" t="n"/>
      <c r="B324" s="4" t="n"/>
      <c r="C324" s="3" t="n"/>
      <c r="D324" s="4" t="n"/>
      <c r="E324" s="3" t="n"/>
      <c r="F324" s="3" t="n"/>
      <c r="G324" s="3" t="n"/>
      <c r="H324" s="4" t="n"/>
      <c r="I324" s="4" t="n"/>
      <c r="J324" s="3">
        <f>INDEX(Проверки!$F:$F, ROW())</f>
        <v/>
      </c>
      <c r="K324" s="3">
        <f>INDEX(Проверки!$D:$D, ROW())</f>
        <v/>
      </c>
      <c r="L324" s="3">
        <f>INDEX(Проверки!$G:$G, ROW())</f>
        <v/>
      </c>
    </row>
    <row r="325">
      <c r="A325" s="3" t="n"/>
      <c r="B325" s="4" t="n"/>
      <c r="C325" s="3" t="n"/>
      <c r="D325" s="4" t="n"/>
      <c r="E325" s="3" t="n"/>
      <c r="F325" s="3" t="n"/>
      <c r="G325" s="3" t="n"/>
      <c r="H325" s="4" t="n"/>
      <c r="I325" s="4" t="n"/>
      <c r="J325" s="3">
        <f>INDEX(Проверки!$F:$F, ROW())</f>
        <v/>
      </c>
      <c r="K325" s="3">
        <f>INDEX(Проверки!$D:$D, ROW())</f>
        <v/>
      </c>
      <c r="L325" s="3">
        <f>INDEX(Проверки!$G:$G, ROW())</f>
        <v/>
      </c>
    </row>
    <row r="326">
      <c r="A326" s="3" t="n"/>
      <c r="B326" s="4" t="n"/>
      <c r="C326" s="3" t="n"/>
      <c r="D326" s="4" t="n"/>
      <c r="E326" s="3" t="n"/>
      <c r="F326" s="3" t="n"/>
      <c r="G326" s="3" t="n"/>
      <c r="H326" s="4" t="n"/>
      <c r="I326" s="4" t="n"/>
      <c r="J326" s="3">
        <f>INDEX(Проверки!$F:$F, ROW())</f>
        <v/>
      </c>
      <c r="K326" s="3">
        <f>INDEX(Проверки!$D:$D, ROW())</f>
        <v/>
      </c>
      <c r="L326" s="3">
        <f>INDEX(Проверки!$G:$G, ROW())</f>
        <v/>
      </c>
    </row>
    <row r="327">
      <c r="A327" s="3" t="n"/>
      <c r="B327" s="4" t="n"/>
      <c r="C327" s="3" t="n"/>
      <c r="D327" s="4" t="n"/>
      <c r="E327" s="3" t="n"/>
      <c r="F327" s="3" t="n"/>
      <c r="G327" s="3" t="n"/>
      <c r="H327" s="4" t="n"/>
      <c r="I327" s="4" t="n"/>
      <c r="J327" s="3">
        <f>INDEX(Проверки!$F:$F, ROW())</f>
        <v/>
      </c>
      <c r="K327" s="3">
        <f>INDEX(Проверки!$D:$D, ROW())</f>
        <v/>
      </c>
      <c r="L327" s="3">
        <f>INDEX(Проверки!$G:$G, ROW())</f>
        <v/>
      </c>
    </row>
    <row r="328">
      <c r="A328" s="3" t="n"/>
      <c r="B328" s="4" t="n"/>
      <c r="C328" s="3" t="n"/>
      <c r="D328" s="4" t="n"/>
      <c r="E328" s="3" t="n"/>
      <c r="F328" s="3" t="n"/>
      <c r="G328" s="3" t="n"/>
      <c r="H328" s="4" t="n"/>
      <c r="I328" s="4" t="n"/>
      <c r="J328" s="3">
        <f>INDEX(Проверки!$F:$F, ROW())</f>
        <v/>
      </c>
      <c r="K328" s="3">
        <f>INDEX(Проверки!$D:$D, ROW())</f>
        <v/>
      </c>
      <c r="L328" s="3">
        <f>INDEX(Проверки!$G:$G, ROW())</f>
        <v/>
      </c>
    </row>
    <row r="329">
      <c r="A329" s="3" t="n"/>
      <c r="B329" s="4" t="n"/>
      <c r="C329" s="3" t="n"/>
      <c r="D329" s="4" t="n"/>
      <c r="E329" s="3" t="n"/>
      <c r="F329" s="3" t="n"/>
      <c r="G329" s="3" t="n"/>
      <c r="H329" s="4" t="n"/>
      <c r="I329" s="4" t="n"/>
      <c r="J329" s="3">
        <f>INDEX(Проверки!$F:$F, ROW())</f>
        <v/>
      </c>
      <c r="K329" s="3">
        <f>INDEX(Проверки!$D:$D, ROW())</f>
        <v/>
      </c>
      <c r="L329" s="3">
        <f>INDEX(Проверки!$G:$G, ROW())</f>
        <v/>
      </c>
    </row>
    <row r="330">
      <c r="A330" s="3" t="n"/>
      <c r="B330" s="4" t="n"/>
      <c r="C330" s="3" t="n"/>
      <c r="D330" s="4" t="n"/>
      <c r="E330" s="3" t="n"/>
      <c r="F330" s="3" t="n"/>
      <c r="G330" s="3" t="n"/>
      <c r="H330" s="4" t="n"/>
      <c r="I330" s="4" t="n"/>
      <c r="J330" s="3">
        <f>INDEX(Проверки!$F:$F, ROW())</f>
        <v/>
      </c>
      <c r="K330" s="3">
        <f>INDEX(Проверки!$D:$D, ROW())</f>
        <v/>
      </c>
      <c r="L330" s="3">
        <f>INDEX(Проверки!$G:$G, ROW())</f>
        <v/>
      </c>
    </row>
    <row r="331">
      <c r="A331" s="3" t="n"/>
      <c r="B331" s="4" t="n"/>
      <c r="C331" s="3" t="n"/>
      <c r="D331" s="4" t="n"/>
      <c r="E331" s="3" t="n"/>
      <c r="F331" s="3" t="n"/>
      <c r="G331" s="3" t="n"/>
      <c r="H331" s="4" t="n"/>
      <c r="I331" s="4" t="n"/>
      <c r="J331" s="3">
        <f>INDEX(Проверки!$F:$F, ROW())</f>
        <v/>
      </c>
      <c r="K331" s="3">
        <f>INDEX(Проверки!$D:$D, ROW())</f>
        <v/>
      </c>
      <c r="L331" s="3">
        <f>INDEX(Проверки!$G:$G, ROW())</f>
        <v/>
      </c>
    </row>
    <row r="332">
      <c r="A332" s="3" t="n"/>
      <c r="B332" s="4" t="n"/>
      <c r="C332" s="3" t="n"/>
      <c r="D332" s="4" t="n"/>
      <c r="E332" s="3" t="n"/>
      <c r="F332" s="3" t="n"/>
      <c r="G332" s="3" t="n"/>
      <c r="H332" s="4" t="n"/>
      <c r="I332" s="4" t="n"/>
      <c r="J332" s="3">
        <f>INDEX(Проверки!$F:$F, ROW())</f>
        <v/>
      </c>
      <c r="K332" s="3">
        <f>INDEX(Проверки!$D:$D, ROW())</f>
        <v/>
      </c>
      <c r="L332" s="3">
        <f>INDEX(Проверки!$G:$G, ROW())</f>
        <v/>
      </c>
    </row>
    <row r="333">
      <c r="A333" s="3" t="n"/>
      <c r="B333" s="4" t="n"/>
      <c r="C333" s="3" t="n"/>
      <c r="D333" s="4" t="n"/>
      <c r="E333" s="3" t="n"/>
      <c r="F333" s="3" t="n"/>
      <c r="G333" s="3" t="n"/>
      <c r="H333" s="4" t="n"/>
      <c r="I333" s="4" t="n"/>
      <c r="J333" s="3">
        <f>INDEX(Проверки!$F:$F, ROW())</f>
        <v/>
      </c>
      <c r="K333" s="3">
        <f>INDEX(Проверки!$D:$D, ROW())</f>
        <v/>
      </c>
      <c r="L333" s="3">
        <f>INDEX(Проверки!$G:$G, ROW())</f>
        <v/>
      </c>
    </row>
    <row r="334">
      <c r="A334" s="3" t="n"/>
      <c r="B334" s="4" t="n"/>
      <c r="C334" s="3" t="n"/>
      <c r="D334" s="4" t="n"/>
      <c r="E334" s="3" t="n"/>
      <c r="F334" s="3" t="n"/>
      <c r="G334" s="3" t="n"/>
      <c r="H334" s="4" t="n"/>
      <c r="I334" s="4" t="n"/>
      <c r="J334" s="3">
        <f>INDEX(Проверки!$F:$F, ROW())</f>
        <v/>
      </c>
      <c r="K334" s="3">
        <f>INDEX(Проверки!$D:$D, ROW())</f>
        <v/>
      </c>
      <c r="L334" s="3">
        <f>INDEX(Проверки!$G:$G, ROW())</f>
        <v/>
      </c>
    </row>
    <row r="335">
      <c r="A335" s="3" t="n"/>
      <c r="B335" s="4" t="n"/>
      <c r="C335" s="3" t="n"/>
      <c r="D335" s="4" t="n"/>
      <c r="E335" s="3" t="n"/>
      <c r="F335" s="3" t="n"/>
      <c r="G335" s="3" t="n"/>
      <c r="H335" s="4" t="n"/>
      <c r="I335" s="4" t="n"/>
      <c r="J335" s="3">
        <f>INDEX(Проверки!$F:$F, ROW())</f>
        <v/>
      </c>
      <c r="K335" s="3">
        <f>INDEX(Проверки!$D:$D, ROW())</f>
        <v/>
      </c>
      <c r="L335" s="3">
        <f>INDEX(Проверки!$G:$G, ROW())</f>
        <v/>
      </c>
    </row>
    <row r="336">
      <c r="A336" s="3" t="n"/>
      <c r="B336" s="4" t="n"/>
      <c r="C336" s="3" t="n"/>
      <c r="D336" s="4" t="n"/>
      <c r="E336" s="3" t="n"/>
      <c r="F336" s="3" t="n"/>
      <c r="G336" s="3" t="n"/>
      <c r="H336" s="4" t="n"/>
      <c r="I336" s="4" t="n"/>
      <c r="J336" s="3">
        <f>INDEX(Проверки!$F:$F, ROW())</f>
        <v/>
      </c>
      <c r="K336" s="3">
        <f>INDEX(Проверки!$D:$D, ROW())</f>
        <v/>
      </c>
      <c r="L336" s="3">
        <f>INDEX(Проверки!$G:$G, ROW())</f>
        <v/>
      </c>
    </row>
    <row r="337">
      <c r="A337" s="3" t="n"/>
      <c r="B337" s="4" t="n"/>
      <c r="C337" s="3" t="n"/>
      <c r="D337" s="4" t="n"/>
      <c r="E337" s="3" t="n"/>
      <c r="F337" s="3" t="n"/>
      <c r="G337" s="3" t="n"/>
      <c r="H337" s="4" t="n"/>
      <c r="I337" s="4" t="n"/>
      <c r="J337" s="3">
        <f>INDEX(Проверки!$F:$F, ROW())</f>
        <v/>
      </c>
      <c r="K337" s="3">
        <f>INDEX(Проверки!$D:$D, ROW())</f>
        <v/>
      </c>
      <c r="L337" s="3">
        <f>INDEX(Проверки!$G:$G, ROW())</f>
        <v/>
      </c>
    </row>
    <row r="338">
      <c r="A338" s="3" t="n"/>
      <c r="B338" s="4" t="n"/>
      <c r="C338" s="3" t="n"/>
      <c r="D338" s="4" t="n"/>
      <c r="E338" s="3" t="n"/>
      <c r="F338" s="3" t="n"/>
      <c r="G338" s="3" t="n"/>
      <c r="H338" s="4" t="n"/>
      <c r="I338" s="4" t="n"/>
      <c r="J338" s="3">
        <f>INDEX(Проверки!$F:$F, ROW())</f>
        <v/>
      </c>
      <c r="K338" s="3">
        <f>INDEX(Проверки!$D:$D, ROW())</f>
        <v/>
      </c>
      <c r="L338" s="3">
        <f>INDEX(Проверки!$G:$G, ROW())</f>
        <v/>
      </c>
    </row>
    <row r="339">
      <c r="A339" s="3" t="n"/>
      <c r="B339" s="4" t="n"/>
      <c r="C339" s="3" t="n"/>
      <c r="D339" s="4" t="n"/>
      <c r="E339" s="3" t="n"/>
      <c r="F339" s="3" t="n"/>
      <c r="G339" s="3" t="n"/>
      <c r="H339" s="4" t="n"/>
      <c r="I339" s="4" t="n"/>
      <c r="J339" s="3">
        <f>INDEX(Проверки!$F:$F, ROW())</f>
        <v/>
      </c>
      <c r="K339" s="3">
        <f>INDEX(Проверки!$D:$D, ROW())</f>
        <v/>
      </c>
      <c r="L339" s="3">
        <f>INDEX(Проверки!$G:$G, ROW())</f>
        <v/>
      </c>
    </row>
    <row r="340">
      <c r="A340" s="3" t="n"/>
      <c r="B340" s="4" t="n"/>
      <c r="C340" s="3" t="n"/>
      <c r="D340" s="4" t="n"/>
      <c r="E340" s="3" t="n"/>
      <c r="F340" s="3" t="n"/>
      <c r="G340" s="3" t="n"/>
      <c r="H340" s="4" t="n"/>
      <c r="I340" s="4" t="n"/>
      <c r="J340" s="3">
        <f>INDEX(Проверки!$F:$F, ROW())</f>
        <v/>
      </c>
      <c r="K340" s="3">
        <f>INDEX(Проверки!$D:$D, ROW())</f>
        <v/>
      </c>
      <c r="L340" s="3">
        <f>INDEX(Проверки!$G:$G, ROW())</f>
        <v/>
      </c>
    </row>
    <row r="341">
      <c r="A341" s="3" t="n"/>
      <c r="B341" s="4" t="n"/>
      <c r="C341" s="3" t="n"/>
      <c r="D341" s="4" t="n"/>
      <c r="E341" s="3" t="n"/>
      <c r="F341" s="3" t="n"/>
      <c r="G341" s="3" t="n"/>
      <c r="H341" s="4" t="n"/>
      <c r="I341" s="4" t="n"/>
      <c r="J341" s="3">
        <f>INDEX(Проверки!$F:$F, ROW())</f>
        <v/>
      </c>
      <c r="K341" s="3">
        <f>INDEX(Проверки!$D:$D, ROW())</f>
        <v/>
      </c>
      <c r="L341" s="3">
        <f>INDEX(Проверки!$G:$G, ROW())</f>
        <v/>
      </c>
    </row>
    <row r="342">
      <c r="A342" s="3" t="n"/>
      <c r="B342" s="4" t="n"/>
      <c r="C342" s="3" t="n"/>
      <c r="D342" s="4" t="n"/>
      <c r="E342" s="3" t="n"/>
      <c r="F342" s="3" t="n"/>
      <c r="G342" s="3" t="n"/>
      <c r="H342" s="4" t="n"/>
      <c r="I342" s="4" t="n"/>
      <c r="J342" s="3">
        <f>INDEX(Проверки!$F:$F, ROW())</f>
        <v/>
      </c>
      <c r="K342" s="3">
        <f>INDEX(Проверки!$D:$D, ROW())</f>
        <v/>
      </c>
      <c r="L342" s="3">
        <f>INDEX(Проверки!$G:$G, ROW())</f>
        <v/>
      </c>
    </row>
    <row r="343">
      <c r="A343" s="3" t="n"/>
      <c r="B343" s="4" t="n"/>
      <c r="C343" s="3" t="n"/>
      <c r="D343" s="4" t="n"/>
      <c r="E343" s="3" t="n"/>
      <c r="F343" s="3" t="n"/>
      <c r="G343" s="3" t="n"/>
      <c r="H343" s="4" t="n"/>
      <c r="I343" s="4" t="n"/>
      <c r="J343" s="3">
        <f>INDEX(Проверки!$F:$F, ROW())</f>
        <v/>
      </c>
      <c r="K343" s="3">
        <f>INDEX(Проверки!$D:$D, ROW())</f>
        <v/>
      </c>
      <c r="L343" s="3">
        <f>INDEX(Проверки!$G:$G, ROW())</f>
        <v/>
      </c>
    </row>
    <row r="344">
      <c r="A344" s="3" t="n"/>
      <c r="B344" s="4" t="n"/>
      <c r="C344" s="3" t="n"/>
      <c r="D344" s="4" t="n"/>
      <c r="E344" s="3" t="n"/>
      <c r="F344" s="3" t="n"/>
      <c r="G344" s="3" t="n"/>
      <c r="H344" s="4" t="n"/>
      <c r="I344" s="4" t="n"/>
      <c r="J344" s="3">
        <f>INDEX(Проверки!$F:$F, ROW())</f>
        <v/>
      </c>
      <c r="K344" s="3">
        <f>INDEX(Проверки!$D:$D, ROW())</f>
        <v/>
      </c>
      <c r="L344" s="3">
        <f>INDEX(Проверки!$G:$G, ROW())</f>
        <v/>
      </c>
    </row>
    <row r="345">
      <c r="A345" s="3" t="n"/>
      <c r="B345" s="4" t="n"/>
      <c r="C345" s="3" t="n"/>
      <c r="D345" s="4" t="n"/>
      <c r="E345" s="3" t="n"/>
      <c r="F345" s="3" t="n"/>
      <c r="G345" s="3" t="n"/>
      <c r="H345" s="4" t="n"/>
      <c r="I345" s="4" t="n"/>
      <c r="J345" s="3">
        <f>INDEX(Проверки!$F:$F, ROW())</f>
        <v/>
      </c>
      <c r="K345" s="3">
        <f>INDEX(Проверки!$D:$D, ROW())</f>
        <v/>
      </c>
      <c r="L345" s="3">
        <f>INDEX(Проверки!$G:$G, ROW())</f>
        <v/>
      </c>
    </row>
    <row r="346">
      <c r="A346" s="3" t="n"/>
      <c r="B346" s="4" t="n"/>
      <c r="C346" s="3" t="n"/>
      <c r="D346" s="4" t="n"/>
      <c r="E346" s="3" t="n"/>
      <c r="F346" s="3" t="n"/>
      <c r="G346" s="3" t="n"/>
      <c r="H346" s="4" t="n"/>
      <c r="I346" s="4" t="n"/>
      <c r="J346" s="3">
        <f>INDEX(Проверки!$F:$F, ROW())</f>
        <v/>
      </c>
      <c r="K346" s="3">
        <f>INDEX(Проверки!$D:$D, ROW())</f>
        <v/>
      </c>
      <c r="L346" s="3">
        <f>INDEX(Проверки!$G:$G, ROW())</f>
        <v/>
      </c>
    </row>
    <row r="347">
      <c r="A347" s="3" t="n"/>
      <c r="B347" s="4" t="n"/>
      <c r="C347" s="3" t="n"/>
      <c r="D347" s="4" t="n"/>
      <c r="E347" s="3" t="n"/>
      <c r="F347" s="3" t="n"/>
      <c r="G347" s="3" t="n"/>
      <c r="H347" s="4" t="n"/>
      <c r="I347" s="4" t="n"/>
      <c r="J347" s="3">
        <f>INDEX(Проверки!$F:$F, ROW())</f>
        <v/>
      </c>
      <c r="K347" s="3">
        <f>INDEX(Проверки!$D:$D, ROW())</f>
        <v/>
      </c>
      <c r="L347" s="3">
        <f>INDEX(Проверки!$G:$G, ROW())</f>
        <v/>
      </c>
    </row>
    <row r="348">
      <c r="A348" s="3" t="n"/>
      <c r="B348" s="4" t="n"/>
      <c r="C348" s="3" t="n"/>
      <c r="D348" s="4" t="n"/>
      <c r="E348" s="3" t="n"/>
      <c r="F348" s="3" t="n"/>
      <c r="G348" s="3" t="n"/>
      <c r="H348" s="4" t="n"/>
      <c r="I348" s="4" t="n"/>
      <c r="J348" s="3">
        <f>INDEX(Проверки!$F:$F, ROW())</f>
        <v/>
      </c>
      <c r="K348" s="3">
        <f>INDEX(Проверки!$D:$D, ROW())</f>
        <v/>
      </c>
      <c r="L348" s="3">
        <f>INDEX(Проверки!$G:$G, ROW())</f>
        <v/>
      </c>
    </row>
    <row r="349">
      <c r="A349" s="3" t="n"/>
      <c r="B349" s="4" t="n"/>
      <c r="C349" s="3" t="n"/>
      <c r="D349" s="4" t="n"/>
      <c r="E349" s="3" t="n"/>
      <c r="F349" s="3" t="n"/>
      <c r="G349" s="3" t="n"/>
      <c r="H349" s="4" t="n"/>
      <c r="I349" s="4" t="n"/>
      <c r="J349" s="3">
        <f>INDEX(Проверки!$F:$F, ROW())</f>
        <v/>
      </c>
      <c r="K349" s="3">
        <f>INDEX(Проверки!$D:$D, ROW())</f>
        <v/>
      </c>
      <c r="L349" s="3">
        <f>INDEX(Проверки!$G:$G, ROW())</f>
        <v/>
      </c>
    </row>
    <row r="350">
      <c r="A350" s="3" t="n"/>
      <c r="B350" s="4" t="n"/>
      <c r="C350" s="3" t="n"/>
      <c r="D350" s="4" t="n"/>
      <c r="E350" s="3" t="n"/>
      <c r="F350" s="3" t="n"/>
      <c r="G350" s="3" t="n"/>
      <c r="H350" s="4" t="n"/>
      <c r="I350" s="4" t="n"/>
      <c r="J350" s="3">
        <f>INDEX(Проверки!$F:$F, ROW())</f>
        <v/>
      </c>
      <c r="K350" s="3">
        <f>INDEX(Проверки!$D:$D, ROW())</f>
        <v/>
      </c>
      <c r="L350" s="3">
        <f>INDEX(Проверки!$G:$G, ROW())</f>
        <v/>
      </c>
    </row>
    <row r="351">
      <c r="A351" s="3" t="n"/>
      <c r="B351" s="4" t="n"/>
      <c r="C351" s="3" t="n"/>
      <c r="D351" s="4" t="n"/>
      <c r="E351" s="3" t="n"/>
      <c r="F351" s="3" t="n"/>
      <c r="G351" s="3" t="n"/>
      <c r="H351" s="4" t="n"/>
      <c r="I351" s="4" t="n"/>
      <c r="J351" s="3">
        <f>INDEX(Проверки!$F:$F, ROW())</f>
        <v/>
      </c>
      <c r="K351" s="3">
        <f>INDEX(Проверки!$D:$D, ROW())</f>
        <v/>
      </c>
      <c r="L351" s="3">
        <f>INDEX(Проверки!$G:$G, ROW())</f>
        <v/>
      </c>
    </row>
    <row r="352">
      <c r="A352" s="3" t="n"/>
      <c r="B352" s="4" t="n"/>
      <c r="C352" s="3" t="n"/>
      <c r="D352" s="4" t="n"/>
      <c r="E352" s="3" t="n"/>
      <c r="F352" s="3" t="n"/>
      <c r="G352" s="3" t="n"/>
      <c r="H352" s="4" t="n"/>
      <c r="I352" s="4" t="n"/>
      <c r="J352" s="3">
        <f>INDEX(Проверки!$F:$F, ROW())</f>
        <v/>
      </c>
      <c r="K352" s="3">
        <f>INDEX(Проверки!$D:$D, ROW())</f>
        <v/>
      </c>
      <c r="L352" s="3">
        <f>INDEX(Проверки!$G:$G, ROW())</f>
        <v/>
      </c>
    </row>
    <row r="353">
      <c r="A353" s="3" t="n"/>
      <c r="B353" s="4" t="n"/>
      <c r="C353" s="3" t="n"/>
      <c r="D353" s="4" t="n"/>
      <c r="E353" s="3" t="n"/>
      <c r="F353" s="3" t="n"/>
      <c r="G353" s="3" t="n"/>
      <c r="H353" s="4" t="n"/>
      <c r="I353" s="4" t="n"/>
      <c r="J353" s="3">
        <f>INDEX(Проверки!$F:$F, ROW())</f>
        <v/>
      </c>
      <c r="K353" s="3">
        <f>INDEX(Проверки!$D:$D, ROW())</f>
        <v/>
      </c>
      <c r="L353" s="3">
        <f>INDEX(Проверки!$G:$G, ROW())</f>
        <v/>
      </c>
    </row>
    <row r="354">
      <c r="A354" s="3" t="n"/>
      <c r="B354" s="4" t="n"/>
      <c r="C354" s="3" t="n"/>
      <c r="D354" s="4" t="n"/>
      <c r="E354" s="3" t="n"/>
      <c r="F354" s="3" t="n"/>
      <c r="G354" s="3" t="n"/>
      <c r="H354" s="4" t="n"/>
      <c r="I354" s="4" t="n"/>
      <c r="J354" s="3">
        <f>INDEX(Проверки!$F:$F, ROW())</f>
        <v/>
      </c>
      <c r="K354" s="3">
        <f>INDEX(Проверки!$D:$D, ROW())</f>
        <v/>
      </c>
      <c r="L354" s="3">
        <f>INDEX(Проверки!$G:$G, ROW())</f>
        <v/>
      </c>
    </row>
    <row r="355">
      <c r="A355" s="3" t="n"/>
      <c r="B355" s="4" t="n"/>
      <c r="C355" s="3" t="n"/>
      <c r="D355" s="4" t="n"/>
      <c r="E355" s="3" t="n"/>
      <c r="F355" s="3" t="n"/>
      <c r="G355" s="3" t="n"/>
      <c r="H355" s="4" t="n"/>
      <c r="I355" s="4" t="n"/>
      <c r="J355" s="3">
        <f>INDEX(Проверки!$F:$F, ROW())</f>
        <v/>
      </c>
      <c r="K355" s="3">
        <f>INDEX(Проверки!$D:$D, ROW())</f>
        <v/>
      </c>
      <c r="L355" s="3">
        <f>INDEX(Проверки!$G:$G, ROW())</f>
        <v/>
      </c>
    </row>
    <row r="356">
      <c r="A356" s="3" t="n"/>
      <c r="B356" s="4" t="n"/>
      <c r="C356" s="3" t="n"/>
      <c r="D356" s="4" t="n"/>
      <c r="E356" s="3" t="n"/>
      <c r="F356" s="3" t="n"/>
      <c r="G356" s="3" t="n"/>
      <c r="H356" s="4" t="n"/>
      <c r="I356" s="4" t="n"/>
      <c r="J356" s="3">
        <f>INDEX(Проверки!$F:$F, ROW())</f>
        <v/>
      </c>
      <c r="K356" s="3">
        <f>INDEX(Проверки!$D:$D, ROW())</f>
        <v/>
      </c>
      <c r="L356" s="3">
        <f>INDEX(Проверки!$G:$G, ROW())</f>
        <v/>
      </c>
    </row>
    <row r="357">
      <c r="A357" s="3" t="n"/>
      <c r="B357" s="4" t="n"/>
      <c r="C357" s="3" t="n"/>
      <c r="D357" s="4" t="n"/>
      <c r="E357" s="3" t="n"/>
      <c r="F357" s="3" t="n"/>
      <c r="G357" s="3" t="n"/>
      <c r="H357" s="4" t="n"/>
      <c r="I357" s="4" t="n"/>
      <c r="J357" s="3">
        <f>INDEX(Проверки!$F:$F, ROW())</f>
        <v/>
      </c>
      <c r="K357" s="3">
        <f>INDEX(Проверки!$D:$D, ROW())</f>
        <v/>
      </c>
      <c r="L357" s="3">
        <f>INDEX(Проверки!$G:$G, ROW())</f>
        <v/>
      </c>
    </row>
    <row r="358">
      <c r="A358" s="3" t="n"/>
      <c r="B358" s="4" t="n"/>
      <c r="C358" s="3" t="n"/>
      <c r="D358" s="4" t="n"/>
      <c r="E358" s="3" t="n"/>
      <c r="F358" s="3" t="n"/>
      <c r="G358" s="3" t="n"/>
      <c r="H358" s="4" t="n"/>
      <c r="I358" s="4" t="n"/>
      <c r="J358" s="3">
        <f>INDEX(Проверки!$F:$F, ROW())</f>
        <v/>
      </c>
      <c r="K358" s="3">
        <f>INDEX(Проверки!$D:$D, ROW())</f>
        <v/>
      </c>
      <c r="L358" s="3">
        <f>INDEX(Проверки!$G:$G, ROW())</f>
        <v/>
      </c>
    </row>
    <row r="359">
      <c r="A359" s="3" t="n"/>
      <c r="B359" s="4" t="n"/>
      <c r="C359" s="3" t="n"/>
      <c r="D359" s="4" t="n"/>
      <c r="E359" s="3" t="n"/>
      <c r="F359" s="3" t="n"/>
      <c r="G359" s="3" t="n"/>
      <c r="H359" s="4" t="n"/>
      <c r="I359" s="4" t="n"/>
      <c r="J359" s="3">
        <f>INDEX(Проверки!$F:$F, ROW())</f>
        <v/>
      </c>
      <c r="K359" s="3">
        <f>INDEX(Проверки!$D:$D, ROW())</f>
        <v/>
      </c>
      <c r="L359" s="3">
        <f>INDEX(Проверки!$G:$G, ROW())</f>
        <v/>
      </c>
    </row>
    <row r="360">
      <c r="A360" s="3" t="n"/>
      <c r="B360" s="4" t="n"/>
      <c r="C360" s="3" t="n"/>
      <c r="D360" s="4" t="n"/>
      <c r="E360" s="3" t="n"/>
      <c r="F360" s="3" t="n"/>
      <c r="G360" s="3" t="n"/>
      <c r="H360" s="4" t="n"/>
      <c r="I360" s="4" t="n"/>
      <c r="J360" s="3">
        <f>INDEX(Проверки!$F:$F, ROW())</f>
        <v/>
      </c>
      <c r="K360" s="3">
        <f>INDEX(Проверки!$D:$D, ROW())</f>
        <v/>
      </c>
      <c r="L360" s="3">
        <f>INDEX(Проверки!$G:$G, ROW())</f>
        <v/>
      </c>
    </row>
    <row r="361">
      <c r="A361" s="3" t="n"/>
      <c r="B361" s="4" t="n"/>
      <c r="C361" s="3" t="n"/>
      <c r="D361" s="4" t="n"/>
      <c r="E361" s="3" t="n"/>
      <c r="F361" s="3" t="n"/>
      <c r="G361" s="3" t="n"/>
      <c r="H361" s="4" t="n"/>
      <c r="I361" s="4" t="n"/>
      <c r="J361" s="3">
        <f>INDEX(Проверки!$F:$F, ROW())</f>
        <v/>
      </c>
      <c r="K361" s="3">
        <f>INDEX(Проверки!$D:$D, ROW())</f>
        <v/>
      </c>
      <c r="L361" s="3">
        <f>INDEX(Проверки!$G:$G, ROW())</f>
        <v/>
      </c>
    </row>
    <row r="362">
      <c r="A362" s="3" t="n"/>
      <c r="B362" s="4" t="n"/>
      <c r="C362" s="3" t="n"/>
      <c r="D362" s="4" t="n"/>
      <c r="E362" s="3" t="n"/>
      <c r="F362" s="3" t="n"/>
      <c r="G362" s="3" t="n"/>
      <c r="H362" s="4" t="n"/>
      <c r="I362" s="4" t="n"/>
      <c r="J362" s="3">
        <f>INDEX(Проверки!$F:$F, ROW())</f>
        <v/>
      </c>
      <c r="K362" s="3">
        <f>INDEX(Проверки!$D:$D, ROW())</f>
        <v/>
      </c>
      <c r="L362" s="3">
        <f>INDEX(Проверки!$G:$G, ROW())</f>
        <v/>
      </c>
    </row>
    <row r="363">
      <c r="A363" s="3" t="n"/>
      <c r="B363" s="4" t="n"/>
      <c r="C363" s="3" t="n"/>
      <c r="D363" s="4" t="n"/>
      <c r="E363" s="3" t="n"/>
      <c r="F363" s="3" t="n"/>
      <c r="G363" s="3" t="n"/>
      <c r="H363" s="4" t="n"/>
      <c r="I363" s="4" t="n"/>
      <c r="J363" s="3">
        <f>INDEX(Проверки!$F:$F, ROW())</f>
        <v/>
      </c>
      <c r="K363" s="3">
        <f>INDEX(Проверки!$D:$D, ROW())</f>
        <v/>
      </c>
      <c r="L363" s="3">
        <f>INDEX(Проверки!$G:$G, ROW())</f>
        <v/>
      </c>
    </row>
    <row r="364">
      <c r="A364" s="3" t="n"/>
      <c r="B364" s="4" t="n"/>
      <c r="C364" s="3" t="n"/>
      <c r="D364" s="4" t="n"/>
      <c r="E364" s="3" t="n"/>
      <c r="F364" s="3" t="n"/>
      <c r="G364" s="3" t="n"/>
      <c r="H364" s="4" t="n"/>
      <c r="I364" s="4" t="n"/>
      <c r="J364" s="3">
        <f>INDEX(Проверки!$F:$F, ROW())</f>
        <v/>
      </c>
      <c r="K364" s="3">
        <f>INDEX(Проверки!$D:$D, ROW())</f>
        <v/>
      </c>
      <c r="L364" s="3">
        <f>INDEX(Проверки!$G:$G, ROW())</f>
        <v/>
      </c>
    </row>
    <row r="365">
      <c r="A365" s="3" t="n"/>
      <c r="B365" s="4" t="n"/>
      <c r="C365" s="3" t="n"/>
      <c r="D365" s="4" t="n"/>
      <c r="E365" s="3" t="n"/>
      <c r="F365" s="3" t="n"/>
      <c r="G365" s="3" t="n"/>
      <c r="H365" s="4" t="n"/>
      <c r="I365" s="4" t="n"/>
      <c r="J365" s="3">
        <f>INDEX(Проверки!$F:$F, ROW())</f>
        <v/>
      </c>
      <c r="K365" s="3">
        <f>INDEX(Проверки!$D:$D, ROW())</f>
        <v/>
      </c>
      <c r="L365" s="3">
        <f>INDEX(Проверки!$G:$G, ROW())</f>
        <v/>
      </c>
    </row>
    <row r="366">
      <c r="A366" s="3" t="n"/>
      <c r="B366" s="4" t="n"/>
      <c r="C366" s="3" t="n"/>
      <c r="D366" s="4" t="n"/>
      <c r="E366" s="3" t="n"/>
      <c r="F366" s="3" t="n"/>
      <c r="G366" s="3" t="n"/>
      <c r="H366" s="4" t="n"/>
      <c r="I366" s="4" t="n"/>
      <c r="J366" s="3">
        <f>INDEX(Проверки!$F:$F, ROW())</f>
        <v/>
      </c>
      <c r="K366" s="3">
        <f>INDEX(Проверки!$D:$D, ROW())</f>
        <v/>
      </c>
      <c r="L366" s="3">
        <f>INDEX(Проверки!$G:$G, ROW())</f>
        <v/>
      </c>
    </row>
    <row r="367">
      <c r="A367" s="3" t="n"/>
      <c r="B367" s="4" t="n"/>
      <c r="C367" s="3" t="n"/>
      <c r="D367" s="4" t="n"/>
      <c r="E367" s="3" t="n"/>
      <c r="F367" s="3" t="n"/>
      <c r="G367" s="3" t="n"/>
      <c r="H367" s="4" t="n"/>
      <c r="I367" s="4" t="n"/>
      <c r="J367" s="3">
        <f>INDEX(Проверки!$F:$F, ROW())</f>
        <v/>
      </c>
      <c r="K367" s="3">
        <f>INDEX(Проверки!$D:$D, ROW())</f>
        <v/>
      </c>
      <c r="L367" s="3">
        <f>INDEX(Проверки!$G:$G, ROW())</f>
        <v/>
      </c>
    </row>
    <row r="368">
      <c r="A368" s="3" t="n"/>
      <c r="B368" s="4" t="n"/>
      <c r="C368" s="3" t="n"/>
      <c r="D368" s="4" t="n"/>
      <c r="E368" s="3" t="n"/>
      <c r="F368" s="3" t="n"/>
      <c r="G368" s="3" t="n"/>
      <c r="H368" s="4" t="n"/>
      <c r="I368" s="4" t="n"/>
      <c r="J368" s="3">
        <f>INDEX(Проверки!$F:$F, ROW())</f>
        <v/>
      </c>
      <c r="K368" s="3">
        <f>INDEX(Проверки!$D:$D, ROW())</f>
        <v/>
      </c>
      <c r="L368" s="3">
        <f>INDEX(Проверки!$G:$G, ROW())</f>
        <v/>
      </c>
    </row>
    <row r="369">
      <c r="A369" s="3" t="n"/>
      <c r="B369" s="4" t="n"/>
      <c r="C369" s="3" t="n"/>
      <c r="D369" s="4" t="n"/>
      <c r="E369" s="3" t="n"/>
      <c r="F369" s="3" t="n"/>
      <c r="G369" s="3" t="n"/>
      <c r="H369" s="4" t="n"/>
      <c r="I369" s="4" t="n"/>
      <c r="J369" s="3">
        <f>INDEX(Проверки!$F:$F, ROW())</f>
        <v/>
      </c>
      <c r="K369" s="3">
        <f>INDEX(Проверки!$D:$D, ROW())</f>
        <v/>
      </c>
      <c r="L369" s="3">
        <f>INDEX(Проверки!$G:$G, ROW())</f>
        <v/>
      </c>
    </row>
    <row r="370">
      <c r="A370" s="3" t="n"/>
      <c r="B370" s="4" t="n"/>
      <c r="C370" s="3" t="n"/>
      <c r="D370" s="4" t="n"/>
      <c r="E370" s="3" t="n"/>
      <c r="F370" s="3" t="n"/>
      <c r="G370" s="3" t="n"/>
      <c r="H370" s="4" t="n"/>
      <c r="I370" s="4" t="n"/>
      <c r="J370" s="3">
        <f>INDEX(Проверки!$F:$F, ROW())</f>
        <v/>
      </c>
      <c r="K370" s="3">
        <f>INDEX(Проверки!$D:$D, ROW())</f>
        <v/>
      </c>
      <c r="L370" s="3">
        <f>INDEX(Проверки!$G:$G, ROW())</f>
        <v/>
      </c>
    </row>
    <row r="371">
      <c r="A371" s="3" t="n"/>
      <c r="B371" s="4" t="n"/>
      <c r="C371" s="3" t="n"/>
      <c r="D371" s="4" t="n"/>
      <c r="E371" s="3" t="n"/>
      <c r="F371" s="3" t="n"/>
      <c r="G371" s="3" t="n"/>
      <c r="H371" s="4" t="n"/>
      <c r="I371" s="4" t="n"/>
      <c r="J371" s="3">
        <f>INDEX(Проверки!$F:$F, ROW())</f>
        <v/>
      </c>
      <c r="K371" s="3">
        <f>INDEX(Проверки!$D:$D, ROW())</f>
        <v/>
      </c>
      <c r="L371" s="3">
        <f>INDEX(Проверки!$G:$G, ROW())</f>
        <v/>
      </c>
    </row>
    <row r="372">
      <c r="A372" s="3" t="n"/>
      <c r="B372" s="4" t="n"/>
      <c r="C372" s="3" t="n"/>
      <c r="D372" s="4" t="n"/>
      <c r="E372" s="3" t="n"/>
      <c r="F372" s="3" t="n"/>
      <c r="G372" s="3" t="n"/>
      <c r="H372" s="4" t="n"/>
      <c r="I372" s="4" t="n"/>
      <c r="J372" s="3">
        <f>INDEX(Проверки!$F:$F, ROW())</f>
        <v/>
      </c>
      <c r="K372" s="3">
        <f>INDEX(Проверки!$D:$D, ROW())</f>
        <v/>
      </c>
      <c r="L372" s="3">
        <f>INDEX(Проверки!$G:$G, ROW())</f>
        <v/>
      </c>
    </row>
    <row r="373">
      <c r="A373" s="3" t="n"/>
      <c r="B373" s="4" t="n"/>
      <c r="C373" s="3" t="n"/>
      <c r="D373" s="4" t="n"/>
      <c r="E373" s="3" t="n"/>
      <c r="F373" s="3" t="n"/>
      <c r="G373" s="3" t="n"/>
      <c r="H373" s="4" t="n"/>
      <c r="I373" s="4" t="n"/>
      <c r="J373" s="3">
        <f>INDEX(Проверки!$F:$F, ROW())</f>
        <v/>
      </c>
      <c r="K373" s="3">
        <f>INDEX(Проверки!$D:$D, ROW())</f>
        <v/>
      </c>
      <c r="L373" s="3">
        <f>INDEX(Проверки!$G:$G, ROW())</f>
        <v/>
      </c>
    </row>
    <row r="374">
      <c r="A374" s="3" t="n"/>
      <c r="B374" s="4" t="n"/>
      <c r="C374" s="3" t="n"/>
      <c r="D374" s="4" t="n"/>
      <c r="E374" s="3" t="n"/>
      <c r="F374" s="3" t="n"/>
      <c r="G374" s="3" t="n"/>
      <c r="H374" s="4" t="n"/>
      <c r="I374" s="4" t="n"/>
      <c r="J374" s="3">
        <f>INDEX(Проверки!$F:$F, ROW())</f>
        <v/>
      </c>
      <c r="K374" s="3">
        <f>INDEX(Проверки!$D:$D, ROW())</f>
        <v/>
      </c>
      <c r="L374" s="3">
        <f>INDEX(Проверки!$G:$G, ROW())</f>
        <v/>
      </c>
    </row>
    <row r="375">
      <c r="A375" s="3" t="n"/>
      <c r="B375" s="4" t="n"/>
      <c r="C375" s="3" t="n"/>
      <c r="D375" s="4" t="n"/>
      <c r="E375" s="3" t="n"/>
      <c r="F375" s="3" t="n"/>
      <c r="G375" s="3" t="n"/>
      <c r="H375" s="4" t="n"/>
      <c r="I375" s="4" t="n"/>
      <c r="J375" s="3">
        <f>INDEX(Проверки!$F:$F, ROW())</f>
        <v/>
      </c>
      <c r="K375" s="3">
        <f>INDEX(Проверки!$D:$D, ROW())</f>
        <v/>
      </c>
      <c r="L375" s="3">
        <f>INDEX(Проверки!$G:$G, ROW())</f>
        <v/>
      </c>
    </row>
    <row r="376">
      <c r="A376" s="3" t="n"/>
      <c r="B376" s="4" t="n"/>
      <c r="C376" s="3" t="n"/>
      <c r="D376" s="4" t="n"/>
      <c r="E376" s="3" t="n"/>
      <c r="F376" s="3" t="n"/>
      <c r="G376" s="3" t="n"/>
      <c r="H376" s="4" t="n"/>
      <c r="I376" s="4" t="n"/>
      <c r="J376" s="3">
        <f>INDEX(Проверки!$F:$F, ROW())</f>
        <v/>
      </c>
      <c r="K376" s="3">
        <f>INDEX(Проверки!$D:$D, ROW())</f>
        <v/>
      </c>
      <c r="L376" s="3">
        <f>INDEX(Проверки!$G:$G, ROW())</f>
        <v/>
      </c>
    </row>
    <row r="377">
      <c r="A377" s="3" t="n"/>
      <c r="B377" s="4" t="n"/>
      <c r="C377" s="3" t="n"/>
      <c r="D377" s="4" t="n"/>
      <c r="E377" s="3" t="n"/>
      <c r="F377" s="3" t="n"/>
      <c r="G377" s="3" t="n"/>
      <c r="H377" s="4" t="n"/>
      <c r="I377" s="4" t="n"/>
      <c r="J377" s="3">
        <f>INDEX(Проверки!$F:$F, ROW())</f>
        <v/>
      </c>
      <c r="K377" s="3">
        <f>INDEX(Проверки!$D:$D, ROW())</f>
        <v/>
      </c>
      <c r="L377" s="3">
        <f>INDEX(Проверки!$G:$G, ROW())</f>
        <v/>
      </c>
    </row>
    <row r="378">
      <c r="A378" s="3" t="n"/>
      <c r="B378" s="4" t="n"/>
      <c r="C378" s="3" t="n"/>
      <c r="D378" s="4" t="n"/>
      <c r="E378" s="3" t="n"/>
      <c r="F378" s="3" t="n"/>
      <c r="G378" s="3" t="n"/>
      <c r="H378" s="4" t="n"/>
      <c r="I378" s="4" t="n"/>
      <c r="J378" s="3">
        <f>INDEX(Проверки!$F:$F, ROW())</f>
        <v/>
      </c>
      <c r="K378" s="3">
        <f>INDEX(Проверки!$D:$D, ROW())</f>
        <v/>
      </c>
      <c r="L378" s="3">
        <f>INDEX(Проверки!$G:$G, ROW())</f>
        <v/>
      </c>
    </row>
    <row r="379">
      <c r="A379" s="3" t="n"/>
      <c r="B379" s="4" t="n"/>
      <c r="C379" s="3" t="n"/>
      <c r="D379" s="4" t="n"/>
      <c r="E379" s="3" t="n"/>
      <c r="F379" s="3" t="n"/>
      <c r="G379" s="3" t="n"/>
      <c r="H379" s="4" t="n"/>
      <c r="I379" s="4" t="n"/>
      <c r="J379" s="3">
        <f>INDEX(Проверки!$F:$F, ROW())</f>
        <v/>
      </c>
      <c r="K379" s="3">
        <f>INDEX(Проверки!$D:$D, ROW())</f>
        <v/>
      </c>
      <c r="L379" s="3">
        <f>INDEX(Проверки!$G:$G, ROW())</f>
        <v/>
      </c>
    </row>
    <row r="380">
      <c r="A380" s="3" t="n"/>
      <c r="B380" s="4" t="n"/>
      <c r="C380" s="3" t="n"/>
      <c r="D380" s="4" t="n"/>
      <c r="E380" s="3" t="n"/>
      <c r="F380" s="3" t="n"/>
      <c r="G380" s="3" t="n"/>
      <c r="H380" s="4" t="n"/>
      <c r="I380" s="4" t="n"/>
      <c r="J380" s="3">
        <f>INDEX(Проверки!$F:$F, ROW())</f>
        <v/>
      </c>
      <c r="K380" s="3">
        <f>INDEX(Проверки!$D:$D, ROW())</f>
        <v/>
      </c>
      <c r="L380" s="3">
        <f>INDEX(Проверки!$G:$G, ROW())</f>
        <v/>
      </c>
    </row>
    <row r="381">
      <c r="A381" s="3" t="n"/>
      <c r="B381" s="4" t="n"/>
      <c r="C381" s="3" t="n"/>
      <c r="D381" s="4" t="n"/>
      <c r="E381" s="3" t="n"/>
      <c r="F381" s="3" t="n"/>
      <c r="G381" s="3" t="n"/>
      <c r="H381" s="4" t="n"/>
      <c r="I381" s="4" t="n"/>
      <c r="J381" s="3">
        <f>INDEX(Проверки!$F:$F, ROW())</f>
        <v/>
      </c>
      <c r="K381" s="3">
        <f>INDEX(Проверки!$D:$D, ROW())</f>
        <v/>
      </c>
      <c r="L381" s="3">
        <f>INDEX(Проверки!$G:$G, ROW())</f>
        <v/>
      </c>
    </row>
    <row r="382">
      <c r="A382" s="3" t="n"/>
      <c r="B382" s="4" t="n"/>
      <c r="C382" s="3" t="n"/>
      <c r="D382" s="4" t="n"/>
      <c r="E382" s="3" t="n"/>
      <c r="F382" s="3" t="n"/>
      <c r="G382" s="3" t="n"/>
      <c r="H382" s="4" t="n"/>
      <c r="I382" s="4" t="n"/>
      <c r="J382" s="3">
        <f>INDEX(Проверки!$F:$F, ROW())</f>
        <v/>
      </c>
      <c r="K382" s="3">
        <f>INDEX(Проверки!$D:$D, ROW())</f>
        <v/>
      </c>
      <c r="L382" s="3">
        <f>INDEX(Проверки!$G:$G, ROW())</f>
        <v/>
      </c>
    </row>
    <row r="383">
      <c r="A383" s="3" t="n"/>
      <c r="B383" s="4" t="n"/>
      <c r="C383" s="3" t="n"/>
      <c r="D383" s="4" t="n"/>
      <c r="E383" s="3" t="n"/>
      <c r="F383" s="3" t="n"/>
      <c r="G383" s="3" t="n"/>
      <c r="H383" s="4" t="n"/>
      <c r="I383" s="4" t="n"/>
      <c r="J383" s="3">
        <f>INDEX(Проверки!$F:$F, ROW())</f>
        <v/>
      </c>
      <c r="K383" s="3">
        <f>INDEX(Проверки!$D:$D, ROW())</f>
        <v/>
      </c>
      <c r="L383" s="3">
        <f>INDEX(Проверки!$G:$G, ROW())</f>
        <v/>
      </c>
    </row>
    <row r="384">
      <c r="A384" s="3" t="n"/>
      <c r="B384" s="4" t="n"/>
      <c r="C384" s="3" t="n"/>
      <c r="D384" s="4" t="n"/>
      <c r="E384" s="3" t="n"/>
      <c r="F384" s="3" t="n"/>
      <c r="G384" s="3" t="n"/>
      <c r="H384" s="4" t="n"/>
      <c r="I384" s="4" t="n"/>
      <c r="J384" s="3">
        <f>INDEX(Проверки!$F:$F, ROW())</f>
        <v/>
      </c>
      <c r="K384" s="3">
        <f>INDEX(Проверки!$D:$D, ROW())</f>
        <v/>
      </c>
      <c r="L384" s="3">
        <f>INDEX(Проверки!$G:$G, ROW())</f>
        <v/>
      </c>
    </row>
    <row r="385">
      <c r="A385" s="3" t="n"/>
      <c r="B385" s="4" t="n"/>
      <c r="C385" s="3" t="n"/>
      <c r="D385" s="4" t="n"/>
      <c r="E385" s="3" t="n"/>
      <c r="F385" s="3" t="n"/>
      <c r="G385" s="3" t="n"/>
      <c r="H385" s="4" t="n"/>
      <c r="I385" s="4" t="n"/>
      <c r="J385" s="3">
        <f>INDEX(Проверки!$F:$F, ROW())</f>
        <v/>
      </c>
      <c r="K385" s="3">
        <f>INDEX(Проверки!$D:$D, ROW())</f>
        <v/>
      </c>
      <c r="L385" s="3">
        <f>INDEX(Проверки!$G:$G, ROW())</f>
        <v/>
      </c>
    </row>
    <row r="386">
      <c r="A386" s="3" t="n"/>
      <c r="B386" s="4" t="n"/>
      <c r="C386" s="3" t="n"/>
      <c r="D386" s="4" t="n"/>
      <c r="E386" s="3" t="n"/>
      <c r="F386" s="3" t="n"/>
      <c r="G386" s="3" t="n"/>
      <c r="H386" s="4" t="n"/>
      <c r="I386" s="4" t="n"/>
      <c r="J386" s="3">
        <f>INDEX(Проверки!$F:$F, ROW())</f>
        <v/>
      </c>
      <c r="K386" s="3">
        <f>INDEX(Проверки!$D:$D, ROW())</f>
        <v/>
      </c>
      <c r="L386" s="3">
        <f>INDEX(Проверки!$G:$G, ROW())</f>
        <v/>
      </c>
    </row>
    <row r="387">
      <c r="A387" s="3" t="n"/>
      <c r="B387" s="4" t="n"/>
      <c r="C387" s="3" t="n"/>
      <c r="D387" s="4" t="n"/>
      <c r="E387" s="3" t="n"/>
      <c r="F387" s="3" t="n"/>
      <c r="G387" s="3" t="n"/>
      <c r="H387" s="4" t="n"/>
      <c r="I387" s="4" t="n"/>
      <c r="J387" s="3">
        <f>INDEX(Проверки!$F:$F, ROW())</f>
        <v/>
      </c>
      <c r="K387" s="3">
        <f>INDEX(Проверки!$D:$D, ROW())</f>
        <v/>
      </c>
      <c r="L387" s="3">
        <f>INDEX(Проверки!$G:$G, ROW())</f>
        <v/>
      </c>
    </row>
    <row r="388">
      <c r="A388" s="3" t="n"/>
      <c r="B388" s="4" t="n"/>
      <c r="C388" s="3" t="n"/>
      <c r="D388" s="4" t="n"/>
      <c r="E388" s="3" t="n"/>
      <c r="F388" s="3" t="n"/>
      <c r="G388" s="3" t="n"/>
      <c r="H388" s="4" t="n"/>
      <c r="I388" s="4" t="n"/>
      <c r="J388" s="3">
        <f>INDEX(Проверки!$F:$F, ROW())</f>
        <v/>
      </c>
      <c r="K388" s="3">
        <f>INDEX(Проверки!$D:$D, ROW())</f>
        <v/>
      </c>
      <c r="L388" s="3">
        <f>INDEX(Проверки!$G:$G, ROW())</f>
        <v/>
      </c>
    </row>
    <row r="389">
      <c r="A389" s="3" t="n"/>
      <c r="B389" s="4" t="n"/>
      <c r="C389" s="3" t="n"/>
      <c r="D389" s="4" t="n"/>
      <c r="E389" s="3" t="n"/>
      <c r="F389" s="3" t="n"/>
      <c r="G389" s="3" t="n"/>
      <c r="H389" s="4" t="n"/>
      <c r="I389" s="4" t="n"/>
      <c r="J389" s="3">
        <f>INDEX(Проверки!$F:$F, ROW())</f>
        <v/>
      </c>
      <c r="K389" s="3">
        <f>INDEX(Проверки!$D:$D, ROW())</f>
        <v/>
      </c>
      <c r="L389" s="3">
        <f>INDEX(Проверки!$G:$G, ROW())</f>
        <v/>
      </c>
    </row>
    <row r="390">
      <c r="A390" s="3" t="n"/>
      <c r="B390" s="4" t="n"/>
      <c r="C390" s="3" t="n"/>
      <c r="D390" s="4" t="n"/>
      <c r="E390" s="3" t="n"/>
      <c r="F390" s="3" t="n"/>
      <c r="G390" s="3" t="n"/>
      <c r="H390" s="4" t="n"/>
      <c r="I390" s="4" t="n"/>
      <c r="J390" s="3">
        <f>INDEX(Проверки!$F:$F, ROW())</f>
        <v/>
      </c>
      <c r="K390" s="3">
        <f>INDEX(Проверки!$D:$D, ROW())</f>
        <v/>
      </c>
      <c r="L390" s="3">
        <f>INDEX(Проверки!$G:$G, ROW())</f>
        <v/>
      </c>
    </row>
    <row r="391">
      <c r="A391" s="3" t="n"/>
      <c r="B391" s="4" t="n"/>
      <c r="C391" s="3" t="n"/>
      <c r="D391" s="4" t="n"/>
      <c r="E391" s="3" t="n"/>
      <c r="F391" s="3" t="n"/>
      <c r="G391" s="3" t="n"/>
      <c r="H391" s="4" t="n"/>
      <c r="I391" s="4" t="n"/>
      <c r="J391" s="3">
        <f>INDEX(Проверки!$F:$F, ROW())</f>
        <v/>
      </c>
      <c r="K391" s="3">
        <f>INDEX(Проверки!$D:$D, ROW())</f>
        <v/>
      </c>
      <c r="L391" s="3">
        <f>INDEX(Проверки!$G:$G, ROW())</f>
        <v/>
      </c>
    </row>
    <row r="392">
      <c r="A392" s="3" t="n"/>
      <c r="B392" s="4" t="n"/>
      <c r="C392" s="3" t="n"/>
      <c r="D392" s="4" t="n"/>
      <c r="E392" s="3" t="n"/>
      <c r="F392" s="3" t="n"/>
      <c r="G392" s="3" t="n"/>
      <c r="H392" s="4" t="n"/>
      <c r="I392" s="4" t="n"/>
      <c r="J392" s="3">
        <f>INDEX(Проверки!$F:$F, ROW())</f>
        <v/>
      </c>
      <c r="K392" s="3">
        <f>INDEX(Проверки!$D:$D, ROW())</f>
        <v/>
      </c>
      <c r="L392" s="3">
        <f>INDEX(Проверки!$G:$G, ROW())</f>
        <v/>
      </c>
    </row>
    <row r="393">
      <c r="A393" s="3" t="n"/>
      <c r="B393" s="4" t="n"/>
      <c r="C393" s="3" t="n"/>
      <c r="D393" s="4" t="n"/>
      <c r="E393" s="3" t="n"/>
      <c r="F393" s="3" t="n"/>
      <c r="G393" s="3" t="n"/>
      <c r="H393" s="4" t="n"/>
      <c r="I393" s="4" t="n"/>
      <c r="J393" s="3">
        <f>INDEX(Проверки!$F:$F, ROW())</f>
        <v/>
      </c>
      <c r="K393" s="3">
        <f>INDEX(Проверки!$D:$D, ROW())</f>
        <v/>
      </c>
      <c r="L393" s="3">
        <f>INDEX(Проверки!$G:$G, ROW())</f>
        <v/>
      </c>
    </row>
    <row r="394">
      <c r="A394" s="3" t="n"/>
      <c r="B394" s="4" t="n"/>
      <c r="C394" s="3" t="n"/>
      <c r="D394" s="4" t="n"/>
      <c r="E394" s="3" t="n"/>
      <c r="F394" s="3" t="n"/>
      <c r="G394" s="3" t="n"/>
      <c r="H394" s="4" t="n"/>
      <c r="I394" s="4" t="n"/>
      <c r="J394" s="3">
        <f>INDEX(Проверки!$F:$F, ROW())</f>
        <v/>
      </c>
      <c r="K394" s="3">
        <f>INDEX(Проверки!$D:$D, ROW())</f>
        <v/>
      </c>
      <c r="L394" s="3">
        <f>INDEX(Проверки!$G:$G, ROW())</f>
        <v/>
      </c>
    </row>
    <row r="395">
      <c r="A395" s="3" t="n"/>
      <c r="B395" s="4" t="n"/>
      <c r="C395" s="3" t="n"/>
      <c r="D395" s="4" t="n"/>
      <c r="E395" s="3" t="n"/>
      <c r="F395" s="3" t="n"/>
      <c r="G395" s="3" t="n"/>
      <c r="H395" s="4" t="n"/>
      <c r="I395" s="4" t="n"/>
      <c r="J395" s="3">
        <f>INDEX(Проверки!$F:$F, ROW())</f>
        <v/>
      </c>
      <c r="K395" s="3">
        <f>INDEX(Проверки!$D:$D, ROW())</f>
        <v/>
      </c>
      <c r="L395" s="3">
        <f>INDEX(Проверки!$G:$G, ROW())</f>
        <v/>
      </c>
    </row>
    <row r="396">
      <c r="A396" s="3" t="n"/>
      <c r="B396" s="4" t="n"/>
      <c r="C396" s="3" t="n"/>
      <c r="D396" s="4" t="n"/>
      <c r="E396" s="3" t="n"/>
      <c r="F396" s="3" t="n"/>
      <c r="G396" s="3" t="n"/>
      <c r="H396" s="4" t="n"/>
      <c r="I396" s="4" t="n"/>
      <c r="J396" s="3">
        <f>INDEX(Проверки!$F:$F, ROW())</f>
        <v/>
      </c>
      <c r="K396" s="3">
        <f>INDEX(Проверки!$D:$D, ROW())</f>
        <v/>
      </c>
      <c r="L396" s="3">
        <f>INDEX(Проверки!$G:$G, ROW())</f>
        <v/>
      </c>
    </row>
    <row r="397">
      <c r="A397" s="3" t="n"/>
      <c r="B397" s="4" t="n"/>
      <c r="C397" s="3" t="n"/>
      <c r="D397" s="4" t="n"/>
      <c r="E397" s="3" t="n"/>
      <c r="F397" s="3" t="n"/>
      <c r="G397" s="3" t="n"/>
      <c r="H397" s="4" t="n"/>
      <c r="I397" s="4" t="n"/>
      <c r="J397" s="3">
        <f>INDEX(Проверки!$F:$F, ROW())</f>
        <v/>
      </c>
      <c r="K397" s="3">
        <f>INDEX(Проверки!$D:$D, ROW())</f>
        <v/>
      </c>
      <c r="L397" s="3">
        <f>INDEX(Проверки!$G:$G, ROW())</f>
        <v/>
      </c>
    </row>
    <row r="398">
      <c r="A398" s="3" t="n"/>
      <c r="B398" s="4" t="n"/>
      <c r="C398" s="3" t="n"/>
      <c r="D398" s="4" t="n"/>
      <c r="E398" s="3" t="n"/>
      <c r="F398" s="3" t="n"/>
      <c r="G398" s="3" t="n"/>
      <c r="H398" s="4" t="n"/>
      <c r="I398" s="4" t="n"/>
      <c r="J398" s="3">
        <f>INDEX(Проверки!$F:$F, ROW())</f>
        <v/>
      </c>
      <c r="K398" s="3">
        <f>INDEX(Проверки!$D:$D, ROW())</f>
        <v/>
      </c>
      <c r="L398" s="3">
        <f>INDEX(Проверки!$G:$G, ROW())</f>
        <v/>
      </c>
    </row>
    <row r="399">
      <c r="A399" s="3" t="n"/>
      <c r="B399" s="4" t="n"/>
      <c r="C399" s="3" t="n"/>
      <c r="D399" s="4" t="n"/>
      <c r="E399" s="3" t="n"/>
      <c r="F399" s="3" t="n"/>
      <c r="G399" s="3" t="n"/>
      <c r="H399" s="4" t="n"/>
      <c r="I399" s="4" t="n"/>
      <c r="J399" s="3">
        <f>INDEX(Проверки!$F:$F, ROW())</f>
        <v/>
      </c>
      <c r="K399" s="3">
        <f>INDEX(Проверки!$D:$D, ROW())</f>
        <v/>
      </c>
      <c r="L399" s="3">
        <f>INDEX(Проверки!$G:$G, ROW())</f>
        <v/>
      </c>
    </row>
    <row r="400">
      <c r="A400" s="3" t="n"/>
      <c r="B400" s="4" t="n"/>
      <c r="C400" s="3" t="n"/>
      <c r="D400" s="4" t="n"/>
      <c r="E400" s="3" t="n"/>
      <c r="F400" s="3" t="n"/>
      <c r="G400" s="3" t="n"/>
      <c r="H400" s="4" t="n"/>
      <c r="I400" s="4" t="n"/>
      <c r="J400" s="3">
        <f>INDEX(Проверки!$F:$F, ROW())</f>
        <v/>
      </c>
      <c r="K400" s="3">
        <f>INDEX(Проверки!$D:$D, ROW())</f>
        <v/>
      </c>
      <c r="L400" s="3">
        <f>INDEX(Проверки!$G:$G, ROW())</f>
        <v/>
      </c>
    </row>
    <row r="401">
      <c r="A401" s="3" t="n"/>
      <c r="B401" s="4" t="n"/>
      <c r="C401" s="3" t="n"/>
      <c r="D401" s="4" t="n"/>
      <c r="E401" s="3" t="n"/>
      <c r="F401" s="3" t="n"/>
      <c r="G401" s="3" t="n"/>
      <c r="H401" s="4" t="n"/>
      <c r="I401" s="4" t="n"/>
      <c r="J401" s="3">
        <f>INDEX(Проверки!$F:$F, ROW())</f>
        <v/>
      </c>
      <c r="K401" s="3">
        <f>INDEX(Проверки!$D:$D, ROW())</f>
        <v/>
      </c>
      <c r="L401" s="3">
        <f>INDEX(Проверки!$G:$G, ROW())</f>
        <v/>
      </c>
    </row>
    <row r="402">
      <c r="A402" s="3" t="n"/>
      <c r="B402" s="4" t="n"/>
      <c r="C402" s="3" t="n"/>
      <c r="D402" s="4" t="n"/>
      <c r="E402" s="3" t="n"/>
      <c r="F402" s="3" t="n"/>
      <c r="G402" s="3" t="n"/>
      <c r="H402" s="4" t="n"/>
      <c r="I402" s="4" t="n"/>
      <c r="J402" s="3">
        <f>INDEX(Проверки!$F:$F, ROW())</f>
        <v/>
      </c>
      <c r="K402" s="3">
        <f>INDEX(Проверки!$D:$D, ROW())</f>
        <v/>
      </c>
      <c r="L402" s="3">
        <f>INDEX(Проверки!$G:$G, ROW())</f>
        <v/>
      </c>
    </row>
    <row r="403">
      <c r="A403" s="3" t="n"/>
      <c r="B403" s="4" t="n"/>
      <c r="C403" s="3" t="n"/>
      <c r="D403" s="4" t="n"/>
      <c r="E403" s="3" t="n"/>
      <c r="F403" s="3" t="n"/>
      <c r="G403" s="3" t="n"/>
      <c r="H403" s="4" t="n"/>
      <c r="I403" s="4" t="n"/>
      <c r="J403" s="3">
        <f>INDEX(Проверки!$F:$F, ROW())</f>
        <v/>
      </c>
      <c r="K403" s="3">
        <f>INDEX(Проверки!$D:$D, ROW())</f>
        <v/>
      </c>
      <c r="L403" s="3">
        <f>INDEX(Проверки!$G:$G, ROW())</f>
        <v/>
      </c>
    </row>
    <row r="404">
      <c r="A404" s="3" t="n"/>
      <c r="B404" s="4" t="n"/>
      <c r="C404" s="3" t="n"/>
      <c r="D404" s="4" t="n"/>
      <c r="E404" s="3" t="n"/>
      <c r="F404" s="3" t="n"/>
      <c r="G404" s="3" t="n"/>
      <c r="H404" s="4" t="n"/>
      <c r="I404" s="4" t="n"/>
      <c r="J404" s="3">
        <f>INDEX(Проверки!$F:$F, ROW())</f>
        <v/>
      </c>
      <c r="K404" s="3">
        <f>INDEX(Проверки!$D:$D, ROW())</f>
        <v/>
      </c>
      <c r="L404" s="3">
        <f>INDEX(Проверки!$G:$G, ROW())</f>
        <v/>
      </c>
    </row>
    <row r="405">
      <c r="A405" s="3" t="n"/>
      <c r="B405" s="4" t="n"/>
      <c r="C405" s="3" t="n"/>
      <c r="D405" s="4" t="n"/>
      <c r="E405" s="3" t="n"/>
      <c r="F405" s="3" t="n"/>
      <c r="G405" s="3" t="n"/>
      <c r="H405" s="4" t="n"/>
      <c r="I405" s="4" t="n"/>
      <c r="J405" s="3">
        <f>INDEX(Проверки!$F:$F, ROW())</f>
        <v/>
      </c>
      <c r="K405" s="3">
        <f>INDEX(Проверки!$D:$D, ROW())</f>
        <v/>
      </c>
      <c r="L405" s="3">
        <f>INDEX(Проверки!$G:$G, ROW())</f>
        <v/>
      </c>
    </row>
    <row r="406">
      <c r="A406" s="3" t="n"/>
      <c r="B406" s="4" t="n"/>
      <c r="C406" s="3" t="n"/>
      <c r="D406" s="4" t="n"/>
      <c r="E406" s="3" t="n"/>
      <c r="F406" s="3" t="n"/>
      <c r="G406" s="3" t="n"/>
      <c r="H406" s="4" t="n"/>
      <c r="I406" s="4" t="n"/>
      <c r="J406" s="3">
        <f>INDEX(Проверки!$F:$F, ROW())</f>
        <v/>
      </c>
      <c r="K406" s="3">
        <f>INDEX(Проверки!$D:$D, ROW())</f>
        <v/>
      </c>
      <c r="L406" s="3">
        <f>INDEX(Проверки!$G:$G, ROW())</f>
        <v/>
      </c>
    </row>
    <row r="407">
      <c r="A407" s="3" t="n"/>
      <c r="B407" s="4" t="n"/>
      <c r="C407" s="3" t="n"/>
      <c r="D407" s="4" t="n"/>
      <c r="E407" s="3" t="n"/>
      <c r="F407" s="3" t="n"/>
      <c r="G407" s="3" t="n"/>
      <c r="H407" s="4" t="n"/>
      <c r="I407" s="4" t="n"/>
      <c r="J407" s="3">
        <f>INDEX(Проверки!$F:$F, ROW())</f>
        <v/>
      </c>
      <c r="K407" s="3">
        <f>INDEX(Проверки!$D:$D, ROW())</f>
        <v/>
      </c>
      <c r="L407" s="3">
        <f>INDEX(Проверки!$G:$G, ROW())</f>
        <v/>
      </c>
    </row>
    <row r="408">
      <c r="A408" s="3" t="n"/>
      <c r="B408" s="4" t="n"/>
      <c r="C408" s="3" t="n"/>
      <c r="D408" s="4" t="n"/>
      <c r="E408" s="3" t="n"/>
      <c r="F408" s="3" t="n"/>
      <c r="G408" s="3" t="n"/>
      <c r="H408" s="4" t="n"/>
      <c r="I408" s="4" t="n"/>
      <c r="J408" s="3">
        <f>INDEX(Проверки!$F:$F, ROW())</f>
        <v/>
      </c>
      <c r="K408" s="3">
        <f>INDEX(Проверки!$D:$D, ROW())</f>
        <v/>
      </c>
      <c r="L408" s="3">
        <f>INDEX(Проверки!$G:$G, ROW())</f>
        <v/>
      </c>
    </row>
    <row r="409">
      <c r="A409" s="3" t="n"/>
      <c r="B409" s="4" t="n"/>
      <c r="C409" s="3" t="n"/>
      <c r="D409" s="4" t="n"/>
      <c r="E409" s="3" t="n"/>
      <c r="F409" s="3" t="n"/>
      <c r="G409" s="3" t="n"/>
      <c r="H409" s="4" t="n"/>
      <c r="I409" s="4" t="n"/>
      <c r="J409" s="3">
        <f>INDEX(Проверки!$F:$F, ROW())</f>
        <v/>
      </c>
      <c r="K409" s="3">
        <f>INDEX(Проверки!$D:$D, ROW())</f>
        <v/>
      </c>
      <c r="L409" s="3">
        <f>INDEX(Проверки!$G:$G, ROW())</f>
        <v/>
      </c>
    </row>
    <row r="410">
      <c r="A410" s="3" t="n"/>
      <c r="B410" s="4" t="n"/>
      <c r="C410" s="3" t="n"/>
      <c r="D410" s="4" t="n"/>
      <c r="E410" s="3" t="n"/>
      <c r="F410" s="3" t="n"/>
      <c r="G410" s="3" t="n"/>
      <c r="H410" s="4" t="n"/>
      <c r="I410" s="4" t="n"/>
      <c r="J410" s="3">
        <f>INDEX(Проверки!$F:$F, ROW())</f>
        <v/>
      </c>
      <c r="K410" s="3">
        <f>INDEX(Проверки!$D:$D, ROW())</f>
        <v/>
      </c>
      <c r="L410" s="3">
        <f>INDEX(Проверки!$G:$G, ROW())</f>
        <v/>
      </c>
    </row>
    <row r="411">
      <c r="A411" s="3" t="n"/>
      <c r="B411" s="4" t="n"/>
      <c r="C411" s="3" t="n"/>
      <c r="D411" s="4" t="n"/>
      <c r="E411" s="3" t="n"/>
      <c r="F411" s="3" t="n"/>
      <c r="G411" s="3" t="n"/>
      <c r="H411" s="4" t="n"/>
      <c r="I411" s="4" t="n"/>
      <c r="J411" s="3">
        <f>INDEX(Проверки!$F:$F, ROW())</f>
        <v/>
      </c>
      <c r="K411" s="3">
        <f>INDEX(Проверки!$D:$D, ROW())</f>
        <v/>
      </c>
      <c r="L411" s="3">
        <f>INDEX(Проверки!$G:$G, ROW())</f>
        <v/>
      </c>
    </row>
    <row r="412">
      <c r="A412" s="3" t="n"/>
      <c r="B412" s="4" t="n"/>
      <c r="C412" s="3" t="n"/>
      <c r="D412" s="4" t="n"/>
      <c r="E412" s="3" t="n"/>
      <c r="F412" s="3" t="n"/>
      <c r="G412" s="3" t="n"/>
      <c r="H412" s="4" t="n"/>
      <c r="I412" s="4" t="n"/>
      <c r="J412" s="3">
        <f>INDEX(Проверки!$F:$F, ROW())</f>
        <v/>
      </c>
      <c r="K412" s="3">
        <f>INDEX(Проверки!$D:$D, ROW())</f>
        <v/>
      </c>
      <c r="L412" s="3">
        <f>INDEX(Проверки!$G:$G, ROW())</f>
        <v/>
      </c>
    </row>
    <row r="413">
      <c r="A413" s="3" t="n"/>
      <c r="B413" s="4" t="n"/>
      <c r="C413" s="3" t="n"/>
      <c r="D413" s="4" t="n"/>
      <c r="E413" s="3" t="n"/>
      <c r="F413" s="3" t="n"/>
      <c r="G413" s="3" t="n"/>
      <c r="H413" s="4" t="n"/>
      <c r="I413" s="4" t="n"/>
      <c r="J413" s="3">
        <f>INDEX(Проверки!$F:$F, ROW())</f>
        <v/>
      </c>
      <c r="K413" s="3">
        <f>INDEX(Проверки!$D:$D, ROW())</f>
        <v/>
      </c>
      <c r="L413" s="3">
        <f>INDEX(Проверки!$G:$G, ROW())</f>
        <v/>
      </c>
    </row>
    <row r="414">
      <c r="A414" s="3" t="n"/>
      <c r="B414" s="4" t="n"/>
      <c r="C414" s="3" t="n"/>
      <c r="D414" s="4" t="n"/>
      <c r="E414" s="3" t="n"/>
      <c r="F414" s="3" t="n"/>
      <c r="G414" s="3" t="n"/>
      <c r="H414" s="4" t="n"/>
      <c r="I414" s="4" t="n"/>
      <c r="J414" s="3">
        <f>INDEX(Проверки!$F:$F, ROW())</f>
        <v/>
      </c>
      <c r="K414" s="3">
        <f>INDEX(Проверки!$D:$D, ROW())</f>
        <v/>
      </c>
      <c r="L414" s="3">
        <f>INDEX(Проверки!$G:$G, ROW())</f>
        <v/>
      </c>
    </row>
    <row r="415">
      <c r="A415" s="3" t="n"/>
      <c r="B415" s="4" t="n"/>
      <c r="C415" s="3" t="n"/>
      <c r="D415" s="4" t="n"/>
      <c r="E415" s="3" t="n"/>
      <c r="F415" s="3" t="n"/>
      <c r="G415" s="3" t="n"/>
      <c r="H415" s="4" t="n"/>
      <c r="I415" s="4" t="n"/>
      <c r="J415" s="3">
        <f>INDEX(Проверки!$F:$F, ROW())</f>
        <v/>
      </c>
      <c r="K415" s="3">
        <f>INDEX(Проверки!$D:$D, ROW())</f>
        <v/>
      </c>
      <c r="L415" s="3">
        <f>INDEX(Проверки!$G:$G, ROW())</f>
        <v/>
      </c>
    </row>
    <row r="416">
      <c r="A416" s="3" t="n"/>
      <c r="B416" s="4" t="n"/>
      <c r="C416" s="3" t="n"/>
      <c r="D416" s="4" t="n"/>
      <c r="E416" s="3" t="n"/>
      <c r="F416" s="3" t="n"/>
      <c r="G416" s="3" t="n"/>
      <c r="H416" s="4" t="n"/>
      <c r="I416" s="4" t="n"/>
      <c r="J416" s="3">
        <f>INDEX(Проверки!$F:$F, ROW())</f>
        <v/>
      </c>
      <c r="K416" s="3">
        <f>INDEX(Проверки!$D:$D, ROW())</f>
        <v/>
      </c>
      <c r="L416" s="3">
        <f>INDEX(Проверки!$G:$G, ROW())</f>
        <v/>
      </c>
    </row>
    <row r="417">
      <c r="A417" s="3" t="n"/>
      <c r="B417" s="4" t="n"/>
      <c r="C417" s="3" t="n"/>
      <c r="D417" s="4" t="n"/>
      <c r="E417" s="3" t="n"/>
      <c r="F417" s="3" t="n"/>
      <c r="G417" s="3" t="n"/>
      <c r="H417" s="4" t="n"/>
      <c r="I417" s="4" t="n"/>
      <c r="J417" s="3">
        <f>INDEX(Проверки!$F:$F, ROW())</f>
        <v/>
      </c>
      <c r="K417" s="3">
        <f>INDEX(Проверки!$D:$D, ROW())</f>
        <v/>
      </c>
      <c r="L417" s="3">
        <f>INDEX(Проверки!$G:$G, ROW())</f>
        <v/>
      </c>
    </row>
    <row r="418">
      <c r="A418" s="3" t="n"/>
      <c r="B418" s="4" t="n"/>
      <c r="C418" s="3" t="n"/>
      <c r="D418" s="4" t="n"/>
      <c r="E418" s="3" t="n"/>
      <c r="F418" s="3" t="n"/>
      <c r="G418" s="3" t="n"/>
      <c r="H418" s="4" t="n"/>
      <c r="I418" s="4" t="n"/>
      <c r="J418" s="3">
        <f>INDEX(Проверки!$F:$F, ROW())</f>
        <v/>
      </c>
      <c r="K418" s="3">
        <f>INDEX(Проверки!$D:$D, ROW())</f>
        <v/>
      </c>
      <c r="L418" s="3">
        <f>INDEX(Проверки!$G:$G, ROW())</f>
        <v/>
      </c>
    </row>
    <row r="419">
      <c r="A419" s="3" t="n"/>
      <c r="B419" s="4" t="n"/>
      <c r="C419" s="3" t="n"/>
      <c r="D419" s="4" t="n"/>
      <c r="E419" s="3" t="n"/>
      <c r="F419" s="3" t="n"/>
      <c r="G419" s="3" t="n"/>
      <c r="H419" s="4" t="n"/>
      <c r="I419" s="4" t="n"/>
      <c r="J419" s="3">
        <f>INDEX(Проверки!$F:$F, ROW())</f>
        <v/>
      </c>
      <c r="K419" s="3">
        <f>INDEX(Проверки!$D:$D, ROW())</f>
        <v/>
      </c>
      <c r="L419" s="3">
        <f>INDEX(Проверки!$G:$G, ROW())</f>
        <v/>
      </c>
    </row>
    <row r="420">
      <c r="A420" s="3" t="n"/>
      <c r="B420" s="4" t="n"/>
      <c r="C420" s="3" t="n"/>
      <c r="D420" s="4" t="n"/>
      <c r="E420" s="3" t="n"/>
      <c r="F420" s="3" t="n"/>
      <c r="G420" s="3" t="n"/>
      <c r="H420" s="4" t="n"/>
      <c r="I420" s="4" t="n"/>
      <c r="J420" s="3">
        <f>INDEX(Проверки!$F:$F, ROW())</f>
        <v/>
      </c>
      <c r="K420" s="3">
        <f>INDEX(Проверки!$D:$D, ROW())</f>
        <v/>
      </c>
      <c r="L420" s="3">
        <f>INDEX(Проверки!$G:$G, ROW())</f>
        <v/>
      </c>
    </row>
    <row r="421">
      <c r="A421" s="3" t="n"/>
      <c r="B421" s="4" t="n"/>
      <c r="C421" s="3" t="n"/>
      <c r="D421" s="4" t="n"/>
      <c r="E421" s="3" t="n"/>
      <c r="F421" s="3" t="n"/>
      <c r="G421" s="3" t="n"/>
      <c r="H421" s="4" t="n"/>
      <c r="I421" s="4" t="n"/>
      <c r="J421" s="3">
        <f>INDEX(Проверки!$F:$F, ROW())</f>
        <v/>
      </c>
      <c r="K421" s="3">
        <f>INDEX(Проверки!$D:$D, ROW())</f>
        <v/>
      </c>
      <c r="L421" s="3">
        <f>INDEX(Проверки!$G:$G, ROW())</f>
        <v/>
      </c>
    </row>
    <row r="422">
      <c r="A422" s="3" t="n"/>
      <c r="B422" s="4" t="n"/>
      <c r="C422" s="3" t="n"/>
      <c r="D422" s="4" t="n"/>
      <c r="E422" s="3" t="n"/>
      <c r="F422" s="3" t="n"/>
      <c r="G422" s="3" t="n"/>
      <c r="H422" s="4" t="n"/>
      <c r="I422" s="4" t="n"/>
      <c r="J422" s="3">
        <f>INDEX(Проверки!$F:$F, ROW())</f>
        <v/>
      </c>
      <c r="K422" s="3">
        <f>INDEX(Проверки!$D:$D, ROW())</f>
        <v/>
      </c>
      <c r="L422" s="3">
        <f>INDEX(Проверки!$G:$G, ROW())</f>
        <v/>
      </c>
    </row>
    <row r="423">
      <c r="A423" s="3" t="n"/>
      <c r="B423" s="4" t="n"/>
      <c r="C423" s="3" t="n"/>
      <c r="D423" s="4" t="n"/>
      <c r="E423" s="3" t="n"/>
      <c r="F423" s="3" t="n"/>
      <c r="G423" s="3" t="n"/>
      <c r="H423" s="4" t="n"/>
      <c r="I423" s="4" t="n"/>
      <c r="J423" s="3">
        <f>INDEX(Проверки!$F:$F, ROW())</f>
        <v/>
      </c>
      <c r="K423" s="3">
        <f>INDEX(Проверки!$D:$D, ROW())</f>
        <v/>
      </c>
      <c r="L423" s="3">
        <f>INDEX(Проверки!$G:$G, ROW())</f>
        <v/>
      </c>
    </row>
    <row r="424">
      <c r="A424" s="3" t="n"/>
      <c r="B424" s="4" t="n"/>
      <c r="C424" s="3" t="n"/>
      <c r="D424" s="4" t="n"/>
      <c r="E424" s="3" t="n"/>
      <c r="F424" s="3" t="n"/>
      <c r="G424" s="3" t="n"/>
      <c r="H424" s="4" t="n"/>
      <c r="I424" s="4" t="n"/>
      <c r="J424" s="3">
        <f>INDEX(Проверки!$F:$F, ROW())</f>
        <v/>
      </c>
      <c r="K424" s="3">
        <f>INDEX(Проверки!$D:$D, ROW())</f>
        <v/>
      </c>
      <c r="L424" s="3">
        <f>INDEX(Проверки!$G:$G, ROW())</f>
        <v/>
      </c>
    </row>
    <row r="425">
      <c r="A425" s="3" t="n"/>
      <c r="B425" s="4" t="n"/>
      <c r="C425" s="3" t="n"/>
      <c r="D425" s="4" t="n"/>
      <c r="E425" s="3" t="n"/>
      <c r="F425" s="3" t="n"/>
      <c r="G425" s="3" t="n"/>
      <c r="H425" s="4" t="n"/>
      <c r="I425" s="4" t="n"/>
      <c r="J425" s="3">
        <f>INDEX(Проверки!$F:$F, ROW())</f>
        <v/>
      </c>
      <c r="K425" s="3">
        <f>INDEX(Проверки!$D:$D, ROW())</f>
        <v/>
      </c>
      <c r="L425" s="3">
        <f>INDEX(Проверки!$G:$G, ROW())</f>
        <v/>
      </c>
    </row>
    <row r="426">
      <c r="A426" s="3" t="n"/>
      <c r="B426" s="4" t="n"/>
      <c r="C426" s="3" t="n"/>
      <c r="D426" s="4" t="n"/>
      <c r="E426" s="3" t="n"/>
      <c r="F426" s="3" t="n"/>
      <c r="G426" s="3" t="n"/>
      <c r="H426" s="4" t="n"/>
      <c r="I426" s="4" t="n"/>
      <c r="J426" s="3">
        <f>INDEX(Проверки!$F:$F, ROW())</f>
        <v/>
      </c>
      <c r="K426" s="3">
        <f>INDEX(Проверки!$D:$D, ROW())</f>
        <v/>
      </c>
      <c r="L426" s="3">
        <f>INDEX(Проверки!$G:$G, ROW())</f>
        <v/>
      </c>
    </row>
    <row r="427">
      <c r="A427" s="3" t="n"/>
      <c r="B427" s="4" t="n"/>
      <c r="C427" s="3" t="n"/>
      <c r="D427" s="4" t="n"/>
      <c r="E427" s="3" t="n"/>
      <c r="F427" s="3" t="n"/>
      <c r="G427" s="3" t="n"/>
      <c r="H427" s="4" t="n"/>
      <c r="I427" s="4" t="n"/>
      <c r="J427" s="3">
        <f>INDEX(Проверки!$F:$F, ROW())</f>
        <v/>
      </c>
      <c r="K427" s="3">
        <f>INDEX(Проверки!$D:$D, ROW())</f>
        <v/>
      </c>
      <c r="L427" s="3">
        <f>INDEX(Проверки!$G:$G, ROW())</f>
        <v/>
      </c>
    </row>
    <row r="428">
      <c r="A428" s="3" t="n"/>
      <c r="B428" s="4" t="n"/>
      <c r="C428" s="3" t="n"/>
      <c r="D428" s="4" t="n"/>
      <c r="E428" s="3" t="n"/>
      <c r="F428" s="3" t="n"/>
      <c r="G428" s="3" t="n"/>
      <c r="H428" s="4" t="n"/>
      <c r="I428" s="4" t="n"/>
      <c r="J428" s="3">
        <f>INDEX(Проверки!$F:$F, ROW())</f>
        <v/>
      </c>
      <c r="K428" s="3">
        <f>INDEX(Проверки!$D:$D, ROW())</f>
        <v/>
      </c>
      <c r="L428" s="3">
        <f>INDEX(Проверки!$G:$G, ROW())</f>
        <v/>
      </c>
    </row>
    <row r="429">
      <c r="A429" s="3" t="n"/>
      <c r="B429" s="4" t="n"/>
      <c r="C429" s="3" t="n"/>
      <c r="D429" s="4" t="n"/>
      <c r="E429" s="3" t="n"/>
      <c r="F429" s="3" t="n"/>
      <c r="G429" s="3" t="n"/>
      <c r="H429" s="4" t="n"/>
      <c r="I429" s="4" t="n"/>
      <c r="J429" s="3">
        <f>INDEX(Проверки!$F:$F, ROW())</f>
        <v/>
      </c>
      <c r="K429" s="3">
        <f>INDEX(Проверки!$D:$D, ROW())</f>
        <v/>
      </c>
      <c r="L429" s="3">
        <f>INDEX(Проверки!$G:$G, ROW())</f>
        <v/>
      </c>
    </row>
    <row r="430">
      <c r="A430" s="3" t="n"/>
      <c r="B430" s="4" t="n"/>
      <c r="C430" s="3" t="n"/>
      <c r="D430" s="4" t="n"/>
      <c r="E430" s="3" t="n"/>
      <c r="F430" s="3" t="n"/>
      <c r="G430" s="3" t="n"/>
      <c r="H430" s="4" t="n"/>
      <c r="I430" s="4" t="n"/>
      <c r="J430" s="3">
        <f>INDEX(Проверки!$F:$F, ROW())</f>
        <v/>
      </c>
      <c r="K430" s="3">
        <f>INDEX(Проверки!$D:$D, ROW())</f>
        <v/>
      </c>
      <c r="L430" s="3">
        <f>INDEX(Проверки!$G:$G, ROW())</f>
        <v/>
      </c>
    </row>
    <row r="431">
      <c r="A431" s="3" t="n"/>
      <c r="B431" s="4" t="n"/>
      <c r="C431" s="3" t="n"/>
      <c r="D431" s="4" t="n"/>
      <c r="E431" s="3" t="n"/>
      <c r="F431" s="3" t="n"/>
      <c r="G431" s="3" t="n"/>
      <c r="H431" s="4" t="n"/>
      <c r="I431" s="4" t="n"/>
      <c r="J431" s="3">
        <f>INDEX(Проверки!$F:$F, ROW())</f>
        <v/>
      </c>
      <c r="K431" s="3">
        <f>INDEX(Проверки!$D:$D, ROW())</f>
        <v/>
      </c>
      <c r="L431" s="3">
        <f>INDEX(Проверки!$G:$G, ROW())</f>
        <v/>
      </c>
    </row>
    <row r="432">
      <c r="A432" s="3" t="n"/>
      <c r="B432" s="4" t="n"/>
      <c r="C432" s="3" t="n"/>
      <c r="D432" s="4" t="n"/>
      <c r="E432" s="3" t="n"/>
      <c r="F432" s="3" t="n"/>
      <c r="G432" s="3" t="n"/>
      <c r="H432" s="4" t="n"/>
      <c r="I432" s="4" t="n"/>
      <c r="J432" s="3">
        <f>INDEX(Проверки!$F:$F, ROW())</f>
        <v/>
      </c>
      <c r="K432" s="3">
        <f>INDEX(Проверки!$D:$D, ROW())</f>
        <v/>
      </c>
      <c r="L432" s="3">
        <f>INDEX(Проверки!$G:$G, ROW())</f>
        <v/>
      </c>
    </row>
    <row r="433">
      <c r="A433" s="3" t="n"/>
      <c r="B433" s="4" t="n"/>
      <c r="C433" s="3" t="n"/>
      <c r="D433" s="4" t="n"/>
      <c r="E433" s="3" t="n"/>
      <c r="F433" s="3" t="n"/>
      <c r="G433" s="3" t="n"/>
      <c r="H433" s="4" t="n"/>
      <c r="I433" s="4" t="n"/>
      <c r="J433" s="3">
        <f>INDEX(Проверки!$F:$F, ROW())</f>
        <v/>
      </c>
      <c r="K433" s="3">
        <f>INDEX(Проверки!$D:$D, ROW())</f>
        <v/>
      </c>
      <c r="L433" s="3">
        <f>INDEX(Проверки!$G:$G, ROW())</f>
        <v/>
      </c>
    </row>
    <row r="434">
      <c r="A434" s="3" t="n"/>
      <c r="B434" s="4" t="n"/>
      <c r="C434" s="3" t="n"/>
      <c r="D434" s="4" t="n"/>
      <c r="E434" s="3" t="n"/>
      <c r="F434" s="3" t="n"/>
      <c r="G434" s="3" t="n"/>
      <c r="H434" s="4" t="n"/>
      <c r="I434" s="4" t="n"/>
      <c r="J434" s="3">
        <f>INDEX(Проверки!$F:$F, ROW())</f>
        <v/>
      </c>
      <c r="K434" s="3">
        <f>INDEX(Проверки!$D:$D, ROW())</f>
        <v/>
      </c>
      <c r="L434" s="3">
        <f>INDEX(Проверки!$G:$G, ROW())</f>
        <v/>
      </c>
    </row>
    <row r="435">
      <c r="A435" s="3" t="n"/>
      <c r="B435" s="4" t="n"/>
      <c r="C435" s="3" t="n"/>
      <c r="D435" s="4" t="n"/>
      <c r="E435" s="3" t="n"/>
      <c r="F435" s="3" t="n"/>
      <c r="G435" s="3" t="n"/>
      <c r="H435" s="4" t="n"/>
      <c r="I435" s="4" t="n"/>
      <c r="J435" s="3">
        <f>INDEX(Проверки!$F:$F, ROW())</f>
        <v/>
      </c>
      <c r="K435" s="3">
        <f>INDEX(Проверки!$D:$D, ROW())</f>
        <v/>
      </c>
      <c r="L435" s="3">
        <f>INDEX(Проверки!$G:$G, ROW())</f>
        <v/>
      </c>
    </row>
    <row r="436">
      <c r="A436" s="3" t="n"/>
      <c r="B436" s="4" t="n"/>
      <c r="C436" s="3" t="n"/>
      <c r="D436" s="4" t="n"/>
      <c r="E436" s="3" t="n"/>
      <c r="F436" s="3" t="n"/>
      <c r="G436" s="3" t="n"/>
      <c r="H436" s="4" t="n"/>
      <c r="I436" s="4" t="n"/>
      <c r="J436" s="3">
        <f>INDEX(Проверки!$F:$F, ROW())</f>
        <v/>
      </c>
      <c r="K436" s="3">
        <f>INDEX(Проверки!$D:$D, ROW())</f>
        <v/>
      </c>
      <c r="L436" s="3">
        <f>INDEX(Проверки!$G:$G, ROW())</f>
        <v/>
      </c>
    </row>
    <row r="437">
      <c r="A437" s="3" t="n"/>
      <c r="B437" s="4" t="n"/>
      <c r="C437" s="3" t="n"/>
      <c r="D437" s="4" t="n"/>
      <c r="E437" s="3" t="n"/>
      <c r="F437" s="3" t="n"/>
      <c r="G437" s="3" t="n"/>
      <c r="H437" s="4" t="n"/>
      <c r="I437" s="4" t="n"/>
      <c r="J437" s="3">
        <f>INDEX(Проверки!$F:$F, ROW())</f>
        <v/>
      </c>
      <c r="K437" s="3">
        <f>INDEX(Проверки!$D:$D, ROW())</f>
        <v/>
      </c>
      <c r="L437" s="3">
        <f>INDEX(Проверки!$G:$G, ROW())</f>
        <v/>
      </c>
    </row>
    <row r="438">
      <c r="A438" s="3" t="n"/>
      <c r="B438" s="4" t="n"/>
      <c r="C438" s="3" t="n"/>
      <c r="D438" s="4" t="n"/>
      <c r="E438" s="3" t="n"/>
      <c r="F438" s="3" t="n"/>
      <c r="G438" s="3" t="n"/>
      <c r="H438" s="4" t="n"/>
      <c r="I438" s="4" t="n"/>
      <c r="J438" s="3">
        <f>INDEX(Проверки!$F:$F, ROW())</f>
        <v/>
      </c>
      <c r="K438" s="3">
        <f>INDEX(Проверки!$D:$D, ROW())</f>
        <v/>
      </c>
      <c r="L438" s="3">
        <f>INDEX(Проверки!$G:$G, ROW())</f>
        <v/>
      </c>
    </row>
    <row r="439">
      <c r="A439" s="3" t="n"/>
      <c r="B439" s="4" t="n"/>
      <c r="C439" s="3" t="n"/>
      <c r="D439" s="4" t="n"/>
      <c r="E439" s="3" t="n"/>
      <c r="F439" s="3" t="n"/>
      <c r="G439" s="3" t="n"/>
      <c r="H439" s="4" t="n"/>
      <c r="I439" s="4" t="n"/>
      <c r="J439" s="3">
        <f>INDEX(Проверки!$F:$F, ROW())</f>
        <v/>
      </c>
      <c r="K439" s="3">
        <f>INDEX(Проверки!$D:$D, ROW())</f>
        <v/>
      </c>
      <c r="L439" s="3">
        <f>INDEX(Проверки!$G:$G, ROW())</f>
        <v/>
      </c>
    </row>
    <row r="440">
      <c r="A440" s="3" t="n"/>
      <c r="B440" s="4" t="n"/>
      <c r="C440" s="3" t="n"/>
      <c r="D440" s="4" t="n"/>
      <c r="E440" s="3" t="n"/>
      <c r="F440" s="3" t="n"/>
      <c r="G440" s="3" t="n"/>
      <c r="H440" s="4" t="n"/>
      <c r="I440" s="4" t="n"/>
      <c r="J440" s="3">
        <f>INDEX(Проверки!$F:$F, ROW())</f>
        <v/>
      </c>
      <c r="K440" s="3">
        <f>INDEX(Проверки!$D:$D, ROW())</f>
        <v/>
      </c>
      <c r="L440" s="3">
        <f>INDEX(Проверки!$G:$G, ROW())</f>
        <v/>
      </c>
    </row>
    <row r="441">
      <c r="A441" s="3" t="n"/>
      <c r="B441" s="4" t="n"/>
      <c r="C441" s="3" t="n"/>
      <c r="D441" s="4" t="n"/>
      <c r="E441" s="3" t="n"/>
      <c r="F441" s="3" t="n"/>
      <c r="G441" s="3" t="n"/>
      <c r="H441" s="4" t="n"/>
      <c r="I441" s="4" t="n"/>
      <c r="J441" s="3">
        <f>INDEX(Проверки!$F:$F, ROW())</f>
        <v/>
      </c>
      <c r="K441" s="3">
        <f>INDEX(Проверки!$D:$D, ROW())</f>
        <v/>
      </c>
      <c r="L441" s="3">
        <f>INDEX(Проверки!$G:$G, ROW())</f>
        <v/>
      </c>
    </row>
    <row r="442">
      <c r="A442" s="3" t="n"/>
      <c r="B442" s="4" t="n"/>
      <c r="C442" s="3" t="n"/>
      <c r="D442" s="4" t="n"/>
      <c r="E442" s="3" t="n"/>
      <c r="F442" s="3" t="n"/>
      <c r="G442" s="3" t="n"/>
      <c r="H442" s="4" t="n"/>
      <c r="I442" s="4" t="n"/>
      <c r="J442" s="3">
        <f>INDEX(Проверки!$F:$F, ROW())</f>
        <v/>
      </c>
      <c r="K442" s="3">
        <f>INDEX(Проверки!$D:$D, ROW())</f>
        <v/>
      </c>
      <c r="L442" s="3">
        <f>INDEX(Проверки!$G:$G, ROW())</f>
        <v/>
      </c>
    </row>
    <row r="443">
      <c r="A443" s="3" t="n"/>
      <c r="B443" s="4" t="n"/>
      <c r="C443" s="3" t="n"/>
      <c r="D443" s="4" t="n"/>
      <c r="E443" s="3" t="n"/>
      <c r="F443" s="3" t="n"/>
      <c r="G443" s="3" t="n"/>
      <c r="H443" s="4" t="n"/>
      <c r="I443" s="4" t="n"/>
      <c r="J443" s="3">
        <f>INDEX(Проверки!$F:$F, ROW())</f>
        <v/>
      </c>
      <c r="K443" s="3">
        <f>INDEX(Проверки!$D:$D, ROW())</f>
        <v/>
      </c>
      <c r="L443" s="3">
        <f>INDEX(Проверки!$G:$G, ROW())</f>
        <v/>
      </c>
    </row>
    <row r="444">
      <c r="A444" s="3" t="n"/>
      <c r="B444" s="4" t="n"/>
      <c r="C444" s="3" t="n"/>
      <c r="D444" s="4" t="n"/>
      <c r="E444" s="3" t="n"/>
      <c r="F444" s="3" t="n"/>
      <c r="G444" s="3" t="n"/>
      <c r="H444" s="4" t="n"/>
      <c r="I444" s="4" t="n"/>
      <c r="J444" s="3">
        <f>INDEX(Проверки!$F:$F, ROW())</f>
        <v/>
      </c>
      <c r="K444" s="3">
        <f>INDEX(Проверки!$D:$D, ROW())</f>
        <v/>
      </c>
      <c r="L444" s="3">
        <f>INDEX(Проверки!$G:$G, ROW())</f>
        <v/>
      </c>
    </row>
    <row r="445">
      <c r="A445" s="3" t="n"/>
      <c r="B445" s="4" t="n"/>
      <c r="C445" s="3" t="n"/>
      <c r="D445" s="4" t="n"/>
      <c r="E445" s="3" t="n"/>
      <c r="F445" s="3" t="n"/>
      <c r="G445" s="3" t="n"/>
      <c r="H445" s="4" t="n"/>
      <c r="I445" s="4" t="n"/>
      <c r="J445" s="3">
        <f>INDEX(Проверки!$F:$F, ROW())</f>
        <v/>
      </c>
      <c r="K445" s="3">
        <f>INDEX(Проверки!$D:$D, ROW())</f>
        <v/>
      </c>
      <c r="L445" s="3">
        <f>INDEX(Проверки!$G:$G, ROW())</f>
        <v/>
      </c>
    </row>
    <row r="446">
      <c r="A446" s="3" t="n"/>
      <c r="B446" s="4" t="n"/>
      <c r="C446" s="3" t="n"/>
      <c r="D446" s="4" t="n"/>
      <c r="E446" s="3" t="n"/>
      <c r="F446" s="3" t="n"/>
      <c r="G446" s="3" t="n"/>
      <c r="H446" s="4" t="n"/>
      <c r="I446" s="4" t="n"/>
      <c r="J446" s="3">
        <f>INDEX(Проверки!$F:$F, ROW())</f>
        <v/>
      </c>
      <c r="K446" s="3">
        <f>INDEX(Проверки!$D:$D, ROW())</f>
        <v/>
      </c>
      <c r="L446" s="3">
        <f>INDEX(Проверки!$G:$G, ROW())</f>
        <v/>
      </c>
    </row>
    <row r="447">
      <c r="A447" s="3" t="n"/>
      <c r="B447" s="4" t="n"/>
      <c r="C447" s="3" t="n"/>
      <c r="D447" s="4" t="n"/>
      <c r="E447" s="3" t="n"/>
      <c r="F447" s="3" t="n"/>
      <c r="G447" s="3" t="n"/>
      <c r="H447" s="4" t="n"/>
      <c r="I447" s="4" t="n"/>
      <c r="J447" s="3">
        <f>INDEX(Проверки!$F:$F, ROW())</f>
        <v/>
      </c>
      <c r="K447" s="3">
        <f>INDEX(Проверки!$D:$D, ROW())</f>
        <v/>
      </c>
      <c r="L447" s="3">
        <f>INDEX(Проверки!$G:$G, ROW())</f>
        <v/>
      </c>
    </row>
    <row r="448">
      <c r="A448" s="3" t="n"/>
      <c r="B448" s="4" t="n"/>
      <c r="C448" s="3" t="n"/>
      <c r="D448" s="4" t="n"/>
      <c r="E448" s="3" t="n"/>
      <c r="F448" s="3" t="n"/>
      <c r="G448" s="3" t="n"/>
      <c r="H448" s="4" t="n"/>
      <c r="I448" s="4" t="n"/>
      <c r="J448" s="3">
        <f>INDEX(Проверки!$F:$F, ROW())</f>
        <v/>
      </c>
      <c r="K448" s="3">
        <f>INDEX(Проверки!$D:$D, ROW())</f>
        <v/>
      </c>
      <c r="L448" s="3">
        <f>INDEX(Проверки!$G:$G, ROW())</f>
        <v/>
      </c>
    </row>
    <row r="449">
      <c r="A449" s="3" t="n"/>
      <c r="B449" s="4" t="n"/>
      <c r="C449" s="3" t="n"/>
      <c r="D449" s="4" t="n"/>
      <c r="E449" s="3" t="n"/>
      <c r="F449" s="3" t="n"/>
      <c r="G449" s="3" t="n"/>
      <c r="H449" s="4" t="n"/>
      <c r="I449" s="4" t="n"/>
      <c r="J449" s="3">
        <f>INDEX(Проверки!$F:$F, ROW())</f>
        <v/>
      </c>
      <c r="K449" s="3">
        <f>INDEX(Проверки!$D:$D, ROW())</f>
        <v/>
      </c>
      <c r="L449" s="3">
        <f>INDEX(Проверки!$G:$G, ROW())</f>
        <v/>
      </c>
    </row>
    <row r="450">
      <c r="A450" s="3" t="n"/>
      <c r="B450" s="4" t="n"/>
      <c r="C450" s="3" t="n"/>
      <c r="D450" s="4" t="n"/>
      <c r="E450" s="3" t="n"/>
      <c r="F450" s="3" t="n"/>
      <c r="G450" s="3" t="n"/>
      <c r="H450" s="4" t="n"/>
      <c r="I450" s="4" t="n"/>
      <c r="J450" s="3">
        <f>INDEX(Проверки!$F:$F, ROW())</f>
        <v/>
      </c>
      <c r="K450" s="3">
        <f>INDEX(Проверки!$D:$D, ROW())</f>
        <v/>
      </c>
      <c r="L450" s="3">
        <f>INDEX(Проверки!$G:$G, ROW())</f>
        <v/>
      </c>
    </row>
    <row r="451">
      <c r="A451" s="3" t="n"/>
      <c r="B451" s="4" t="n"/>
      <c r="C451" s="3" t="n"/>
      <c r="D451" s="4" t="n"/>
      <c r="E451" s="3" t="n"/>
      <c r="F451" s="3" t="n"/>
      <c r="G451" s="3" t="n"/>
      <c r="H451" s="4" t="n"/>
      <c r="I451" s="4" t="n"/>
      <c r="J451" s="3">
        <f>INDEX(Проверки!$F:$F, ROW())</f>
        <v/>
      </c>
      <c r="K451" s="3">
        <f>INDEX(Проверки!$D:$D, ROW())</f>
        <v/>
      </c>
      <c r="L451" s="3">
        <f>INDEX(Проверки!$G:$G, ROW())</f>
        <v/>
      </c>
    </row>
    <row r="452">
      <c r="A452" s="3" t="n"/>
      <c r="B452" s="4" t="n"/>
      <c r="C452" s="3" t="n"/>
      <c r="D452" s="4" t="n"/>
      <c r="E452" s="3" t="n"/>
      <c r="F452" s="3" t="n"/>
      <c r="G452" s="3" t="n"/>
      <c r="H452" s="4" t="n"/>
      <c r="I452" s="4" t="n"/>
      <c r="J452" s="3">
        <f>INDEX(Проверки!$F:$F, ROW())</f>
        <v/>
      </c>
      <c r="K452" s="3">
        <f>INDEX(Проверки!$D:$D, ROW())</f>
        <v/>
      </c>
      <c r="L452" s="3">
        <f>INDEX(Проверки!$G:$G, ROW())</f>
        <v/>
      </c>
    </row>
    <row r="453">
      <c r="A453" s="3" t="n"/>
      <c r="B453" s="4" t="n"/>
      <c r="C453" s="3" t="n"/>
      <c r="D453" s="4" t="n"/>
      <c r="E453" s="3" t="n"/>
      <c r="F453" s="3" t="n"/>
      <c r="G453" s="3" t="n"/>
      <c r="H453" s="4" t="n"/>
      <c r="I453" s="4" t="n"/>
      <c r="J453" s="3">
        <f>INDEX(Проверки!$F:$F, ROW())</f>
        <v/>
      </c>
      <c r="K453" s="3">
        <f>INDEX(Проверки!$D:$D, ROW())</f>
        <v/>
      </c>
      <c r="L453" s="3">
        <f>INDEX(Проверки!$G:$G, ROW())</f>
        <v/>
      </c>
    </row>
    <row r="454">
      <c r="A454" s="3" t="n"/>
      <c r="B454" s="4" t="n"/>
      <c r="C454" s="3" t="n"/>
      <c r="D454" s="4" t="n"/>
      <c r="E454" s="3" t="n"/>
      <c r="F454" s="3" t="n"/>
      <c r="G454" s="3" t="n"/>
      <c r="H454" s="4" t="n"/>
      <c r="I454" s="4" t="n"/>
      <c r="J454" s="3">
        <f>INDEX(Проверки!$F:$F, ROW())</f>
        <v/>
      </c>
      <c r="K454" s="3">
        <f>INDEX(Проверки!$D:$D, ROW())</f>
        <v/>
      </c>
      <c r="L454" s="3">
        <f>INDEX(Проверки!$G:$G, ROW())</f>
        <v/>
      </c>
    </row>
    <row r="455">
      <c r="A455" s="3" t="n"/>
      <c r="B455" s="4" t="n"/>
      <c r="C455" s="3" t="n"/>
      <c r="D455" s="4" t="n"/>
      <c r="E455" s="3" t="n"/>
      <c r="F455" s="3" t="n"/>
      <c r="G455" s="3" t="n"/>
      <c r="H455" s="4" t="n"/>
      <c r="I455" s="4" t="n"/>
      <c r="J455" s="3">
        <f>INDEX(Проверки!$F:$F, ROW())</f>
        <v/>
      </c>
      <c r="K455" s="3">
        <f>INDEX(Проверки!$D:$D, ROW())</f>
        <v/>
      </c>
      <c r="L455" s="3">
        <f>INDEX(Проверки!$G:$G, ROW())</f>
        <v/>
      </c>
    </row>
    <row r="456">
      <c r="A456" s="3" t="n"/>
      <c r="B456" s="4" t="n"/>
      <c r="C456" s="3" t="n"/>
      <c r="D456" s="4" t="n"/>
      <c r="E456" s="3" t="n"/>
      <c r="F456" s="3" t="n"/>
      <c r="G456" s="3" t="n"/>
      <c r="H456" s="4" t="n"/>
      <c r="I456" s="4" t="n"/>
      <c r="J456" s="3">
        <f>INDEX(Проверки!$F:$F, ROW())</f>
        <v/>
      </c>
      <c r="K456" s="3">
        <f>INDEX(Проверки!$D:$D, ROW())</f>
        <v/>
      </c>
      <c r="L456" s="3">
        <f>INDEX(Проверки!$G:$G, ROW())</f>
        <v/>
      </c>
    </row>
    <row r="457">
      <c r="A457" s="3" t="n"/>
      <c r="B457" s="4" t="n"/>
      <c r="C457" s="3" t="n"/>
      <c r="D457" s="4" t="n"/>
      <c r="E457" s="3" t="n"/>
      <c r="F457" s="3" t="n"/>
      <c r="G457" s="3" t="n"/>
      <c r="H457" s="4" t="n"/>
      <c r="I457" s="4" t="n"/>
      <c r="J457" s="3">
        <f>INDEX(Проверки!$F:$F, ROW())</f>
        <v/>
      </c>
      <c r="K457" s="3">
        <f>INDEX(Проверки!$D:$D, ROW())</f>
        <v/>
      </c>
      <c r="L457" s="3">
        <f>INDEX(Проверки!$G:$G, ROW())</f>
        <v/>
      </c>
    </row>
    <row r="458">
      <c r="A458" s="3" t="n"/>
      <c r="B458" s="4" t="n"/>
      <c r="C458" s="3" t="n"/>
      <c r="D458" s="4" t="n"/>
      <c r="E458" s="3" t="n"/>
      <c r="F458" s="3" t="n"/>
      <c r="G458" s="3" t="n"/>
      <c r="H458" s="4" t="n"/>
      <c r="I458" s="4" t="n"/>
      <c r="J458" s="3">
        <f>INDEX(Проверки!$F:$F, ROW())</f>
        <v/>
      </c>
      <c r="K458" s="3">
        <f>INDEX(Проверки!$D:$D, ROW())</f>
        <v/>
      </c>
      <c r="L458" s="3">
        <f>INDEX(Проверки!$G:$G, ROW())</f>
        <v/>
      </c>
    </row>
    <row r="459">
      <c r="A459" s="3" t="n"/>
      <c r="B459" s="4" t="n"/>
      <c r="C459" s="3" t="n"/>
      <c r="D459" s="4" t="n"/>
      <c r="E459" s="3" t="n"/>
      <c r="F459" s="3" t="n"/>
      <c r="G459" s="3" t="n"/>
      <c r="H459" s="4" t="n"/>
      <c r="I459" s="4" t="n"/>
      <c r="J459" s="3">
        <f>INDEX(Проверки!$F:$F, ROW())</f>
        <v/>
      </c>
      <c r="K459" s="3">
        <f>INDEX(Проверки!$D:$D, ROW())</f>
        <v/>
      </c>
      <c r="L459" s="3">
        <f>INDEX(Проверки!$G:$G, ROW())</f>
        <v/>
      </c>
    </row>
    <row r="460">
      <c r="A460" s="3" t="n"/>
      <c r="B460" s="4" t="n"/>
      <c r="C460" s="3" t="n"/>
      <c r="D460" s="4" t="n"/>
      <c r="E460" s="3" t="n"/>
      <c r="F460" s="3" t="n"/>
      <c r="G460" s="3" t="n"/>
      <c r="H460" s="4" t="n"/>
      <c r="I460" s="4" t="n"/>
      <c r="J460" s="3">
        <f>INDEX(Проверки!$F:$F, ROW())</f>
        <v/>
      </c>
      <c r="K460" s="3">
        <f>INDEX(Проверки!$D:$D, ROW())</f>
        <v/>
      </c>
      <c r="L460" s="3">
        <f>INDEX(Проверки!$G:$G, ROW())</f>
        <v/>
      </c>
    </row>
    <row r="461">
      <c r="A461" s="3" t="n"/>
      <c r="B461" s="4" t="n"/>
      <c r="C461" s="3" t="n"/>
      <c r="D461" s="4" t="n"/>
      <c r="E461" s="3" t="n"/>
      <c r="F461" s="3" t="n"/>
      <c r="G461" s="3" t="n"/>
      <c r="H461" s="4" t="n"/>
      <c r="I461" s="4" t="n"/>
      <c r="J461" s="3">
        <f>INDEX(Проверки!$F:$F, ROW())</f>
        <v/>
      </c>
      <c r="K461" s="3">
        <f>INDEX(Проверки!$D:$D, ROW())</f>
        <v/>
      </c>
      <c r="L461" s="3">
        <f>INDEX(Проверки!$G:$G, ROW())</f>
        <v/>
      </c>
    </row>
    <row r="462">
      <c r="A462" s="3" t="n"/>
      <c r="B462" s="4" t="n"/>
      <c r="C462" s="3" t="n"/>
      <c r="D462" s="4" t="n"/>
      <c r="E462" s="3" t="n"/>
      <c r="F462" s="3" t="n"/>
      <c r="G462" s="3" t="n"/>
      <c r="H462" s="4" t="n"/>
      <c r="I462" s="4" t="n"/>
      <c r="J462" s="3">
        <f>INDEX(Проверки!$F:$F, ROW())</f>
        <v/>
      </c>
      <c r="K462" s="3">
        <f>INDEX(Проверки!$D:$D, ROW())</f>
        <v/>
      </c>
      <c r="L462" s="3">
        <f>INDEX(Проверки!$G:$G, ROW())</f>
        <v/>
      </c>
    </row>
    <row r="463">
      <c r="A463" s="3" t="n"/>
      <c r="B463" s="4" t="n"/>
      <c r="C463" s="3" t="n"/>
      <c r="D463" s="4" t="n"/>
      <c r="E463" s="3" t="n"/>
      <c r="F463" s="3" t="n"/>
      <c r="G463" s="3" t="n"/>
      <c r="H463" s="4" t="n"/>
      <c r="I463" s="4" t="n"/>
      <c r="J463" s="3">
        <f>INDEX(Проверки!$F:$F, ROW())</f>
        <v/>
      </c>
      <c r="K463" s="3">
        <f>INDEX(Проверки!$D:$D, ROW())</f>
        <v/>
      </c>
      <c r="L463" s="3">
        <f>INDEX(Проверки!$G:$G, ROW())</f>
        <v/>
      </c>
    </row>
    <row r="464">
      <c r="A464" s="3" t="n"/>
      <c r="B464" s="4" t="n"/>
      <c r="C464" s="3" t="n"/>
      <c r="D464" s="4" t="n"/>
      <c r="E464" s="3" t="n"/>
      <c r="F464" s="3" t="n"/>
      <c r="G464" s="3" t="n"/>
      <c r="H464" s="4" t="n"/>
      <c r="I464" s="4" t="n"/>
      <c r="J464" s="3">
        <f>INDEX(Проверки!$F:$F, ROW())</f>
        <v/>
      </c>
      <c r="K464" s="3">
        <f>INDEX(Проверки!$D:$D, ROW())</f>
        <v/>
      </c>
      <c r="L464" s="3">
        <f>INDEX(Проверки!$G:$G, ROW())</f>
        <v/>
      </c>
    </row>
    <row r="465">
      <c r="A465" s="3" t="n"/>
      <c r="B465" s="4" t="n"/>
      <c r="C465" s="3" t="n"/>
      <c r="D465" s="4" t="n"/>
      <c r="E465" s="3" t="n"/>
      <c r="F465" s="3" t="n"/>
      <c r="G465" s="3" t="n"/>
      <c r="H465" s="4" t="n"/>
      <c r="I465" s="4" t="n"/>
      <c r="J465" s="3">
        <f>INDEX(Проверки!$F:$F, ROW())</f>
        <v/>
      </c>
      <c r="K465" s="3">
        <f>INDEX(Проверки!$D:$D, ROW())</f>
        <v/>
      </c>
      <c r="L465" s="3">
        <f>INDEX(Проверки!$G:$G, ROW())</f>
        <v/>
      </c>
    </row>
    <row r="466">
      <c r="A466" s="3" t="n"/>
      <c r="B466" s="4" t="n"/>
      <c r="C466" s="3" t="n"/>
      <c r="D466" s="4" t="n"/>
      <c r="E466" s="3" t="n"/>
      <c r="F466" s="3" t="n"/>
      <c r="G466" s="3" t="n"/>
      <c r="H466" s="4" t="n"/>
      <c r="I466" s="4" t="n"/>
      <c r="J466" s="3">
        <f>INDEX(Проверки!$F:$F, ROW())</f>
        <v/>
      </c>
      <c r="K466" s="3">
        <f>INDEX(Проверки!$D:$D, ROW())</f>
        <v/>
      </c>
      <c r="L466" s="3">
        <f>INDEX(Проверки!$G:$G, ROW())</f>
        <v/>
      </c>
    </row>
    <row r="467">
      <c r="A467" s="3" t="n"/>
      <c r="B467" s="4" t="n"/>
      <c r="C467" s="3" t="n"/>
      <c r="D467" s="4" t="n"/>
      <c r="E467" s="3" t="n"/>
      <c r="F467" s="3" t="n"/>
      <c r="G467" s="3" t="n"/>
      <c r="H467" s="4" t="n"/>
      <c r="I467" s="4" t="n"/>
      <c r="J467" s="3">
        <f>INDEX(Проверки!$F:$F, ROW())</f>
        <v/>
      </c>
      <c r="K467" s="3">
        <f>INDEX(Проверки!$D:$D, ROW())</f>
        <v/>
      </c>
      <c r="L467" s="3">
        <f>INDEX(Проверки!$G:$G, ROW())</f>
        <v/>
      </c>
    </row>
    <row r="468">
      <c r="A468" s="3" t="n"/>
      <c r="B468" s="4" t="n"/>
      <c r="C468" s="3" t="n"/>
      <c r="D468" s="4" t="n"/>
      <c r="E468" s="3" t="n"/>
      <c r="F468" s="3" t="n"/>
      <c r="G468" s="3" t="n"/>
      <c r="H468" s="4" t="n"/>
      <c r="I468" s="4" t="n"/>
      <c r="J468" s="3">
        <f>INDEX(Проверки!$F:$F, ROW())</f>
        <v/>
      </c>
      <c r="K468" s="3">
        <f>INDEX(Проверки!$D:$D, ROW())</f>
        <v/>
      </c>
      <c r="L468" s="3">
        <f>INDEX(Проверки!$G:$G, ROW())</f>
        <v/>
      </c>
    </row>
    <row r="469">
      <c r="A469" s="3" t="n"/>
      <c r="B469" s="4" t="n"/>
      <c r="C469" s="3" t="n"/>
      <c r="D469" s="4" t="n"/>
      <c r="E469" s="3" t="n"/>
      <c r="F469" s="3" t="n"/>
      <c r="G469" s="3" t="n"/>
      <c r="H469" s="4" t="n"/>
      <c r="I469" s="4" t="n"/>
      <c r="J469" s="3">
        <f>INDEX(Проверки!$F:$F, ROW())</f>
        <v/>
      </c>
      <c r="K469" s="3">
        <f>INDEX(Проверки!$D:$D, ROW())</f>
        <v/>
      </c>
      <c r="L469" s="3">
        <f>INDEX(Проверки!$G:$G, ROW())</f>
        <v/>
      </c>
    </row>
    <row r="470">
      <c r="A470" s="3" t="n"/>
      <c r="B470" s="4" t="n"/>
      <c r="C470" s="3" t="n"/>
      <c r="D470" s="4" t="n"/>
      <c r="E470" s="3" t="n"/>
      <c r="F470" s="3" t="n"/>
      <c r="G470" s="3" t="n"/>
      <c r="H470" s="4" t="n"/>
      <c r="I470" s="4" t="n"/>
      <c r="J470" s="3">
        <f>INDEX(Проверки!$F:$F, ROW())</f>
        <v/>
      </c>
      <c r="K470" s="3">
        <f>INDEX(Проверки!$D:$D, ROW())</f>
        <v/>
      </c>
      <c r="L470" s="3">
        <f>INDEX(Проверки!$G:$G, ROW())</f>
        <v/>
      </c>
    </row>
    <row r="471">
      <c r="A471" s="3" t="n"/>
      <c r="B471" s="4" t="n"/>
      <c r="C471" s="3" t="n"/>
      <c r="D471" s="4" t="n"/>
      <c r="E471" s="3" t="n"/>
      <c r="F471" s="3" t="n"/>
      <c r="G471" s="3" t="n"/>
      <c r="H471" s="4" t="n"/>
      <c r="I471" s="4" t="n"/>
      <c r="J471" s="3">
        <f>INDEX(Проверки!$F:$F, ROW())</f>
        <v/>
      </c>
      <c r="K471" s="3">
        <f>INDEX(Проверки!$D:$D, ROW())</f>
        <v/>
      </c>
      <c r="L471" s="3">
        <f>INDEX(Проверки!$G:$G, ROW())</f>
        <v/>
      </c>
    </row>
    <row r="472">
      <c r="A472" s="3" t="n"/>
      <c r="B472" s="4" t="n"/>
      <c r="C472" s="3" t="n"/>
      <c r="D472" s="4" t="n"/>
      <c r="E472" s="3" t="n"/>
      <c r="F472" s="3" t="n"/>
      <c r="G472" s="3" t="n"/>
      <c r="H472" s="4" t="n"/>
      <c r="I472" s="4" t="n"/>
      <c r="J472" s="3">
        <f>INDEX(Проверки!$F:$F, ROW())</f>
        <v/>
      </c>
      <c r="K472" s="3">
        <f>INDEX(Проверки!$D:$D, ROW())</f>
        <v/>
      </c>
      <c r="L472" s="3">
        <f>INDEX(Проверки!$G:$G, ROW())</f>
        <v/>
      </c>
    </row>
    <row r="473">
      <c r="A473" s="3" t="n"/>
      <c r="B473" s="4" t="n"/>
      <c r="C473" s="3" t="n"/>
      <c r="D473" s="4" t="n"/>
      <c r="E473" s="3" t="n"/>
      <c r="F473" s="3" t="n"/>
      <c r="G473" s="3" t="n"/>
      <c r="H473" s="4" t="n"/>
      <c r="I473" s="4" t="n"/>
      <c r="J473" s="3">
        <f>INDEX(Проверки!$F:$F, ROW())</f>
        <v/>
      </c>
      <c r="K473" s="3">
        <f>INDEX(Проверки!$D:$D, ROW())</f>
        <v/>
      </c>
      <c r="L473" s="3">
        <f>INDEX(Проверки!$G:$G, ROW())</f>
        <v/>
      </c>
    </row>
    <row r="474">
      <c r="A474" s="3" t="n"/>
      <c r="B474" s="4" t="n"/>
      <c r="C474" s="3" t="n"/>
      <c r="D474" s="4" t="n"/>
      <c r="E474" s="3" t="n"/>
      <c r="F474" s="3" t="n"/>
      <c r="G474" s="3" t="n"/>
      <c r="H474" s="4" t="n"/>
      <c r="I474" s="4" t="n"/>
      <c r="J474" s="3">
        <f>INDEX(Проверки!$F:$F, ROW())</f>
        <v/>
      </c>
      <c r="K474" s="3">
        <f>INDEX(Проверки!$D:$D, ROW())</f>
        <v/>
      </c>
      <c r="L474" s="3">
        <f>INDEX(Проверки!$G:$G, ROW())</f>
        <v/>
      </c>
    </row>
    <row r="475">
      <c r="A475" s="3" t="n"/>
      <c r="B475" s="4" t="n"/>
      <c r="C475" s="3" t="n"/>
      <c r="D475" s="4" t="n"/>
      <c r="E475" s="3" t="n"/>
      <c r="F475" s="3" t="n"/>
      <c r="G475" s="3" t="n"/>
      <c r="H475" s="4" t="n"/>
      <c r="I475" s="4" t="n"/>
      <c r="J475" s="3">
        <f>INDEX(Проверки!$F:$F, ROW())</f>
        <v/>
      </c>
      <c r="K475" s="3">
        <f>INDEX(Проверки!$D:$D, ROW())</f>
        <v/>
      </c>
      <c r="L475" s="3">
        <f>INDEX(Проверки!$G:$G, ROW())</f>
        <v/>
      </c>
    </row>
    <row r="476">
      <c r="A476" s="3" t="n"/>
      <c r="B476" s="4" t="n"/>
      <c r="C476" s="3" t="n"/>
      <c r="D476" s="4" t="n"/>
      <c r="E476" s="3" t="n"/>
      <c r="F476" s="3" t="n"/>
      <c r="G476" s="3" t="n"/>
      <c r="H476" s="4" t="n"/>
      <c r="I476" s="4" t="n"/>
      <c r="J476" s="3">
        <f>INDEX(Проверки!$F:$F, ROW())</f>
        <v/>
      </c>
      <c r="K476" s="3">
        <f>INDEX(Проверки!$D:$D, ROW())</f>
        <v/>
      </c>
      <c r="L476" s="3">
        <f>INDEX(Проверки!$G:$G, ROW())</f>
        <v/>
      </c>
    </row>
    <row r="477">
      <c r="A477" s="3" t="n"/>
      <c r="B477" s="4" t="n"/>
      <c r="C477" s="3" t="n"/>
      <c r="D477" s="4" t="n"/>
      <c r="E477" s="3" t="n"/>
      <c r="F477" s="3" t="n"/>
      <c r="G477" s="3" t="n"/>
      <c r="H477" s="4" t="n"/>
      <c r="I477" s="4" t="n"/>
      <c r="J477" s="3">
        <f>INDEX(Проверки!$F:$F, ROW())</f>
        <v/>
      </c>
      <c r="K477" s="3">
        <f>INDEX(Проверки!$D:$D, ROW())</f>
        <v/>
      </c>
      <c r="L477" s="3">
        <f>INDEX(Проверки!$G:$G, ROW())</f>
        <v/>
      </c>
    </row>
    <row r="478">
      <c r="A478" s="3" t="n"/>
      <c r="B478" s="4" t="n"/>
      <c r="C478" s="3" t="n"/>
      <c r="D478" s="4" t="n"/>
      <c r="E478" s="3" t="n"/>
      <c r="F478" s="3" t="n"/>
      <c r="G478" s="3" t="n"/>
      <c r="H478" s="4" t="n"/>
      <c r="I478" s="4" t="n"/>
      <c r="J478" s="3">
        <f>INDEX(Проверки!$F:$F, ROW())</f>
        <v/>
      </c>
      <c r="K478" s="3">
        <f>INDEX(Проверки!$D:$D, ROW())</f>
        <v/>
      </c>
      <c r="L478" s="3">
        <f>INDEX(Проверки!$G:$G, ROW())</f>
        <v/>
      </c>
    </row>
    <row r="479">
      <c r="A479" s="3" t="n"/>
      <c r="B479" s="4" t="n"/>
      <c r="C479" s="3" t="n"/>
      <c r="D479" s="4" t="n"/>
      <c r="E479" s="3" t="n"/>
      <c r="F479" s="3" t="n"/>
      <c r="G479" s="3" t="n"/>
      <c r="H479" s="4" t="n"/>
      <c r="I479" s="4" t="n"/>
      <c r="J479" s="3">
        <f>INDEX(Проверки!$F:$F, ROW())</f>
        <v/>
      </c>
      <c r="K479" s="3">
        <f>INDEX(Проверки!$D:$D, ROW())</f>
        <v/>
      </c>
      <c r="L479" s="3">
        <f>INDEX(Проверки!$G:$G, ROW())</f>
        <v/>
      </c>
    </row>
    <row r="480">
      <c r="A480" s="3" t="n"/>
      <c r="B480" s="4" t="n"/>
      <c r="C480" s="3" t="n"/>
      <c r="D480" s="4" t="n"/>
      <c r="E480" s="3" t="n"/>
      <c r="F480" s="3" t="n"/>
      <c r="G480" s="3" t="n"/>
      <c r="H480" s="4" t="n"/>
      <c r="I480" s="4" t="n"/>
      <c r="J480" s="3">
        <f>INDEX(Проверки!$F:$F, ROW())</f>
        <v/>
      </c>
      <c r="K480" s="3">
        <f>INDEX(Проверки!$D:$D, ROW())</f>
        <v/>
      </c>
      <c r="L480" s="3">
        <f>INDEX(Проверки!$G:$G, ROW())</f>
        <v/>
      </c>
    </row>
    <row r="481">
      <c r="A481" s="3" t="n"/>
      <c r="B481" s="4" t="n"/>
      <c r="C481" s="3" t="n"/>
      <c r="D481" s="4" t="n"/>
      <c r="E481" s="3" t="n"/>
      <c r="F481" s="3" t="n"/>
      <c r="G481" s="3" t="n"/>
      <c r="H481" s="4" t="n"/>
      <c r="I481" s="4" t="n"/>
      <c r="J481" s="3">
        <f>INDEX(Проверки!$F:$F, ROW())</f>
        <v/>
      </c>
      <c r="K481" s="3">
        <f>INDEX(Проверки!$D:$D, ROW())</f>
        <v/>
      </c>
      <c r="L481" s="3">
        <f>INDEX(Проверки!$G:$G, ROW())</f>
        <v/>
      </c>
    </row>
    <row r="482">
      <c r="A482" s="3" t="n"/>
      <c r="B482" s="4" t="n"/>
      <c r="C482" s="3" t="n"/>
      <c r="D482" s="4" t="n"/>
      <c r="E482" s="3" t="n"/>
      <c r="F482" s="3" t="n"/>
      <c r="G482" s="3" t="n"/>
      <c r="H482" s="4" t="n"/>
      <c r="I482" s="4" t="n"/>
      <c r="J482" s="3">
        <f>INDEX(Проверки!$F:$F, ROW())</f>
        <v/>
      </c>
      <c r="K482" s="3">
        <f>INDEX(Проверки!$D:$D, ROW())</f>
        <v/>
      </c>
      <c r="L482" s="3">
        <f>INDEX(Проверки!$G:$G, ROW())</f>
        <v/>
      </c>
    </row>
    <row r="483">
      <c r="A483" s="3" t="n"/>
      <c r="B483" s="4" t="n"/>
      <c r="C483" s="3" t="n"/>
      <c r="D483" s="4" t="n"/>
      <c r="E483" s="3" t="n"/>
      <c r="F483" s="3" t="n"/>
      <c r="G483" s="3" t="n"/>
      <c r="H483" s="4" t="n"/>
      <c r="I483" s="4" t="n"/>
      <c r="J483" s="3">
        <f>INDEX(Проверки!$F:$F, ROW())</f>
        <v/>
      </c>
      <c r="K483" s="3">
        <f>INDEX(Проверки!$D:$D, ROW())</f>
        <v/>
      </c>
      <c r="L483" s="3">
        <f>INDEX(Проверки!$G:$G, ROW())</f>
        <v/>
      </c>
    </row>
    <row r="484">
      <c r="A484" s="3" t="n"/>
      <c r="B484" s="4" t="n"/>
      <c r="C484" s="3" t="n"/>
      <c r="D484" s="4" t="n"/>
      <c r="E484" s="3" t="n"/>
      <c r="F484" s="3" t="n"/>
      <c r="G484" s="3" t="n"/>
      <c r="H484" s="4" t="n"/>
      <c r="I484" s="4" t="n"/>
      <c r="J484" s="3">
        <f>INDEX(Проверки!$F:$F, ROW())</f>
        <v/>
      </c>
      <c r="K484" s="3">
        <f>INDEX(Проверки!$D:$D, ROW())</f>
        <v/>
      </c>
      <c r="L484" s="3">
        <f>INDEX(Проверки!$G:$G, ROW())</f>
        <v/>
      </c>
    </row>
    <row r="485">
      <c r="A485" s="3" t="n"/>
      <c r="B485" s="4" t="n"/>
      <c r="C485" s="3" t="n"/>
      <c r="D485" s="4" t="n"/>
      <c r="E485" s="3" t="n"/>
      <c r="F485" s="3" t="n"/>
      <c r="G485" s="3" t="n"/>
      <c r="H485" s="4" t="n"/>
      <c r="I485" s="4" t="n"/>
      <c r="J485" s="3">
        <f>INDEX(Проверки!$F:$F, ROW())</f>
        <v/>
      </c>
      <c r="K485" s="3">
        <f>INDEX(Проверки!$D:$D, ROW())</f>
        <v/>
      </c>
      <c r="L485" s="3">
        <f>INDEX(Проверки!$G:$G, ROW())</f>
        <v/>
      </c>
    </row>
    <row r="486">
      <c r="A486" s="3" t="n"/>
      <c r="B486" s="4" t="n"/>
      <c r="C486" s="3" t="n"/>
      <c r="D486" s="4" t="n"/>
      <c r="E486" s="3" t="n"/>
      <c r="F486" s="3" t="n"/>
      <c r="G486" s="3" t="n"/>
      <c r="H486" s="4" t="n"/>
      <c r="I486" s="4" t="n"/>
      <c r="J486" s="3">
        <f>INDEX(Проверки!$F:$F, ROW())</f>
        <v/>
      </c>
      <c r="K486" s="3">
        <f>INDEX(Проверки!$D:$D, ROW())</f>
        <v/>
      </c>
      <c r="L486" s="3">
        <f>INDEX(Проверки!$G:$G, ROW())</f>
        <v/>
      </c>
    </row>
    <row r="487">
      <c r="A487" s="3" t="n"/>
      <c r="B487" s="4" t="n"/>
      <c r="C487" s="3" t="n"/>
      <c r="D487" s="4" t="n"/>
      <c r="E487" s="3" t="n"/>
      <c r="F487" s="3" t="n"/>
      <c r="G487" s="3" t="n"/>
      <c r="H487" s="4" t="n"/>
      <c r="I487" s="4" t="n"/>
      <c r="J487" s="3">
        <f>INDEX(Проверки!$F:$F, ROW())</f>
        <v/>
      </c>
      <c r="K487" s="3">
        <f>INDEX(Проверки!$D:$D, ROW())</f>
        <v/>
      </c>
      <c r="L487" s="3">
        <f>INDEX(Проверки!$G:$G, ROW())</f>
        <v/>
      </c>
    </row>
    <row r="488">
      <c r="A488" s="3" t="n"/>
      <c r="B488" s="4" t="n"/>
      <c r="C488" s="3" t="n"/>
      <c r="D488" s="4" t="n"/>
      <c r="E488" s="3" t="n"/>
      <c r="F488" s="3" t="n"/>
      <c r="G488" s="3" t="n"/>
      <c r="H488" s="4" t="n"/>
      <c r="I488" s="4" t="n"/>
      <c r="J488" s="3">
        <f>INDEX(Проверки!$F:$F, ROW())</f>
        <v/>
      </c>
      <c r="K488" s="3">
        <f>INDEX(Проверки!$D:$D, ROW())</f>
        <v/>
      </c>
      <c r="L488" s="3">
        <f>INDEX(Проверки!$G:$G, ROW())</f>
        <v/>
      </c>
    </row>
    <row r="489">
      <c r="A489" s="3" t="n"/>
      <c r="B489" s="4" t="n"/>
      <c r="C489" s="3" t="n"/>
      <c r="D489" s="4" t="n"/>
      <c r="E489" s="3" t="n"/>
      <c r="F489" s="3" t="n"/>
      <c r="G489" s="3" t="n"/>
      <c r="H489" s="4" t="n"/>
      <c r="I489" s="4" t="n"/>
      <c r="J489" s="3">
        <f>INDEX(Проверки!$F:$F, ROW())</f>
        <v/>
      </c>
      <c r="K489" s="3">
        <f>INDEX(Проверки!$D:$D, ROW())</f>
        <v/>
      </c>
      <c r="L489" s="3">
        <f>INDEX(Проверки!$G:$G, ROW())</f>
        <v/>
      </c>
    </row>
    <row r="490">
      <c r="A490" s="3" t="n"/>
      <c r="B490" s="4" t="n"/>
      <c r="C490" s="3" t="n"/>
      <c r="D490" s="4" t="n"/>
      <c r="E490" s="3" t="n"/>
      <c r="F490" s="3" t="n"/>
      <c r="G490" s="3" t="n"/>
      <c r="H490" s="4" t="n"/>
      <c r="I490" s="4" t="n"/>
      <c r="J490" s="3">
        <f>INDEX(Проверки!$F:$F, ROW())</f>
        <v/>
      </c>
      <c r="K490" s="3">
        <f>INDEX(Проверки!$D:$D, ROW())</f>
        <v/>
      </c>
      <c r="L490" s="3">
        <f>INDEX(Проверки!$G:$G, ROW())</f>
        <v/>
      </c>
    </row>
    <row r="491">
      <c r="A491" s="3" t="n"/>
      <c r="B491" s="4" t="n"/>
      <c r="C491" s="3" t="n"/>
      <c r="D491" s="4" t="n"/>
      <c r="E491" s="3" t="n"/>
      <c r="F491" s="3" t="n"/>
      <c r="G491" s="3" t="n"/>
      <c r="H491" s="4" t="n"/>
      <c r="I491" s="4" t="n"/>
      <c r="J491" s="3">
        <f>INDEX(Проверки!$F:$F, ROW())</f>
        <v/>
      </c>
      <c r="K491" s="3">
        <f>INDEX(Проверки!$D:$D, ROW())</f>
        <v/>
      </c>
      <c r="L491" s="3">
        <f>INDEX(Проверки!$G:$G, ROW())</f>
        <v/>
      </c>
    </row>
    <row r="492">
      <c r="A492" s="3" t="n"/>
      <c r="B492" s="4" t="n"/>
      <c r="C492" s="3" t="n"/>
      <c r="D492" s="4" t="n"/>
      <c r="E492" s="3" t="n"/>
      <c r="F492" s="3" t="n"/>
      <c r="G492" s="3" t="n"/>
      <c r="H492" s="4" t="n"/>
      <c r="I492" s="4" t="n"/>
      <c r="J492" s="3">
        <f>INDEX(Проверки!$F:$F, ROW())</f>
        <v/>
      </c>
      <c r="K492" s="3">
        <f>INDEX(Проверки!$D:$D, ROW())</f>
        <v/>
      </c>
      <c r="L492" s="3">
        <f>INDEX(Проверки!$G:$G, ROW())</f>
        <v/>
      </c>
    </row>
    <row r="493">
      <c r="A493" s="3" t="n"/>
      <c r="B493" s="4" t="n"/>
      <c r="C493" s="3" t="n"/>
      <c r="D493" s="4" t="n"/>
      <c r="E493" s="3" t="n"/>
      <c r="F493" s="3" t="n"/>
      <c r="G493" s="3" t="n"/>
      <c r="H493" s="4" t="n"/>
      <c r="I493" s="4" t="n"/>
      <c r="J493" s="3">
        <f>INDEX(Проверки!$F:$F, ROW())</f>
        <v/>
      </c>
      <c r="K493" s="3">
        <f>INDEX(Проверки!$D:$D, ROW())</f>
        <v/>
      </c>
      <c r="L493" s="3">
        <f>INDEX(Проверки!$G:$G, ROW())</f>
        <v/>
      </c>
    </row>
    <row r="494">
      <c r="A494" s="3" t="n"/>
      <c r="B494" s="4" t="n"/>
      <c r="C494" s="3" t="n"/>
      <c r="D494" s="4" t="n"/>
      <c r="E494" s="3" t="n"/>
      <c r="F494" s="3" t="n"/>
      <c r="G494" s="3" t="n"/>
      <c r="H494" s="4" t="n"/>
      <c r="I494" s="4" t="n"/>
      <c r="J494" s="3">
        <f>INDEX(Проверки!$F:$F, ROW())</f>
        <v/>
      </c>
      <c r="K494" s="3">
        <f>INDEX(Проверки!$D:$D, ROW())</f>
        <v/>
      </c>
      <c r="L494" s="3">
        <f>INDEX(Проверки!$G:$G, ROW())</f>
        <v/>
      </c>
    </row>
    <row r="495">
      <c r="A495" s="3" t="n"/>
      <c r="B495" s="4" t="n"/>
      <c r="C495" s="3" t="n"/>
      <c r="D495" s="4" t="n"/>
      <c r="E495" s="3" t="n"/>
      <c r="F495" s="3" t="n"/>
      <c r="G495" s="3" t="n"/>
      <c r="H495" s="4" t="n"/>
      <c r="I495" s="4" t="n"/>
      <c r="J495" s="3">
        <f>INDEX(Проверки!$F:$F, ROW())</f>
        <v/>
      </c>
      <c r="K495" s="3">
        <f>INDEX(Проверки!$D:$D, ROW())</f>
        <v/>
      </c>
      <c r="L495" s="3">
        <f>INDEX(Проверки!$G:$G, ROW())</f>
        <v/>
      </c>
    </row>
    <row r="496">
      <c r="A496" s="3" t="n"/>
      <c r="B496" s="4" t="n"/>
      <c r="C496" s="3" t="n"/>
      <c r="D496" s="4" t="n"/>
      <c r="E496" s="3" t="n"/>
      <c r="F496" s="3" t="n"/>
      <c r="G496" s="3" t="n"/>
      <c r="H496" s="4" t="n"/>
      <c r="I496" s="4" t="n"/>
      <c r="J496" s="3">
        <f>INDEX(Проверки!$F:$F, ROW())</f>
        <v/>
      </c>
      <c r="K496" s="3">
        <f>INDEX(Проверки!$D:$D, ROW())</f>
        <v/>
      </c>
      <c r="L496" s="3">
        <f>INDEX(Проверки!$G:$G, ROW())</f>
        <v/>
      </c>
    </row>
    <row r="497">
      <c r="A497" s="3" t="n"/>
      <c r="B497" s="4" t="n"/>
      <c r="C497" s="3" t="n"/>
      <c r="D497" s="4" t="n"/>
      <c r="E497" s="3" t="n"/>
      <c r="F497" s="3" t="n"/>
      <c r="G497" s="3" t="n"/>
      <c r="H497" s="4" t="n"/>
      <c r="I497" s="4" t="n"/>
      <c r="J497" s="3">
        <f>INDEX(Проверки!$F:$F, ROW())</f>
        <v/>
      </c>
      <c r="K497" s="3">
        <f>INDEX(Проверки!$D:$D, ROW())</f>
        <v/>
      </c>
      <c r="L497" s="3">
        <f>INDEX(Проверки!$G:$G, ROW())</f>
        <v/>
      </c>
    </row>
    <row r="498">
      <c r="A498" s="3" t="n"/>
      <c r="B498" s="4" t="n"/>
      <c r="C498" s="3" t="n"/>
      <c r="D498" s="4" t="n"/>
      <c r="E498" s="3" t="n"/>
      <c r="F498" s="3" t="n"/>
      <c r="G498" s="3" t="n"/>
      <c r="H498" s="4" t="n"/>
      <c r="I498" s="4" t="n"/>
      <c r="J498" s="3">
        <f>INDEX(Проверки!$F:$F, ROW())</f>
        <v/>
      </c>
      <c r="K498" s="3">
        <f>INDEX(Проверки!$D:$D, ROW())</f>
        <v/>
      </c>
      <c r="L498" s="3">
        <f>INDEX(Проверки!$G:$G, ROW())</f>
        <v/>
      </c>
    </row>
    <row r="499">
      <c r="A499" s="3" t="n"/>
      <c r="B499" s="4" t="n"/>
      <c r="C499" s="3" t="n"/>
      <c r="D499" s="4" t="n"/>
      <c r="E499" s="3" t="n"/>
      <c r="F499" s="3" t="n"/>
      <c r="G499" s="3" t="n"/>
      <c r="H499" s="4" t="n"/>
      <c r="I499" s="4" t="n"/>
      <c r="J499" s="3">
        <f>INDEX(Проверки!$F:$F, ROW())</f>
        <v/>
      </c>
      <c r="K499" s="3">
        <f>INDEX(Проверки!$D:$D, ROW())</f>
        <v/>
      </c>
      <c r="L499" s="3">
        <f>INDEX(Проверки!$G:$G, ROW())</f>
        <v/>
      </c>
    </row>
    <row r="500">
      <c r="A500" s="3" t="n"/>
      <c r="B500" s="4" t="n"/>
      <c r="C500" s="3" t="n"/>
      <c r="D500" s="4" t="n"/>
      <c r="E500" s="3" t="n"/>
      <c r="F500" s="3" t="n"/>
      <c r="G500" s="3" t="n"/>
      <c r="H500" s="4" t="n"/>
      <c r="I500" s="4" t="n"/>
      <c r="J500" s="3">
        <f>INDEX(Проверки!$F:$F, ROW())</f>
        <v/>
      </c>
      <c r="K500" s="3">
        <f>INDEX(Проверки!$D:$D, ROW())</f>
        <v/>
      </c>
      <c r="L500" s="3">
        <f>INDEX(Проверки!$G:$G, ROW())</f>
        <v/>
      </c>
    </row>
    <row r="501">
      <c r="A501" s="3" t="n"/>
      <c r="B501" s="4" t="n"/>
      <c r="C501" s="3" t="n"/>
      <c r="D501" s="4" t="n"/>
      <c r="E501" s="3" t="n"/>
      <c r="F501" s="3" t="n"/>
      <c r="G501" s="3" t="n"/>
      <c r="H501" s="4" t="n"/>
      <c r="I501" s="4" t="n"/>
      <c r="J501" s="3">
        <f>INDEX(Проверки!$F:$F, ROW())</f>
        <v/>
      </c>
      <c r="K501" s="3">
        <f>INDEX(Проверки!$D:$D, ROW())</f>
        <v/>
      </c>
      <c r="L501" s="3">
        <f>INDEX(Проверки!$G:$G, ROW())</f>
        <v/>
      </c>
    </row>
    <row r="502">
      <c r="A502" s="3" t="n"/>
      <c r="B502" s="4" t="n"/>
      <c r="C502" s="3" t="n"/>
      <c r="D502" s="4" t="n"/>
      <c r="E502" s="3" t="n"/>
      <c r="F502" s="3" t="n"/>
      <c r="G502" s="3" t="n"/>
      <c r="H502" s="4" t="n"/>
      <c r="I502" s="4" t="n"/>
      <c r="J502" s="3">
        <f>INDEX(Проверки!$F:$F, ROW())</f>
        <v/>
      </c>
      <c r="K502" s="3">
        <f>INDEX(Проверки!$D:$D, ROW())</f>
        <v/>
      </c>
      <c r="L502" s="3">
        <f>INDEX(Проверки!$G:$G, ROW())</f>
        <v/>
      </c>
    </row>
    <row r="503">
      <c r="A503" s="3" t="n"/>
      <c r="B503" s="4" t="n"/>
      <c r="C503" s="3" t="n"/>
      <c r="D503" s="4" t="n"/>
      <c r="E503" s="3" t="n"/>
      <c r="F503" s="3" t="n"/>
      <c r="G503" s="3" t="n"/>
      <c r="H503" s="4" t="n"/>
      <c r="I503" s="4" t="n"/>
      <c r="J503" s="3">
        <f>INDEX(Проверки!$F:$F, ROW())</f>
        <v/>
      </c>
      <c r="K503" s="3">
        <f>INDEX(Проверки!$D:$D, ROW())</f>
        <v/>
      </c>
      <c r="L503" s="3">
        <f>INDEX(Проверки!$G:$G, ROW())</f>
        <v/>
      </c>
    </row>
    <row r="504">
      <c r="A504" s="3" t="n"/>
      <c r="B504" s="4" t="n"/>
      <c r="C504" s="3" t="n"/>
      <c r="D504" s="4" t="n"/>
      <c r="E504" s="3" t="n"/>
      <c r="F504" s="3" t="n"/>
      <c r="G504" s="3" t="n"/>
      <c r="H504" s="4" t="n"/>
      <c r="I504" s="4" t="n"/>
      <c r="J504" s="3">
        <f>INDEX(Проверки!$F:$F, ROW())</f>
        <v/>
      </c>
      <c r="K504" s="3">
        <f>INDEX(Проверки!$D:$D, ROW())</f>
        <v/>
      </c>
      <c r="L504" s="3">
        <f>INDEX(Проверки!$G:$G, ROW())</f>
        <v/>
      </c>
    </row>
    <row r="505">
      <c r="A505" s="3" t="n"/>
      <c r="B505" s="4" t="n"/>
      <c r="C505" s="3" t="n"/>
      <c r="D505" s="4" t="n"/>
      <c r="E505" s="3" t="n"/>
      <c r="F505" s="3" t="n"/>
      <c r="G505" s="3" t="n"/>
      <c r="H505" s="4" t="n"/>
      <c r="I505" s="4" t="n"/>
      <c r="J505" s="3">
        <f>INDEX(Проверки!$F:$F, ROW())</f>
        <v/>
      </c>
      <c r="K505" s="3">
        <f>INDEX(Проверки!$D:$D, ROW())</f>
        <v/>
      </c>
      <c r="L505" s="3">
        <f>INDEX(Проверки!$G:$G, ROW())</f>
        <v/>
      </c>
    </row>
    <row r="506">
      <c r="A506" s="3" t="n"/>
      <c r="B506" s="4" t="n"/>
      <c r="C506" s="3" t="n"/>
      <c r="D506" s="4" t="n"/>
      <c r="E506" s="3" t="n"/>
      <c r="F506" s="3" t="n"/>
      <c r="G506" s="3" t="n"/>
      <c r="H506" s="4" t="n"/>
      <c r="I506" s="4" t="n"/>
      <c r="J506" s="3">
        <f>INDEX(Проверки!$F:$F, ROW())</f>
        <v/>
      </c>
      <c r="K506" s="3">
        <f>INDEX(Проверки!$D:$D, ROW())</f>
        <v/>
      </c>
      <c r="L506" s="3">
        <f>INDEX(Проверки!$G:$G, ROW())</f>
        <v/>
      </c>
    </row>
    <row r="507">
      <c r="A507" s="3" t="n"/>
      <c r="B507" s="4" t="n"/>
      <c r="C507" s="3" t="n"/>
      <c r="D507" s="4" t="n"/>
      <c r="E507" s="3" t="n"/>
      <c r="F507" s="3" t="n"/>
      <c r="G507" s="3" t="n"/>
      <c r="H507" s="4" t="n"/>
      <c r="I507" s="4" t="n"/>
      <c r="J507" s="3">
        <f>INDEX(Проверки!$F:$F, ROW())</f>
        <v/>
      </c>
      <c r="K507" s="3">
        <f>INDEX(Проверки!$D:$D, ROW())</f>
        <v/>
      </c>
      <c r="L507" s="3">
        <f>INDEX(Проверки!$G:$G, ROW())</f>
        <v/>
      </c>
    </row>
    <row r="508">
      <c r="A508" s="3" t="n"/>
      <c r="B508" s="4" t="n"/>
      <c r="C508" s="3" t="n"/>
      <c r="D508" s="4" t="n"/>
      <c r="E508" s="3" t="n"/>
      <c r="F508" s="3" t="n"/>
      <c r="G508" s="3" t="n"/>
      <c r="H508" s="4" t="n"/>
      <c r="I508" s="4" t="n"/>
      <c r="J508" s="3">
        <f>INDEX(Проверки!$F:$F, ROW())</f>
        <v/>
      </c>
      <c r="K508" s="3">
        <f>INDEX(Проверки!$D:$D, ROW())</f>
        <v/>
      </c>
      <c r="L508" s="3">
        <f>INDEX(Проверки!$G:$G, ROW())</f>
        <v/>
      </c>
    </row>
    <row r="509">
      <c r="A509" s="3" t="n"/>
      <c r="B509" s="4" t="n"/>
      <c r="C509" s="3" t="n"/>
      <c r="D509" s="4" t="n"/>
      <c r="E509" s="3" t="n"/>
      <c r="F509" s="3" t="n"/>
      <c r="G509" s="3" t="n"/>
      <c r="H509" s="4" t="n"/>
      <c r="I509" s="4" t="n"/>
      <c r="J509" s="3">
        <f>INDEX(Проверки!$F:$F, ROW())</f>
        <v/>
      </c>
      <c r="K509" s="3">
        <f>INDEX(Проверки!$D:$D, ROW())</f>
        <v/>
      </c>
      <c r="L509" s="3">
        <f>INDEX(Проверки!$G:$G, ROW())</f>
        <v/>
      </c>
    </row>
    <row r="510">
      <c r="A510" s="3" t="n"/>
      <c r="B510" s="4" t="n"/>
      <c r="C510" s="3" t="n"/>
      <c r="D510" s="4" t="n"/>
      <c r="E510" s="3" t="n"/>
      <c r="F510" s="3" t="n"/>
      <c r="G510" s="3" t="n"/>
      <c r="H510" s="4" t="n"/>
      <c r="I510" s="4" t="n"/>
      <c r="J510" s="3">
        <f>INDEX(Проверки!$F:$F, ROW())</f>
        <v/>
      </c>
      <c r="K510" s="3">
        <f>INDEX(Проверки!$D:$D, ROW())</f>
        <v/>
      </c>
      <c r="L510" s="3">
        <f>INDEX(Проверки!$G:$G, ROW())</f>
        <v/>
      </c>
    </row>
    <row r="511">
      <c r="A511" s="3" t="n"/>
      <c r="B511" s="4" t="n"/>
      <c r="C511" s="3" t="n"/>
      <c r="D511" s="4" t="n"/>
      <c r="E511" s="3" t="n"/>
      <c r="F511" s="3" t="n"/>
      <c r="G511" s="3" t="n"/>
      <c r="H511" s="4" t="n"/>
      <c r="I511" s="4" t="n"/>
      <c r="J511" s="3">
        <f>INDEX(Проверки!$F:$F, ROW())</f>
        <v/>
      </c>
      <c r="K511" s="3">
        <f>INDEX(Проверки!$D:$D, ROW())</f>
        <v/>
      </c>
      <c r="L511" s="3">
        <f>INDEX(Проверки!$G:$G, ROW())</f>
        <v/>
      </c>
    </row>
    <row r="512">
      <c r="A512" s="3" t="n"/>
      <c r="B512" s="4" t="n"/>
      <c r="C512" s="3" t="n"/>
      <c r="D512" s="4" t="n"/>
      <c r="E512" s="3" t="n"/>
      <c r="F512" s="3" t="n"/>
      <c r="G512" s="3" t="n"/>
      <c r="H512" s="4" t="n"/>
      <c r="I512" s="4" t="n"/>
      <c r="J512" s="3">
        <f>INDEX(Проверки!$F:$F, ROW())</f>
        <v/>
      </c>
      <c r="K512" s="3">
        <f>INDEX(Проверки!$D:$D, ROW())</f>
        <v/>
      </c>
      <c r="L512" s="3">
        <f>INDEX(Проверки!$G:$G, ROW())</f>
        <v/>
      </c>
    </row>
    <row r="513">
      <c r="A513" s="3" t="n"/>
      <c r="B513" s="4" t="n"/>
      <c r="C513" s="3" t="n"/>
      <c r="D513" s="4" t="n"/>
      <c r="E513" s="3" t="n"/>
      <c r="F513" s="3" t="n"/>
      <c r="G513" s="3" t="n"/>
      <c r="H513" s="4" t="n"/>
      <c r="I513" s="4" t="n"/>
      <c r="J513" s="3">
        <f>INDEX(Проверки!$F:$F, ROW())</f>
        <v/>
      </c>
      <c r="K513" s="3">
        <f>INDEX(Проверки!$D:$D, ROW())</f>
        <v/>
      </c>
      <c r="L513" s="3">
        <f>INDEX(Проверки!$G:$G, ROW())</f>
        <v/>
      </c>
    </row>
    <row r="514">
      <c r="A514" s="3" t="n"/>
      <c r="B514" s="4" t="n"/>
      <c r="C514" s="3" t="n"/>
      <c r="D514" s="4" t="n"/>
      <c r="E514" s="3" t="n"/>
      <c r="F514" s="3" t="n"/>
      <c r="G514" s="3" t="n"/>
      <c r="H514" s="4" t="n"/>
      <c r="I514" s="4" t="n"/>
      <c r="J514" s="3">
        <f>INDEX(Проверки!$F:$F, ROW())</f>
        <v/>
      </c>
      <c r="K514" s="3">
        <f>INDEX(Проверки!$D:$D, ROW())</f>
        <v/>
      </c>
      <c r="L514" s="3">
        <f>INDEX(Проверки!$G:$G, ROW())</f>
        <v/>
      </c>
    </row>
    <row r="515">
      <c r="A515" s="3" t="n"/>
      <c r="B515" s="4" t="n"/>
      <c r="C515" s="3" t="n"/>
      <c r="D515" s="4" t="n"/>
      <c r="E515" s="3" t="n"/>
      <c r="F515" s="3" t="n"/>
      <c r="G515" s="3" t="n"/>
      <c r="H515" s="4" t="n"/>
      <c r="I515" s="4" t="n"/>
      <c r="J515" s="3">
        <f>INDEX(Проверки!$F:$F, ROW())</f>
        <v/>
      </c>
      <c r="K515" s="3">
        <f>INDEX(Проверки!$D:$D, ROW())</f>
        <v/>
      </c>
      <c r="L515" s="3">
        <f>INDEX(Проверки!$G:$G, ROW())</f>
        <v/>
      </c>
    </row>
    <row r="516">
      <c r="A516" s="3" t="n"/>
      <c r="B516" s="4" t="n"/>
      <c r="C516" s="3" t="n"/>
      <c r="D516" s="4" t="n"/>
      <c r="E516" s="3" t="n"/>
      <c r="F516" s="3" t="n"/>
      <c r="G516" s="3" t="n"/>
      <c r="H516" s="4" t="n"/>
      <c r="I516" s="4" t="n"/>
      <c r="J516" s="3">
        <f>INDEX(Проверки!$F:$F, ROW())</f>
        <v/>
      </c>
      <c r="K516" s="3">
        <f>INDEX(Проверки!$D:$D, ROW())</f>
        <v/>
      </c>
      <c r="L516" s="3">
        <f>INDEX(Проверки!$G:$G, ROW())</f>
        <v/>
      </c>
    </row>
    <row r="517">
      <c r="A517" s="3" t="n"/>
      <c r="B517" s="4" t="n"/>
      <c r="C517" s="3" t="n"/>
      <c r="D517" s="4" t="n"/>
      <c r="E517" s="3" t="n"/>
      <c r="F517" s="3" t="n"/>
      <c r="G517" s="3" t="n"/>
      <c r="H517" s="4" t="n"/>
      <c r="I517" s="4" t="n"/>
      <c r="J517" s="3">
        <f>INDEX(Проверки!$F:$F, ROW())</f>
        <v/>
      </c>
      <c r="K517" s="3">
        <f>INDEX(Проверки!$D:$D, ROW())</f>
        <v/>
      </c>
      <c r="L517" s="3">
        <f>INDEX(Проверки!$G:$G, ROW())</f>
        <v/>
      </c>
    </row>
    <row r="518">
      <c r="A518" s="3" t="n"/>
      <c r="B518" s="4" t="n"/>
      <c r="C518" s="3" t="n"/>
      <c r="D518" s="4" t="n"/>
      <c r="E518" s="3" t="n"/>
      <c r="F518" s="3" t="n"/>
      <c r="G518" s="3" t="n"/>
      <c r="H518" s="4" t="n"/>
      <c r="I518" s="4" t="n"/>
      <c r="J518" s="3">
        <f>INDEX(Проверки!$F:$F, ROW())</f>
        <v/>
      </c>
      <c r="K518" s="3">
        <f>INDEX(Проверки!$D:$D, ROW())</f>
        <v/>
      </c>
      <c r="L518" s="3">
        <f>INDEX(Проверки!$G:$G, ROW())</f>
        <v/>
      </c>
    </row>
    <row r="519">
      <c r="A519" s="3" t="n"/>
      <c r="B519" s="4" t="n"/>
      <c r="C519" s="3" t="n"/>
      <c r="D519" s="4" t="n"/>
      <c r="E519" s="3" t="n"/>
      <c r="F519" s="3" t="n"/>
      <c r="G519" s="3" t="n"/>
      <c r="H519" s="4" t="n"/>
      <c r="I519" s="4" t="n"/>
      <c r="J519" s="3">
        <f>INDEX(Проверки!$F:$F, ROW())</f>
        <v/>
      </c>
      <c r="K519" s="3">
        <f>INDEX(Проверки!$D:$D, ROW())</f>
        <v/>
      </c>
      <c r="L519" s="3">
        <f>INDEX(Проверки!$G:$G, ROW())</f>
        <v/>
      </c>
    </row>
    <row r="520">
      <c r="A520" s="3" t="n"/>
      <c r="B520" s="4" t="n"/>
      <c r="C520" s="3" t="n"/>
      <c r="D520" s="4" t="n"/>
      <c r="E520" s="3" t="n"/>
      <c r="F520" s="3" t="n"/>
      <c r="G520" s="3" t="n"/>
      <c r="H520" s="4" t="n"/>
      <c r="I520" s="4" t="n"/>
      <c r="J520" s="3">
        <f>INDEX(Проверки!$F:$F, ROW())</f>
        <v/>
      </c>
      <c r="K520" s="3">
        <f>INDEX(Проверки!$D:$D, ROW())</f>
        <v/>
      </c>
      <c r="L520" s="3">
        <f>INDEX(Проверки!$G:$G, ROW())</f>
        <v/>
      </c>
    </row>
    <row r="521">
      <c r="A521" s="3" t="n"/>
      <c r="B521" s="4" t="n"/>
      <c r="C521" s="3" t="n"/>
      <c r="D521" s="4" t="n"/>
      <c r="E521" s="3" t="n"/>
      <c r="F521" s="3" t="n"/>
      <c r="G521" s="3" t="n"/>
      <c r="H521" s="4" t="n"/>
      <c r="I521" s="4" t="n"/>
      <c r="J521" s="3">
        <f>INDEX(Проверки!$F:$F, ROW())</f>
        <v/>
      </c>
      <c r="K521" s="3">
        <f>INDEX(Проверки!$D:$D, ROW())</f>
        <v/>
      </c>
      <c r="L521" s="3">
        <f>INDEX(Проверки!$G:$G, ROW())</f>
        <v/>
      </c>
    </row>
    <row r="522">
      <c r="A522" s="3" t="n"/>
      <c r="B522" s="4" t="n"/>
      <c r="C522" s="3" t="n"/>
      <c r="D522" s="4" t="n"/>
      <c r="E522" s="3" t="n"/>
      <c r="F522" s="3" t="n"/>
      <c r="G522" s="3" t="n"/>
      <c r="H522" s="4" t="n"/>
      <c r="I522" s="4" t="n"/>
      <c r="J522" s="3">
        <f>INDEX(Проверки!$F:$F, ROW())</f>
        <v/>
      </c>
      <c r="K522" s="3">
        <f>INDEX(Проверки!$D:$D, ROW())</f>
        <v/>
      </c>
      <c r="L522" s="3">
        <f>INDEX(Проверки!$G:$G, ROW())</f>
        <v/>
      </c>
    </row>
    <row r="523">
      <c r="A523" s="3" t="n"/>
      <c r="B523" s="4" t="n"/>
      <c r="C523" s="3" t="n"/>
      <c r="D523" s="4" t="n"/>
      <c r="E523" s="3" t="n"/>
      <c r="F523" s="3" t="n"/>
      <c r="G523" s="3" t="n"/>
      <c r="H523" s="4" t="n"/>
      <c r="I523" s="4" t="n"/>
      <c r="J523" s="3">
        <f>INDEX(Проверки!$F:$F, ROW())</f>
        <v/>
      </c>
      <c r="K523" s="3">
        <f>INDEX(Проверки!$D:$D, ROW())</f>
        <v/>
      </c>
      <c r="L523" s="3">
        <f>INDEX(Проверки!$G:$G, ROW())</f>
        <v/>
      </c>
    </row>
    <row r="524">
      <c r="A524" s="3" t="n"/>
      <c r="B524" s="4" t="n"/>
      <c r="C524" s="3" t="n"/>
      <c r="D524" s="4" t="n"/>
      <c r="E524" s="3" t="n"/>
      <c r="F524" s="3" t="n"/>
      <c r="G524" s="3" t="n"/>
      <c r="H524" s="4" t="n"/>
      <c r="I524" s="4" t="n"/>
      <c r="J524" s="3">
        <f>INDEX(Проверки!$F:$F, ROW())</f>
        <v/>
      </c>
      <c r="K524" s="3">
        <f>INDEX(Проверки!$D:$D, ROW())</f>
        <v/>
      </c>
      <c r="L524" s="3">
        <f>INDEX(Проверки!$G:$G, ROW())</f>
        <v/>
      </c>
    </row>
    <row r="525">
      <c r="A525" s="3" t="n"/>
      <c r="B525" s="4" t="n"/>
      <c r="C525" s="3" t="n"/>
      <c r="D525" s="4" t="n"/>
      <c r="E525" s="3" t="n"/>
      <c r="F525" s="3" t="n"/>
      <c r="G525" s="3" t="n"/>
      <c r="H525" s="4" t="n"/>
      <c r="I525" s="4" t="n"/>
      <c r="J525" s="3">
        <f>INDEX(Проверки!$F:$F, ROW())</f>
        <v/>
      </c>
      <c r="K525" s="3">
        <f>INDEX(Проверки!$D:$D, ROW())</f>
        <v/>
      </c>
      <c r="L525" s="3">
        <f>INDEX(Проверки!$G:$G, ROW())</f>
        <v/>
      </c>
    </row>
    <row r="526">
      <c r="A526" s="3" t="n"/>
      <c r="B526" s="4" t="n"/>
      <c r="C526" s="3" t="n"/>
      <c r="D526" s="4" t="n"/>
      <c r="E526" s="3" t="n"/>
      <c r="F526" s="3" t="n"/>
      <c r="G526" s="3" t="n"/>
      <c r="H526" s="4" t="n"/>
      <c r="I526" s="4" t="n"/>
      <c r="J526" s="3">
        <f>INDEX(Проверки!$F:$F, ROW())</f>
        <v/>
      </c>
      <c r="K526" s="3">
        <f>INDEX(Проверки!$D:$D, ROW())</f>
        <v/>
      </c>
      <c r="L526" s="3">
        <f>INDEX(Проверки!$G:$G, ROW())</f>
        <v/>
      </c>
    </row>
    <row r="527">
      <c r="A527" s="3" t="n"/>
      <c r="B527" s="4" t="n"/>
      <c r="C527" s="3" t="n"/>
      <c r="D527" s="4" t="n"/>
      <c r="E527" s="3" t="n"/>
      <c r="F527" s="3" t="n"/>
      <c r="G527" s="3" t="n"/>
      <c r="H527" s="4" t="n"/>
      <c r="I527" s="4" t="n"/>
      <c r="J527" s="3">
        <f>INDEX(Проверки!$F:$F, ROW())</f>
        <v/>
      </c>
      <c r="K527" s="3">
        <f>INDEX(Проверки!$D:$D, ROW())</f>
        <v/>
      </c>
      <c r="L527" s="3">
        <f>INDEX(Проверки!$G:$G, ROW())</f>
        <v/>
      </c>
    </row>
    <row r="528">
      <c r="A528" s="3" t="n"/>
      <c r="B528" s="4" t="n"/>
      <c r="C528" s="3" t="n"/>
      <c r="D528" s="4" t="n"/>
      <c r="E528" s="3" t="n"/>
      <c r="F528" s="3" t="n"/>
      <c r="G528" s="3" t="n"/>
      <c r="H528" s="4" t="n"/>
      <c r="I528" s="4" t="n"/>
      <c r="J528" s="3">
        <f>INDEX(Проверки!$F:$F, ROW())</f>
        <v/>
      </c>
      <c r="K528" s="3">
        <f>INDEX(Проверки!$D:$D, ROW())</f>
        <v/>
      </c>
      <c r="L528" s="3">
        <f>INDEX(Проверки!$G:$G, ROW())</f>
        <v/>
      </c>
    </row>
    <row r="529">
      <c r="A529" s="3" t="n"/>
      <c r="B529" s="4" t="n"/>
      <c r="C529" s="3" t="n"/>
      <c r="D529" s="4" t="n"/>
      <c r="E529" s="3" t="n"/>
      <c r="F529" s="3" t="n"/>
      <c r="G529" s="3" t="n"/>
      <c r="H529" s="4" t="n"/>
      <c r="I529" s="4" t="n"/>
      <c r="J529" s="3">
        <f>INDEX(Проверки!$F:$F, ROW())</f>
        <v/>
      </c>
      <c r="K529" s="3">
        <f>INDEX(Проверки!$D:$D, ROW())</f>
        <v/>
      </c>
      <c r="L529" s="3">
        <f>INDEX(Проверки!$G:$G, ROW())</f>
        <v/>
      </c>
    </row>
    <row r="530">
      <c r="A530" s="3" t="n"/>
      <c r="B530" s="4" t="n"/>
      <c r="C530" s="3" t="n"/>
      <c r="D530" s="4" t="n"/>
      <c r="E530" s="3" t="n"/>
      <c r="F530" s="3" t="n"/>
      <c r="G530" s="3" t="n"/>
      <c r="H530" s="4" t="n"/>
      <c r="I530" s="4" t="n"/>
      <c r="J530" s="3">
        <f>INDEX(Проверки!$F:$F, ROW())</f>
        <v/>
      </c>
      <c r="K530" s="3">
        <f>INDEX(Проверки!$D:$D, ROW())</f>
        <v/>
      </c>
      <c r="L530" s="3">
        <f>INDEX(Проверки!$G:$G, ROW())</f>
        <v/>
      </c>
    </row>
    <row r="531">
      <c r="A531" s="3" t="n"/>
      <c r="B531" s="4" t="n"/>
      <c r="C531" s="3" t="n"/>
      <c r="D531" s="4" t="n"/>
      <c r="E531" s="3" t="n"/>
      <c r="F531" s="3" t="n"/>
      <c r="G531" s="3" t="n"/>
      <c r="H531" s="4" t="n"/>
      <c r="I531" s="4" t="n"/>
      <c r="J531" s="3">
        <f>INDEX(Проверки!$F:$F, ROW())</f>
        <v/>
      </c>
      <c r="K531" s="3">
        <f>INDEX(Проверки!$D:$D, ROW())</f>
        <v/>
      </c>
      <c r="L531" s="3">
        <f>INDEX(Проверки!$G:$G, ROW())</f>
        <v/>
      </c>
    </row>
    <row r="532">
      <c r="A532" s="3" t="n"/>
      <c r="B532" s="4" t="n"/>
      <c r="C532" s="3" t="n"/>
      <c r="D532" s="4" t="n"/>
      <c r="E532" s="3" t="n"/>
      <c r="F532" s="3" t="n"/>
      <c r="G532" s="3" t="n"/>
      <c r="H532" s="4" t="n"/>
      <c r="I532" s="4" t="n"/>
      <c r="J532" s="3">
        <f>INDEX(Проверки!$F:$F, ROW())</f>
        <v/>
      </c>
      <c r="K532" s="3">
        <f>INDEX(Проверки!$D:$D, ROW())</f>
        <v/>
      </c>
      <c r="L532" s="3">
        <f>INDEX(Проверки!$G:$G, ROW())</f>
        <v/>
      </c>
    </row>
    <row r="533">
      <c r="A533" s="3" t="n"/>
      <c r="B533" s="4" t="n"/>
      <c r="C533" s="3" t="n"/>
      <c r="D533" s="4" t="n"/>
      <c r="E533" s="3" t="n"/>
      <c r="F533" s="3" t="n"/>
      <c r="G533" s="3" t="n"/>
      <c r="H533" s="4" t="n"/>
      <c r="I533" s="4" t="n"/>
      <c r="J533" s="3">
        <f>INDEX(Проверки!$F:$F, ROW())</f>
        <v/>
      </c>
      <c r="K533" s="3">
        <f>INDEX(Проверки!$D:$D, ROW())</f>
        <v/>
      </c>
      <c r="L533" s="3">
        <f>INDEX(Проверки!$G:$G, ROW())</f>
        <v/>
      </c>
    </row>
    <row r="534">
      <c r="A534" s="3" t="n"/>
      <c r="B534" s="4" t="n"/>
      <c r="C534" s="3" t="n"/>
      <c r="D534" s="4" t="n"/>
      <c r="E534" s="3" t="n"/>
      <c r="F534" s="3" t="n"/>
      <c r="G534" s="3" t="n"/>
      <c r="H534" s="4" t="n"/>
      <c r="I534" s="4" t="n"/>
      <c r="J534" s="3">
        <f>INDEX(Проверки!$F:$F, ROW())</f>
        <v/>
      </c>
      <c r="K534" s="3">
        <f>INDEX(Проверки!$D:$D, ROW())</f>
        <v/>
      </c>
      <c r="L534" s="3">
        <f>INDEX(Проверки!$G:$G, ROW())</f>
        <v/>
      </c>
    </row>
    <row r="535">
      <c r="A535" s="3" t="n"/>
      <c r="B535" s="4" t="n"/>
      <c r="C535" s="3" t="n"/>
      <c r="D535" s="4" t="n"/>
      <c r="E535" s="3" t="n"/>
      <c r="F535" s="3" t="n"/>
      <c r="G535" s="3" t="n"/>
      <c r="H535" s="4" t="n"/>
      <c r="I535" s="4" t="n"/>
      <c r="J535" s="3">
        <f>INDEX(Проверки!$F:$F, ROW())</f>
        <v/>
      </c>
      <c r="K535" s="3">
        <f>INDEX(Проверки!$D:$D, ROW())</f>
        <v/>
      </c>
      <c r="L535" s="3">
        <f>INDEX(Проверки!$G:$G, ROW())</f>
        <v/>
      </c>
    </row>
    <row r="536">
      <c r="A536" s="3" t="n"/>
      <c r="B536" s="4" t="n"/>
      <c r="C536" s="3" t="n"/>
      <c r="D536" s="4" t="n"/>
      <c r="E536" s="3" t="n"/>
      <c r="F536" s="3" t="n"/>
      <c r="G536" s="3" t="n"/>
      <c r="H536" s="4" t="n"/>
      <c r="I536" s="4" t="n"/>
      <c r="J536" s="3">
        <f>INDEX(Проверки!$F:$F, ROW())</f>
        <v/>
      </c>
      <c r="K536" s="3">
        <f>INDEX(Проверки!$D:$D, ROW())</f>
        <v/>
      </c>
      <c r="L536" s="3">
        <f>INDEX(Проверки!$G:$G, ROW())</f>
        <v/>
      </c>
    </row>
    <row r="537">
      <c r="A537" s="3" t="n"/>
      <c r="B537" s="4" t="n"/>
      <c r="C537" s="3" t="n"/>
      <c r="D537" s="4" t="n"/>
      <c r="E537" s="3" t="n"/>
      <c r="F537" s="3" t="n"/>
      <c r="G537" s="3" t="n"/>
      <c r="H537" s="4" t="n"/>
      <c r="I537" s="4" t="n"/>
      <c r="J537" s="3">
        <f>INDEX(Проверки!$F:$F, ROW())</f>
        <v/>
      </c>
      <c r="K537" s="3">
        <f>INDEX(Проверки!$D:$D, ROW())</f>
        <v/>
      </c>
      <c r="L537" s="3">
        <f>INDEX(Проверки!$G:$G, ROW())</f>
        <v/>
      </c>
    </row>
    <row r="538">
      <c r="A538" s="3" t="n"/>
      <c r="B538" s="4" t="n"/>
      <c r="C538" s="3" t="n"/>
      <c r="D538" s="4" t="n"/>
      <c r="E538" s="3" t="n"/>
      <c r="F538" s="3" t="n"/>
      <c r="G538" s="3" t="n"/>
      <c r="H538" s="4" t="n"/>
      <c r="I538" s="4" t="n"/>
      <c r="J538" s="3">
        <f>INDEX(Проверки!$F:$F, ROW())</f>
        <v/>
      </c>
      <c r="K538" s="3">
        <f>INDEX(Проверки!$D:$D, ROW())</f>
        <v/>
      </c>
      <c r="L538" s="3">
        <f>INDEX(Проверки!$G:$G, ROW())</f>
        <v/>
      </c>
    </row>
    <row r="539">
      <c r="A539" s="3" t="n"/>
      <c r="B539" s="4" t="n"/>
      <c r="C539" s="3" t="n"/>
      <c r="D539" s="4" t="n"/>
      <c r="E539" s="3" t="n"/>
      <c r="F539" s="3" t="n"/>
      <c r="G539" s="3" t="n"/>
      <c r="H539" s="4" t="n"/>
      <c r="I539" s="4" t="n"/>
      <c r="J539" s="3">
        <f>INDEX(Проверки!$F:$F, ROW())</f>
        <v/>
      </c>
      <c r="K539" s="3">
        <f>INDEX(Проверки!$D:$D, ROW())</f>
        <v/>
      </c>
      <c r="L539" s="3">
        <f>INDEX(Проверки!$G:$G, ROW())</f>
        <v/>
      </c>
    </row>
    <row r="540">
      <c r="A540" s="3" t="n"/>
      <c r="B540" s="4" t="n"/>
      <c r="C540" s="3" t="n"/>
      <c r="D540" s="4" t="n"/>
      <c r="E540" s="3" t="n"/>
      <c r="F540" s="3" t="n"/>
      <c r="G540" s="3" t="n"/>
      <c r="H540" s="4" t="n"/>
      <c r="I540" s="4" t="n"/>
      <c r="J540" s="3">
        <f>INDEX(Проверки!$F:$F, ROW())</f>
        <v/>
      </c>
      <c r="K540" s="3">
        <f>INDEX(Проверки!$D:$D, ROW())</f>
        <v/>
      </c>
      <c r="L540" s="3">
        <f>INDEX(Проверки!$G:$G, ROW())</f>
        <v/>
      </c>
    </row>
    <row r="541">
      <c r="A541" s="3" t="n"/>
      <c r="B541" s="4" t="n"/>
      <c r="C541" s="3" t="n"/>
      <c r="D541" s="4" t="n"/>
      <c r="E541" s="3" t="n"/>
      <c r="F541" s="3" t="n"/>
      <c r="G541" s="3" t="n"/>
      <c r="H541" s="4" t="n"/>
      <c r="I541" s="4" t="n"/>
      <c r="J541" s="3">
        <f>INDEX(Проверки!$F:$F, ROW())</f>
        <v/>
      </c>
      <c r="K541" s="3">
        <f>INDEX(Проверки!$D:$D, ROW())</f>
        <v/>
      </c>
      <c r="L541" s="3">
        <f>INDEX(Проверки!$G:$G, ROW())</f>
        <v/>
      </c>
    </row>
    <row r="542">
      <c r="A542" s="3" t="n"/>
      <c r="B542" s="4" t="n"/>
      <c r="C542" s="3" t="n"/>
      <c r="D542" s="4" t="n"/>
      <c r="E542" s="3" t="n"/>
      <c r="F542" s="3" t="n"/>
      <c r="G542" s="3" t="n"/>
      <c r="H542" s="4" t="n"/>
      <c r="I542" s="4" t="n"/>
      <c r="J542" s="3">
        <f>INDEX(Проверки!$F:$F, ROW())</f>
        <v/>
      </c>
      <c r="K542" s="3">
        <f>INDEX(Проверки!$D:$D, ROW())</f>
        <v/>
      </c>
      <c r="L542" s="3">
        <f>INDEX(Проверки!$G:$G, ROW())</f>
        <v/>
      </c>
    </row>
    <row r="543">
      <c r="A543" s="3" t="n"/>
      <c r="B543" s="4" t="n"/>
      <c r="C543" s="3" t="n"/>
      <c r="D543" s="4" t="n"/>
      <c r="E543" s="3" t="n"/>
      <c r="F543" s="3" t="n"/>
      <c r="G543" s="3" t="n"/>
      <c r="H543" s="4" t="n"/>
      <c r="I543" s="4" t="n"/>
      <c r="J543" s="3">
        <f>INDEX(Проверки!$F:$F, ROW())</f>
        <v/>
      </c>
      <c r="K543" s="3">
        <f>INDEX(Проверки!$D:$D, ROW())</f>
        <v/>
      </c>
      <c r="L543" s="3">
        <f>INDEX(Проверки!$G:$G, ROW())</f>
        <v/>
      </c>
    </row>
    <row r="544">
      <c r="A544" s="3" t="n"/>
      <c r="B544" s="4" t="n"/>
      <c r="C544" s="3" t="n"/>
      <c r="D544" s="4" t="n"/>
      <c r="E544" s="3" t="n"/>
      <c r="F544" s="3" t="n"/>
      <c r="G544" s="3" t="n"/>
      <c r="H544" s="4" t="n"/>
      <c r="I544" s="4" t="n"/>
      <c r="J544" s="3">
        <f>INDEX(Проверки!$F:$F, ROW())</f>
        <v/>
      </c>
      <c r="K544" s="3">
        <f>INDEX(Проверки!$D:$D, ROW())</f>
        <v/>
      </c>
      <c r="L544" s="3">
        <f>INDEX(Проверки!$G:$G, ROW())</f>
        <v/>
      </c>
    </row>
    <row r="545">
      <c r="A545" s="3" t="n"/>
      <c r="B545" s="4" t="n"/>
      <c r="C545" s="3" t="n"/>
      <c r="D545" s="4" t="n"/>
      <c r="E545" s="3" t="n"/>
      <c r="F545" s="3" t="n"/>
      <c r="G545" s="3" t="n"/>
      <c r="H545" s="4" t="n"/>
      <c r="I545" s="4" t="n"/>
      <c r="J545" s="3">
        <f>INDEX(Проверки!$F:$F, ROW())</f>
        <v/>
      </c>
      <c r="K545" s="3">
        <f>INDEX(Проверки!$D:$D, ROW())</f>
        <v/>
      </c>
      <c r="L545" s="3">
        <f>INDEX(Проверки!$G:$G, ROW())</f>
        <v/>
      </c>
    </row>
    <row r="546">
      <c r="A546" s="3" t="n"/>
      <c r="B546" s="4" t="n"/>
      <c r="C546" s="3" t="n"/>
      <c r="D546" s="4" t="n"/>
      <c r="E546" s="3" t="n"/>
      <c r="F546" s="3" t="n"/>
      <c r="G546" s="3" t="n"/>
      <c r="H546" s="4" t="n"/>
      <c r="I546" s="4" t="n"/>
      <c r="J546" s="3">
        <f>INDEX(Проверки!$F:$F, ROW())</f>
        <v/>
      </c>
      <c r="K546" s="3">
        <f>INDEX(Проверки!$D:$D, ROW())</f>
        <v/>
      </c>
      <c r="L546" s="3">
        <f>INDEX(Проверки!$G:$G, ROW())</f>
        <v/>
      </c>
    </row>
    <row r="547">
      <c r="A547" s="3" t="n"/>
      <c r="B547" s="4" t="n"/>
      <c r="C547" s="3" t="n"/>
      <c r="D547" s="4" t="n"/>
      <c r="E547" s="3" t="n"/>
      <c r="F547" s="3" t="n"/>
      <c r="G547" s="3" t="n"/>
      <c r="H547" s="4" t="n"/>
      <c r="I547" s="4" t="n"/>
      <c r="J547" s="3">
        <f>INDEX(Проверки!$F:$F, ROW())</f>
        <v/>
      </c>
      <c r="K547" s="3">
        <f>INDEX(Проверки!$D:$D, ROW())</f>
        <v/>
      </c>
      <c r="L547" s="3">
        <f>INDEX(Проверки!$G:$G, ROW())</f>
        <v/>
      </c>
    </row>
    <row r="548">
      <c r="A548" s="3" t="n"/>
      <c r="B548" s="4" t="n"/>
      <c r="C548" s="3" t="n"/>
      <c r="D548" s="4" t="n"/>
      <c r="E548" s="3" t="n"/>
      <c r="F548" s="3" t="n"/>
      <c r="G548" s="3" t="n"/>
      <c r="H548" s="4" t="n"/>
      <c r="I548" s="4" t="n"/>
      <c r="J548" s="3">
        <f>INDEX(Проверки!$F:$F, ROW())</f>
        <v/>
      </c>
      <c r="K548" s="3">
        <f>INDEX(Проверки!$D:$D, ROW())</f>
        <v/>
      </c>
      <c r="L548" s="3">
        <f>INDEX(Проверки!$G:$G, ROW())</f>
        <v/>
      </c>
    </row>
    <row r="549">
      <c r="A549" s="3" t="n"/>
      <c r="B549" s="4" t="n"/>
      <c r="C549" s="3" t="n"/>
      <c r="D549" s="4" t="n"/>
      <c r="E549" s="3" t="n"/>
      <c r="F549" s="3" t="n"/>
      <c r="G549" s="3" t="n"/>
      <c r="H549" s="4" t="n"/>
      <c r="I549" s="4" t="n"/>
      <c r="J549" s="3">
        <f>INDEX(Проверки!$F:$F, ROW())</f>
        <v/>
      </c>
      <c r="K549" s="3">
        <f>INDEX(Проверки!$D:$D, ROW())</f>
        <v/>
      </c>
      <c r="L549" s="3">
        <f>INDEX(Проверки!$G:$G, ROW())</f>
        <v/>
      </c>
    </row>
    <row r="550">
      <c r="A550" s="3" t="n"/>
      <c r="B550" s="4" t="n"/>
      <c r="C550" s="3" t="n"/>
      <c r="D550" s="4" t="n"/>
      <c r="E550" s="3" t="n"/>
      <c r="F550" s="3" t="n"/>
      <c r="G550" s="3" t="n"/>
      <c r="H550" s="4" t="n"/>
      <c r="I550" s="4" t="n"/>
      <c r="J550" s="3">
        <f>INDEX(Проверки!$F:$F, ROW())</f>
        <v/>
      </c>
      <c r="K550" s="3">
        <f>INDEX(Проверки!$D:$D, ROW())</f>
        <v/>
      </c>
      <c r="L550" s="3">
        <f>INDEX(Проверки!$G:$G, ROW())</f>
        <v/>
      </c>
    </row>
    <row r="551">
      <c r="A551" s="3" t="n"/>
      <c r="B551" s="4" t="n"/>
      <c r="C551" s="3" t="n"/>
      <c r="D551" s="4" t="n"/>
      <c r="E551" s="3" t="n"/>
      <c r="F551" s="3" t="n"/>
      <c r="G551" s="3" t="n"/>
      <c r="H551" s="4" t="n"/>
      <c r="I551" s="4" t="n"/>
      <c r="J551" s="3">
        <f>INDEX(Проверки!$F:$F, ROW())</f>
        <v/>
      </c>
      <c r="K551" s="3">
        <f>INDEX(Проверки!$D:$D, ROW())</f>
        <v/>
      </c>
      <c r="L551" s="3">
        <f>INDEX(Проверки!$G:$G, ROW())</f>
        <v/>
      </c>
    </row>
    <row r="552">
      <c r="A552" s="3" t="n"/>
      <c r="B552" s="4" t="n"/>
      <c r="C552" s="3" t="n"/>
      <c r="D552" s="4" t="n"/>
      <c r="E552" s="3" t="n"/>
      <c r="F552" s="3" t="n"/>
      <c r="G552" s="3" t="n"/>
      <c r="H552" s="4" t="n"/>
      <c r="I552" s="4" t="n"/>
      <c r="J552" s="3">
        <f>INDEX(Проверки!$F:$F, ROW())</f>
        <v/>
      </c>
      <c r="K552" s="3">
        <f>INDEX(Проверки!$D:$D, ROW())</f>
        <v/>
      </c>
      <c r="L552" s="3">
        <f>INDEX(Проверки!$G:$G, ROW())</f>
        <v/>
      </c>
    </row>
    <row r="553">
      <c r="A553" s="3" t="n"/>
      <c r="B553" s="4" t="n"/>
      <c r="C553" s="3" t="n"/>
      <c r="D553" s="4" t="n"/>
      <c r="E553" s="3" t="n"/>
      <c r="F553" s="3" t="n"/>
      <c r="G553" s="3" t="n"/>
      <c r="H553" s="4" t="n"/>
      <c r="I553" s="4" t="n"/>
      <c r="J553" s="3">
        <f>INDEX(Проверки!$F:$F, ROW())</f>
        <v/>
      </c>
      <c r="K553" s="3">
        <f>INDEX(Проверки!$D:$D, ROW())</f>
        <v/>
      </c>
      <c r="L553" s="3">
        <f>INDEX(Проверки!$G:$G, ROW())</f>
        <v/>
      </c>
    </row>
    <row r="554">
      <c r="A554" s="3" t="n"/>
      <c r="B554" s="4" t="n"/>
      <c r="C554" s="3" t="n"/>
      <c r="D554" s="4" t="n"/>
      <c r="E554" s="3" t="n"/>
      <c r="F554" s="3" t="n"/>
      <c r="G554" s="3" t="n"/>
      <c r="H554" s="4" t="n"/>
      <c r="I554" s="4" t="n"/>
      <c r="J554" s="3">
        <f>INDEX(Проверки!$F:$F, ROW())</f>
        <v/>
      </c>
      <c r="K554" s="3">
        <f>INDEX(Проверки!$D:$D, ROW())</f>
        <v/>
      </c>
      <c r="L554" s="3">
        <f>INDEX(Проверки!$G:$G, ROW())</f>
        <v/>
      </c>
    </row>
    <row r="555">
      <c r="A555" s="3" t="n"/>
      <c r="B555" s="4" t="n"/>
      <c r="C555" s="3" t="n"/>
      <c r="D555" s="4" t="n"/>
      <c r="E555" s="3" t="n"/>
      <c r="F555" s="3" t="n"/>
      <c r="G555" s="3" t="n"/>
      <c r="H555" s="4" t="n"/>
      <c r="I555" s="4" t="n"/>
      <c r="J555" s="3">
        <f>INDEX(Проверки!$F:$F, ROW())</f>
        <v/>
      </c>
      <c r="K555" s="3">
        <f>INDEX(Проверки!$D:$D, ROW())</f>
        <v/>
      </c>
      <c r="L555" s="3">
        <f>INDEX(Проверки!$G:$G, ROW())</f>
        <v/>
      </c>
    </row>
    <row r="556">
      <c r="A556" s="3" t="n"/>
      <c r="B556" s="4" t="n"/>
      <c r="C556" s="3" t="n"/>
      <c r="D556" s="4" t="n"/>
      <c r="E556" s="3" t="n"/>
      <c r="F556" s="3" t="n"/>
      <c r="G556" s="3" t="n"/>
      <c r="H556" s="4" t="n"/>
      <c r="I556" s="4" t="n"/>
      <c r="J556" s="3">
        <f>INDEX(Проверки!$F:$F, ROW())</f>
        <v/>
      </c>
      <c r="K556" s="3">
        <f>INDEX(Проверки!$D:$D, ROW())</f>
        <v/>
      </c>
      <c r="L556" s="3">
        <f>INDEX(Проверки!$G:$G, ROW())</f>
        <v/>
      </c>
    </row>
    <row r="557">
      <c r="A557" s="3" t="n"/>
      <c r="B557" s="4" t="n"/>
      <c r="C557" s="3" t="n"/>
      <c r="D557" s="4" t="n"/>
      <c r="E557" s="3" t="n"/>
      <c r="F557" s="3" t="n"/>
      <c r="G557" s="3" t="n"/>
      <c r="H557" s="4" t="n"/>
      <c r="I557" s="4" t="n"/>
      <c r="J557" s="3">
        <f>INDEX(Проверки!$F:$F, ROW())</f>
        <v/>
      </c>
      <c r="K557" s="3">
        <f>INDEX(Проверки!$D:$D, ROW())</f>
        <v/>
      </c>
      <c r="L557" s="3">
        <f>INDEX(Проверки!$G:$G, ROW())</f>
        <v/>
      </c>
    </row>
    <row r="558">
      <c r="A558" s="3" t="n"/>
      <c r="B558" s="4" t="n"/>
      <c r="C558" s="3" t="n"/>
      <c r="D558" s="4" t="n"/>
      <c r="E558" s="3" t="n"/>
      <c r="F558" s="3" t="n"/>
      <c r="G558" s="3" t="n"/>
      <c r="H558" s="4" t="n"/>
      <c r="I558" s="4" t="n"/>
      <c r="J558" s="3">
        <f>INDEX(Проверки!$F:$F, ROW())</f>
        <v/>
      </c>
      <c r="K558" s="3">
        <f>INDEX(Проверки!$D:$D, ROW())</f>
        <v/>
      </c>
      <c r="L558" s="3">
        <f>INDEX(Проверки!$G:$G, ROW())</f>
        <v/>
      </c>
    </row>
    <row r="559">
      <c r="A559" s="3" t="n"/>
      <c r="B559" s="4" t="n"/>
      <c r="C559" s="3" t="n"/>
      <c r="D559" s="4" t="n"/>
      <c r="E559" s="3" t="n"/>
      <c r="F559" s="3" t="n"/>
      <c r="G559" s="3" t="n"/>
      <c r="H559" s="4" t="n"/>
      <c r="I559" s="4" t="n"/>
      <c r="J559" s="3">
        <f>INDEX(Проверки!$F:$F, ROW())</f>
        <v/>
      </c>
      <c r="K559" s="3">
        <f>INDEX(Проверки!$D:$D, ROW())</f>
        <v/>
      </c>
      <c r="L559" s="3">
        <f>INDEX(Проверки!$G:$G, ROW())</f>
        <v/>
      </c>
    </row>
    <row r="560">
      <c r="A560" s="3" t="n"/>
      <c r="B560" s="4" t="n"/>
      <c r="C560" s="3" t="n"/>
      <c r="D560" s="4" t="n"/>
      <c r="E560" s="3" t="n"/>
      <c r="F560" s="3" t="n"/>
      <c r="G560" s="3" t="n"/>
      <c r="H560" s="4" t="n"/>
      <c r="I560" s="4" t="n"/>
      <c r="J560" s="3">
        <f>INDEX(Проверки!$F:$F, ROW())</f>
        <v/>
      </c>
      <c r="K560" s="3">
        <f>INDEX(Проверки!$D:$D, ROW())</f>
        <v/>
      </c>
      <c r="L560" s="3">
        <f>INDEX(Проверки!$G:$G, ROW())</f>
        <v/>
      </c>
    </row>
    <row r="561">
      <c r="A561" s="3" t="n"/>
      <c r="B561" s="4" t="n"/>
      <c r="C561" s="3" t="n"/>
      <c r="D561" s="4" t="n"/>
      <c r="E561" s="3" t="n"/>
      <c r="F561" s="3" t="n"/>
      <c r="G561" s="3" t="n"/>
      <c r="H561" s="4" t="n"/>
      <c r="I561" s="4" t="n"/>
      <c r="J561" s="3">
        <f>INDEX(Проверки!$F:$F, ROW())</f>
        <v/>
      </c>
      <c r="K561" s="3">
        <f>INDEX(Проверки!$D:$D, ROW())</f>
        <v/>
      </c>
      <c r="L561" s="3">
        <f>INDEX(Проверки!$G:$G, ROW())</f>
        <v/>
      </c>
    </row>
    <row r="562">
      <c r="A562" s="3" t="n"/>
      <c r="B562" s="4" t="n"/>
      <c r="C562" s="3" t="n"/>
      <c r="D562" s="4" t="n"/>
      <c r="E562" s="3" t="n"/>
      <c r="F562" s="3" t="n"/>
      <c r="G562" s="3" t="n"/>
      <c r="H562" s="4" t="n"/>
      <c r="I562" s="4" t="n"/>
      <c r="J562" s="3">
        <f>INDEX(Проверки!$F:$F, ROW())</f>
        <v/>
      </c>
      <c r="K562" s="3">
        <f>INDEX(Проверки!$D:$D, ROW())</f>
        <v/>
      </c>
      <c r="L562" s="3">
        <f>INDEX(Проверки!$G:$G, ROW())</f>
        <v/>
      </c>
    </row>
    <row r="563">
      <c r="A563" s="3" t="n"/>
      <c r="B563" s="4" t="n"/>
      <c r="C563" s="3" t="n"/>
      <c r="D563" s="4" t="n"/>
      <c r="E563" s="3" t="n"/>
      <c r="F563" s="3" t="n"/>
      <c r="G563" s="3" t="n"/>
      <c r="H563" s="4" t="n"/>
      <c r="I563" s="4" t="n"/>
      <c r="J563" s="3">
        <f>INDEX(Проверки!$F:$F, ROW())</f>
        <v/>
      </c>
      <c r="K563" s="3">
        <f>INDEX(Проверки!$D:$D, ROW())</f>
        <v/>
      </c>
      <c r="L563" s="3">
        <f>INDEX(Проверки!$G:$G, ROW())</f>
        <v/>
      </c>
    </row>
    <row r="564">
      <c r="A564" s="3" t="n"/>
      <c r="B564" s="4" t="n"/>
      <c r="C564" s="3" t="n"/>
      <c r="D564" s="4" t="n"/>
      <c r="E564" s="3" t="n"/>
      <c r="F564" s="3" t="n"/>
      <c r="G564" s="3" t="n"/>
      <c r="H564" s="4" t="n"/>
      <c r="I564" s="4" t="n"/>
      <c r="J564" s="3">
        <f>INDEX(Проверки!$F:$F, ROW())</f>
        <v/>
      </c>
      <c r="K564" s="3">
        <f>INDEX(Проверки!$D:$D, ROW())</f>
        <v/>
      </c>
      <c r="L564" s="3">
        <f>INDEX(Проверки!$G:$G, ROW())</f>
        <v/>
      </c>
    </row>
    <row r="565">
      <c r="A565" s="3" t="n"/>
      <c r="B565" s="4" t="n"/>
      <c r="C565" s="3" t="n"/>
      <c r="D565" s="4" t="n"/>
      <c r="E565" s="3" t="n"/>
      <c r="F565" s="3" t="n"/>
      <c r="G565" s="3" t="n"/>
      <c r="H565" s="4" t="n"/>
      <c r="I565" s="4" t="n"/>
      <c r="J565" s="3">
        <f>INDEX(Проверки!$F:$F, ROW())</f>
        <v/>
      </c>
      <c r="K565" s="3">
        <f>INDEX(Проверки!$D:$D, ROW())</f>
        <v/>
      </c>
      <c r="L565" s="3">
        <f>INDEX(Проверки!$G:$G, ROW())</f>
        <v/>
      </c>
    </row>
    <row r="566">
      <c r="A566" s="3" t="n"/>
      <c r="B566" s="4" t="n"/>
      <c r="C566" s="3" t="n"/>
      <c r="D566" s="4" t="n"/>
      <c r="E566" s="3" t="n"/>
      <c r="F566" s="3" t="n"/>
      <c r="G566" s="3" t="n"/>
      <c r="H566" s="4" t="n"/>
      <c r="I566" s="4" t="n"/>
      <c r="J566" s="3">
        <f>INDEX(Проверки!$F:$F, ROW())</f>
        <v/>
      </c>
      <c r="K566" s="3">
        <f>INDEX(Проверки!$D:$D, ROW())</f>
        <v/>
      </c>
      <c r="L566" s="3">
        <f>INDEX(Проверки!$G:$G, ROW())</f>
        <v/>
      </c>
    </row>
    <row r="567">
      <c r="A567" s="3" t="n"/>
      <c r="B567" s="4" t="n"/>
      <c r="C567" s="3" t="n"/>
      <c r="D567" s="4" t="n"/>
      <c r="E567" s="3" t="n"/>
      <c r="F567" s="3" t="n"/>
      <c r="G567" s="3" t="n"/>
      <c r="H567" s="4" t="n"/>
      <c r="I567" s="4" t="n"/>
      <c r="J567" s="3">
        <f>INDEX(Проверки!$F:$F, ROW())</f>
        <v/>
      </c>
      <c r="K567" s="3">
        <f>INDEX(Проверки!$D:$D, ROW())</f>
        <v/>
      </c>
      <c r="L567" s="3">
        <f>INDEX(Проверки!$G:$G, ROW())</f>
        <v/>
      </c>
    </row>
    <row r="568">
      <c r="A568" s="3" t="n"/>
      <c r="B568" s="4" t="n"/>
      <c r="C568" s="3" t="n"/>
      <c r="D568" s="4" t="n"/>
      <c r="E568" s="3" t="n"/>
      <c r="F568" s="3" t="n"/>
      <c r="G568" s="3" t="n"/>
      <c r="H568" s="4" t="n"/>
      <c r="I568" s="4" t="n"/>
      <c r="J568" s="3">
        <f>INDEX(Проверки!$F:$F, ROW())</f>
        <v/>
      </c>
      <c r="K568" s="3">
        <f>INDEX(Проверки!$D:$D, ROW())</f>
        <v/>
      </c>
      <c r="L568" s="3">
        <f>INDEX(Проверки!$G:$G, ROW())</f>
        <v/>
      </c>
    </row>
    <row r="569">
      <c r="A569" s="3" t="n"/>
      <c r="B569" s="4" t="n"/>
      <c r="C569" s="3" t="n"/>
      <c r="D569" s="4" t="n"/>
      <c r="E569" s="3" t="n"/>
      <c r="F569" s="3" t="n"/>
      <c r="G569" s="3" t="n"/>
      <c r="H569" s="4" t="n"/>
      <c r="I569" s="4" t="n"/>
      <c r="J569" s="3">
        <f>INDEX(Проверки!$F:$F, ROW())</f>
        <v/>
      </c>
      <c r="K569" s="3">
        <f>INDEX(Проверки!$D:$D, ROW())</f>
        <v/>
      </c>
      <c r="L569" s="3">
        <f>INDEX(Проверки!$G:$G, ROW())</f>
        <v/>
      </c>
    </row>
    <row r="570">
      <c r="A570" s="3" t="n"/>
      <c r="B570" s="4" t="n"/>
      <c r="C570" s="3" t="n"/>
      <c r="D570" s="4" t="n"/>
      <c r="E570" s="3" t="n"/>
      <c r="F570" s="3" t="n"/>
      <c r="G570" s="3" t="n"/>
      <c r="H570" s="4" t="n"/>
      <c r="I570" s="4" t="n"/>
      <c r="J570" s="3">
        <f>INDEX(Проверки!$F:$F, ROW())</f>
        <v/>
      </c>
      <c r="K570" s="3">
        <f>INDEX(Проверки!$D:$D, ROW())</f>
        <v/>
      </c>
      <c r="L570" s="3">
        <f>INDEX(Проверки!$G:$G, ROW())</f>
        <v/>
      </c>
    </row>
    <row r="571">
      <c r="A571" s="3" t="n"/>
      <c r="B571" s="4" t="n"/>
      <c r="C571" s="3" t="n"/>
      <c r="D571" s="4" t="n"/>
      <c r="E571" s="3" t="n"/>
      <c r="F571" s="3" t="n"/>
      <c r="G571" s="3" t="n"/>
      <c r="H571" s="4" t="n"/>
      <c r="I571" s="4" t="n"/>
      <c r="J571" s="3">
        <f>INDEX(Проверки!$F:$F, ROW())</f>
        <v/>
      </c>
      <c r="K571" s="3">
        <f>INDEX(Проверки!$D:$D, ROW())</f>
        <v/>
      </c>
      <c r="L571" s="3">
        <f>INDEX(Проверки!$G:$G, ROW())</f>
        <v/>
      </c>
    </row>
    <row r="572">
      <c r="A572" s="3" t="n"/>
      <c r="B572" s="4" t="n"/>
      <c r="C572" s="3" t="n"/>
      <c r="D572" s="4" t="n"/>
      <c r="E572" s="3" t="n"/>
      <c r="F572" s="3" t="n"/>
      <c r="G572" s="3" t="n"/>
      <c r="H572" s="4" t="n"/>
      <c r="I572" s="4" t="n"/>
      <c r="J572" s="3">
        <f>INDEX(Проверки!$F:$F, ROW())</f>
        <v/>
      </c>
      <c r="K572" s="3">
        <f>INDEX(Проверки!$D:$D, ROW())</f>
        <v/>
      </c>
      <c r="L572" s="3">
        <f>INDEX(Проверки!$G:$G, ROW())</f>
        <v/>
      </c>
    </row>
    <row r="573">
      <c r="A573" s="3" t="n"/>
      <c r="B573" s="4" t="n"/>
      <c r="C573" s="3" t="n"/>
      <c r="D573" s="4" t="n"/>
      <c r="E573" s="3" t="n"/>
      <c r="F573" s="3" t="n"/>
      <c r="G573" s="3" t="n"/>
      <c r="H573" s="4" t="n"/>
      <c r="I573" s="4" t="n"/>
      <c r="J573" s="3">
        <f>INDEX(Проверки!$F:$F, ROW())</f>
        <v/>
      </c>
      <c r="K573" s="3">
        <f>INDEX(Проверки!$D:$D, ROW())</f>
        <v/>
      </c>
      <c r="L573" s="3">
        <f>INDEX(Проверки!$G:$G, ROW())</f>
        <v/>
      </c>
    </row>
    <row r="574">
      <c r="A574" s="3" t="n"/>
      <c r="B574" s="4" t="n"/>
      <c r="C574" s="3" t="n"/>
      <c r="D574" s="4" t="n"/>
      <c r="E574" s="3" t="n"/>
      <c r="F574" s="3" t="n"/>
      <c r="G574" s="3" t="n"/>
      <c r="H574" s="4" t="n"/>
      <c r="I574" s="4" t="n"/>
      <c r="J574" s="3">
        <f>INDEX(Проверки!$F:$F, ROW())</f>
        <v/>
      </c>
      <c r="K574" s="3">
        <f>INDEX(Проверки!$D:$D, ROW())</f>
        <v/>
      </c>
      <c r="L574" s="3">
        <f>INDEX(Проверки!$G:$G, ROW())</f>
        <v/>
      </c>
    </row>
    <row r="575">
      <c r="A575" s="3" t="n"/>
      <c r="B575" s="4" t="n"/>
      <c r="C575" s="3" t="n"/>
      <c r="D575" s="4" t="n"/>
      <c r="E575" s="3" t="n"/>
      <c r="F575" s="3" t="n"/>
      <c r="G575" s="3" t="n"/>
      <c r="H575" s="4" t="n"/>
      <c r="I575" s="4" t="n"/>
      <c r="J575" s="3">
        <f>INDEX(Проверки!$F:$F, ROW())</f>
        <v/>
      </c>
      <c r="K575" s="3">
        <f>INDEX(Проверки!$D:$D, ROW())</f>
        <v/>
      </c>
      <c r="L575" s="3">
        <f>INDEX(Проверки!$G:$G, ROW())</f>
        <v/>
      </c>
    </row>
    <row r="576">
      <c r="A576" s="3" t="n"/>
      <c r="B576" s="4" t="n"/>
      <c r="C576" s="3" t="n"/>
      <c r="D576" s="4" t="n"/>
      <c r="E576" s="3" t="n"/>
      <c r="F576" s="3" t="n"/>
      <c r="G576" s="3" t="n"/>
      <c r="H576" s="4" t="n"/>
      <c r="I576" s="4" t="n"/>
      <c r="J576" s="3">
        <f>INDEX(Проверки!$F:$F, ROW())</f>
        <v/>
      </c>
      <c r="K576" s="3">
        <f>INDEX(Проверки!$D:$D, ROW())</f>
        <v/>
      </c>
      <c r="L576" s="3">
        <f>INDEX(Проверки!$G:$G, ROW())</f>
        <v/>
      </c>
    </row>
    <row r="577">
      <c r="A577" s="3" t="n"/>
      <c r="B577" s="4" t="n"/>
      <c r="C577" s="3" t="n"/>
      <c r="D577" s="4" t="n"/>
      <c r="E577" s="3" t="n"/>
      <c r="F577" s="3" t="n"/>
      <c r="G577" s="3" t="n"/>
      <c r="H577" s="4" t="n"/>
      <c r="I577" s="4" t="n"/>
      <c r="J577" s="3">
        <f>INDEX(Проверки!$F:$F, ROW())</f>
        <v/>
      </c>
      <c r="K577" s="3">
        <f>INDEX(Проверки!$D:$D, ROW())</f>
        <v/>
      </c>
      <c r="L577" s="3">
        <f>INDEX(Проверки!$G:$G, ROW())</f>
        <v/>
      </c>
    </row>
    <row r="578">
      <c r="A578" s="3" t="n"/>
      <c r="B578" s="4" t="n"/>
      <c r="C578" s="3" t="n"/>
      <c r="D578" s="4" t="n"/>
      <c r="E578" s="3" t="n"/>
      <c r="F578" s="3" t="n"/>
      <c r="G578" s="3" t="n"/>
      <c r="H578" s="4" t="n"/>
      <c r="I578" s="4" t="n"/>
      <c r="J578" s="3">
        <f>INDEX(Проверки!$F:$F, ROW())</f>
        <v/>
      </c>
      <c r="K578" s="3">
        <f>INDEX(Проверки!$D:$D, ROW())</f>
        <v/>
      </c>
      <c r="L578" s="3">
        <f>INDEX(Проверки!$G:$G, ROW())</f>
        <v/>
      </c>
    </row>
    <row r="579">
      <c r="A579" s="3" t="n"/>
      <c r="B579" s="4" t="n"/>
      <c r="C579" s="3" t="n"/>
      <c r="D579" s="4" t="n"/>
      <c r="E579" s="3" t="n"/>
      <c r="F579" s="3" t="n"/>
      <c r="G579" s="3" t="n"/>
      <c r="H579" s="4" t="n"/>
      <c r="I579" s="4" t="n"/>
      <c r="J579" s="3">
        <f>INDEX(Проверки!$F:$F, ROW())</f>
        <v/>
      </c>
      <c r="K579" s="3">
        <f>INDEX(Проверки!$D:$D, ROW())</f>
        <v/>
      </c>
      <c r="L579" s="3">
        <f>INDEX(Проверки!$G:$G, ROW())</f>
        <v/>
      </c>
    </row>
    <row r="580">
      <c r="A580" s="3" t="n"/>
      <c r="B580" s="4" t="n"/>
      <c r="C580" s="3" t="n"/>
      <c r="D580" s="4" t="n"/>
      <c r="E580" s="3" t="n"/>
      <c r="F580" s="3" t="n"/>
      <c r="G580" s="3" t="n"/>
      <c r="H580" s="4" t="n"/>
      <c r="I580" s="4" t="n"/>
      <c r="J580" s="3">
        <f>INDEX(Проверки!$F:$F, ROW())</f>
        <v/>
      </c>
      <c r="K580" s="3">
        <f>INDEX(Проверки!$D:$D, ROW())</f>
        <v/>
      </c>
      <c r="L580" s="3">
        <f>INDEX(Проверки!$G:$G, ROW())</f>
        <v/>
      </c>
    </row>
    <row r="581">
      <c r="A581" s="3" t="n"/>
      <c r="B581" s="4" t="n"/>
      <c r="C581" s="3" t="n"/>
      <c r="D581" s="4" t="n"/>
      <c r="E581" s="3" t="n"/>
      <c r="F581" s="3" t="n"/>
      <c r="G581" s="3" t="n"/>
      <c r="H581" s="4" t="n"/>
      <c r="I581" s="4" t="n"/>
      <c r="J581" s="3">
        <f>INDEX(Проверки!$F:$F, ROW())</f>
        <v/>
      </c>
      <c r="K581" s="3">
        <f>INDEX(Проверки!$D:$D, ROW())</f>
        <v/>
      </c>
      <c r="L581" s="3">
        <f>INDEX(Проверки!$G:$G, ROW())</f>
        <v/>
      </c>
    </row>
    <row r="582">
      <c r="A582" s="3" t="n"/>
      <c r="B582" s="4" t="n"/>
      <c r="C582" s="3" t="n"/>
      <c r="D582" s="4" t="n"/>
      <c r="E582" s="3" t="n"/>
      <c r="F582" s="3" t="n"/>
      <c r="G582" s="3" t="n"/>
      <c r="H582" s="4" t="n"/>
      <c r="I582" s="4" t="n"/>
      <c r="J582" s="3">
        <f>INDEX(Проверки!$F:$F, ROW())</f>
        <v/>
      </c>
      <c r="K582" s="3">
        <f>INDEX(Проверки!$D:$D, ROW())</f>
        <v/>
      </c>
      <c r="L582" s="3">
        <f>INDEX(Проверки!$G:$G, ROW())</f>
        <v/>
      </c>
    </row>
    <row r="583">
      <c r="A583" s="3" t="n"/>
      <c r="B583" s="4" t="n"/>
      <c r="C583" s="3" t="n"/>
      <c r="D583" s="4" t="n"/>
      <c r="E583" s="3" t="n"/>
      <c r="F583" s="3" t="n"/>
      <c r="G583" s="3" t="n"/>
      <c r="H583" s="4" t="n"/>
      <c r="I583" s="4" t="n"/>
      <c r="J583" s="3">
        <f>INDEX(Проверки!$F:$F, ROW())</f>
        <v/>
      </c>
      <c r="K583" s="3">
        <f>INDEX(Проверки!$D:$D, ROW())</f>
        <v/>
      </c>
      <c r="L583" s="3">
        <f>INDEX(Проверки!$G:$G, ROW())</f>
        <v/>
      </c>
    </row>
    <row r="584">
      <c r="A584" s="3" t="n"/>
      <c r="B584" s="4" t="n"/>
      <c r="C584" s="3" t="n"/>
      <c r="D584" s="4" t="n"/>
      <c r="E584" s="3" t="n"/>
      <c r="F584" s="3" t="n"/>
      <c r="G584" s="3" t="n"/>
      <c r="H584" s="4" t="n"/>
      <c r="I584" s="4" t="n"/>
      <c r="J584" s="3">
        <f>INDEX(Проверки!$F:$F, ROW())</f>
        <v/>
      </c>
      <c r="K584" s="3">
        <f>INDEX(Проверки!$D:$D, ROW())</f>
        <v/>
      </c>
      <c r="L584" s="3">
        <f>INDEX(Проверки!$G:$G, ROW())</f>
        <v/>
      </c>
    </row>
    <row r="585">
      <c r="A585" s="3" t="n"/>
      <c r="B585" s="4" t="n"/>
      <c r="C585" s="3" t="n"/>
      <c r="D585" s="4" t="n"/>
      <c r="E585" s="3" t="n"/>
      <c r="F585" s="3" t="n"/>
      <c r="G585" s="3" t="n"/>
      <c r="H585" s="4" t="n"/>
      <c r="I585" s="4" t="n"/>
      <c r="J585" s="3">
        <f>INDEX(Проверки!$F:$F, ROW())</f>
        <v/>
      </c>
      <c r="K585" s="3">
        <f>INDEX(Проверки!$D:$D, ROW())</f>
        <v/>
      </c>
      <c r="L585" s="3">
        <f>INDEX(Проверки!$G:$G, ROW())</f>
        <v/>
      </c>
    </row>
    <row r="586">
      <c r="A586" s="3" t="n"/>
      <c r="B586" s="4" t="n"/>
      <c r="C586" s="3" t="n"/>
      <c r="D586" s="4" t="n"/>
      <c r="E586" s="3" t="n"/>
      <c r="F586" s="3" t="n"/>
      <c r="G586" s="3" t="n"/>
      <c r="H586" s="4" t="n"/>
      <c r="I586" s="4" t="n"/>
      <c r="J586" s="3">
        <f>INDEX(Проверки!$F:$F, ROW())</f>
        <v/>
      </c>
      <c r="K586" s="3">
        <f>INDEX(Проверки!$D:$D, ROW())</f>
        <v/>
      </c>
      <c r="L586" s="3">
        <f>INDEX(Проверки!$G:$G, ROW())</f>
        <v/>
      </c>
    </row>
    <row r="587">
      <c r="A587" s="3" t="n"/>
      <c r="B587" s="4" t="n"/>
      <c r="C587" s="3" t="n"/>
      <c r="D587" s="4" t="n"/>
      <c r="E587" s="3" t="n"/>
      <c r="F587" s="3" t="n"/>
      <c r="G587" s="3" t="n"/>
      <c r="H587" s="4" t="n"/>
      <c r="I587" s="4" t="n"/>
      <c r="J587" s="3">
        <f>INDEX(Проверки!$F:$F, ROW())</f>
        <v/>
      </c>
      <c r="K587" s="3">
        <f>INDEX(Проверки!$D:$D, ROW())</f>
        <v/>
      </c>
      <c r="L587" s="3">
        <f>INDEX(Проверки!$G:$G, ROW())</f>
        <v/>
      </c>
    </row>
    <row r="588">
      <c r="A588" s="3" t="n"/>
      <c r="B588" s="4" t="n"/>
      <c r="C588" s="3" t="n"/>
      <c r="D588" s="4" t="n"/>
      <c r="E588" s="3" t="n"/>
      <c r="F588" s="3" t="n"/>
      <c r="G588" s="3" t="n"/>
      <c r="H588" s="4" t="n"/>
      <c r="I588" s="4" t="n"/>
      <c r="J588" s="3">
        <f>INDEX(Проверки!$F:$F, ROW())</f>
        <v/>
      </c>
      <c r="K588" s="3">
        <f>INDEX(Проверки!$D:$D, ROW())</f>
        <v/>
      </c>
      <c r="L588" s="3">
        <f>INDEX(Проверки!$G:$G, ROW())</f>
        <v/>
      </c>
    </row>
    <row r="589">
      <c r="A589" s="3" t="n"/>
      <c r="B589" s="4" t="n"/>
      <c r="C589" s="3" t="n"/>
      <c r="D589" s="4" t="n"/>
      <c r="E589" s="3" t="n"/>
      <c r="F589" s="3" t="n"/>
      <c r="G589" s="3" t="n"/>
      <c r="H589" s="4" t="n"/>
      <c r="I589" s="4" t="n"/>
      <c r="J589" s="3">
        <f>INDEX(Проверки!$F:$F, ROW())</f>
        <v/>
      </c>
      <c r="K589" s="3">
        <f>INDEX(Проверки!$D:$D, ROW())</f>
        <v/>
      </c>
      <c r="L589" s="3">
        <f>INDEX(Проверки!$G:$G, ROW())</f>
        <v/>
      </c>
    </row>
    <row r="590">
      <c r="A590" s="3" t="n"/>
      <c r="B590" s="4" t="n"/>
      <c r="C590" s="3" t="n"/>
      <c r="D590" s="4" t="n"/>
      <c r="E590" s="3" t="n"/>
      <c r="F590" s="3" t="n"/>
      <c r="G590" s="3" t="n"/>
      <c r="H590" s="4" t="n"/>
      <c r="I590" s="4" t="n"/>
      <c r="J590" s="3">
        <f>INDEX(Проверки!$F:$F, ROW())</f>
        <v/>
      </c>
      <c r="K590" s="3">
        <f>INDEX(Проверки!$D:$D, ROW())</f>
        <v/>
      </c>
      <c r="L590" s="3">
        <f>INDEX(Проверки!$G:$G, ROW())</f>
        <v/>
      </c>
    </row>
    <row r="591">
      <c r="A591" s="3" t="n"/>
      <c r="B591" s="4" t="n"/>
      <c r="C591" s="3" t="n"/>
      <c r="D591" s="4" t="n"/>
      <c r="E591" s="3" t="n"/>
      <c r="F591" s="3" t="n"/>
      <c r="G591" s="3" t="n"/>
      <c r="H591" s="4" t="n"/>
      <c r="I591" s="4" t="n"/>
      <c r="J591" s="3">
        <f>INDEX(Проверки!$F:$F, ROW())</f>
        <v/>
      </c>
      <c r="K591" s="3">
        <f>INDEX(Проверки!$D:$D, ROW())</f>
        <v/>
      </c>
      <c r="L591" s="3">
        <f>INDEX(Проверки!$G:$G, ROW())</f>
        <v/>
      </c>
    </row>
    <row r="592">
      <c r="A592" s="3" t="n"/>
      <c r="B592" s="4" t="n"/>
      <c r="C592" s="3" t="n"/>
      <c r="D592" s="4" t="n"/>
      <c r="E592" s="3" t="n"/>
      <c r="F592" s="3" t="n"/>
      <c r="G592" s="3" t="n"/>
      <c r="H592" s="4" t="n"/>
      <c r="I592" s="4" t="n"/>
      <c r="J592" s="3">
        <f>INDEX(Проверки!$F:$F, ROW())</f>
        <v/>
      </c>
      <c r="K592" s="3">
        <f>INDEX(Проверки!$D:$D, ROW())</f>
        <v/>
      </c>
      <c r="L592" s="3">
        <f>INDEX(Проверки!$G:$G, ROW())</f>
        <v/>
      </c>
    </row>
    <row r="593">
      <c r="A593" s="3" t="n"/>
      <c r="B593" s="4" t="n"/>
      <c r="C593" s="3" t="n"/>
      <c r="D593" s="4" t="n"/>
      <c r="E593" s="3" t="n"/>
      <c r="F593" s="3" t="n"/>
      <c r="G593" s="3" t="n"/>
      <c r="H593" s="4" t="n"/>
      <c r="I593" s="4" t="n"/>
      <c r="J593" s="3">
        <f>INDEX(Проверки!$F:$F, ROW())</f>
        <v/>
      </c>
      <c r="K593" s="3">
        <f>INDEX(Проверки!$D:$D, ROW())</f>
        <v/>
      </c>
      <c r="L593" s="3">
        <f>INDEX(Проверки!$G:$G, ROW())</f>
        <v/>
      </c>
    </row>
    <row r="594">
      <c r="A594" s="3" t="n"/>
      <c r="B594" s="4" t="n"/>
      <c r="C594" s="3" t="n"/>
      <c r="D594" s="4" t="n"/>
      <c r="E594" s="3" t="n"/>
      <c r="F594" s="3" t="n"/>
      <c r="G594" s="3" t="n"/>
      <c r="H594" s="4" t="n"/>
      <c r="I594" s="4" t="n"/>
      <c r="J594" s="3">
        <f>INDEX(Проверки!$F:$F, ROW())</f>
        <v/>
      </c>
      <c r="K594" s="3">
        <f>INDEX(Проверки!$D:$D, ROW())</f>
        <v/>
      </c>
      <c r="L594" s="3">
        <f>INDEX(Проверки!$G:$G, ROW())</f>
        <v/>
      </c>
    </row>
    <row r="595">
      <c r="A595" s="3" t="n"/>
      <c r="B595" s="4" t="n"/>
      <c r="C595" s="3" t="n"/>
      <c r="D595" s="4" t="n"/>
      <c r="E595" s="3" t="n"/>
      <c r="F595" s="3" t="n"/>
      <c r="G595" s="3" t="n"/>
      <c r="H595" s="4" t="n"/>
      <c r="I595" s="4" t="n"/>
      <c r="J595" s="3">
        <f>INDEX(Проверки!$F:$F, ROW())</f>
        <v/>
      </c>
      <c r="K595" s="3">
        <f>INDEX(Проверки!$D:$D, ROW())</f>
        <v/>
      </c>
      <c r="L595" s="3">
        <f>INDEX(Проверки!$G:$G, ROW())</f>
        <v/>
      </c>
    </row>
    <row r="596">
      <c r="A596" s="3" t="n"/>
      <c r="B596" s="4" t="n"/>
      <c r="C596" s="3" t="n"/>
      <c r="D596" s="4" t="n"/>
      <c r="E596" s="3" t="n"/>
      <c r="F596" s="3" t="n"/>
      <c r="G596" s="3" t="n"/>
      <c r="H596" s="4" t="n"/>
      <c r="I596" s="4" t="n"/>
      <c r="J596" s="3">
        <f>INDEX(Проверки!$F:$F, ROW())</f>
        <v/>
      </c>
      <c r="K596" s="3">
        <f>INDEX(Проверки!$D:$D, ROW())</f>
        <v/>
      </c>
      <c r="L596" s="3">
        <f>INDEX(Проверки!$G:$G, ROW())</f>
        <v/>
      </c>
    </row>
    <row r="597">
      <c r="A597" s="3" t="n"/>
      <c r="B597" s="4" t="n"/>
      <c r="C597" s="3" t="n"/>
      <c r="D597" s="4" t="n"/>
      <c r="E597" s="3" t="n"/>
      <c r="F597" s="3" t="n"/>
      <c r="G597" s="3" t="n"/>
      <c r="H597" s="4" t="n"/>
      <c r="I597" s="4" t="n"/>
      <c r="J597" s="3">
        <f>INDEX(Проверки!$F:$F, ROW())</f>
        <v/>
      </c>
      <c r="K597" s="3">
        <f>INDEX(Проверки!$D:$D, ROW())</f>
        <v/>
      </c>
      <c r="L597" s="3">
        <f>INDEX(Проверки!$G:$G, ROW())</f>
        <v/>
      </c>
    </row>
    <row r="598">
      <c r="A598" s="3" t="n"/>
      <c r="B598" s="4" t="n"/>
      <c r="C598" s="3" t="n"/>
      <c r="D598" s="4" t="n"/>
      <c r="E598" s="3" t="n"/>
      <c r="F598" s="3" t="n"/>
      <c r="G598" s="3" t="n"/>
      <c r="H598" s="4" t="n"/>
      <c r="I598" s="4" t="n"/>
      <c r="J598" s="3">
        <f>INDEX(Проверки!$F:$F, ROW())</f>
        <v/>
      </c>
      <c r="K598" s="3">
        <f>INDEX(Проверки!$D:$D, ROW())</f>
        <v/>
      </c>
      <c r="L598" s="3">
        <f>INDEX(Проверки!$G:$G, ROW())</f>
        <v/>
      </c>
    </row>
    <row r="599">
      <c r="A599" s="3" t="n"/>
      <c r="B599" s="4" t="n"/>
      <c r="C599" s="3" t="n"/>
      <c r="D599" s="4" t="n"/>
      <c r="E599" s="3" t="n"/>
      <c r="F599" s="3" t="n"/>
      <c r="G599" s="3" t="n"/>
      <c r="H599" s="4" t="n"/>
      <c r="I599" s="4" t="n"/>
      <c r="J599" s="3">
        <f>INDEX(Проверки!$F:$F, ROW())</f>
        <v/>
      </c>
      <c r="K599" s="3">
        <f>INDEX(Проверки!$D:$D, ROW())</f>
        <v/>
      </c>
      <c r="L599" s="3">
        <f>INDEX(Проверки!$G:$G, ROW())</f>
        <v/>
      </c>
    </row>
    <row r="600">
      <c r="A600" s="3" t="n"/>
      <c r="B600" s="4" t="n"/>
      <c r="C600" s="3" t="n"/>
      <c r="D600" s="4" t="n"/>
      <c r="E600" s="3" t="n"/>
      <c r="F600" s="3" t="n"/>
      <c r="G600" s="3" t="n"/>
      <c r="H600" s="4" t="n"/>
      <c r="I600" s="4" t="n"/>
      <c r="J600" s="3">
        <f>INDEX(Проверки!$F:$F, ROW())</f>
        <v/>
      </c>
      <c r="K600" s="3">
        <f>INDEX(Проверки!$D:$D, ROW())</f>
        <v/>
      </c>
      <c r="L600" s="3">
        <f>INDEX(Проверки!$G:$G, ROW())</f>
        <v/>
      </c>
    </row>
    <row r="601">
      <c r="A601" s="3" t="n"/>
      <c r="B601" s="4" t="n"/>
      <c r="C601" s="3" t="n"/>
      <c r="D601" s="4" t="n"/>
      <c r="E601" s="3" t="n"/>
      <c r="F601" s="3" t="n"/>
      <c r="G601" s="3" t="n"/>
      <c r="H601" s="4" t="n"/>
      <c r="I601" s="4" t="n"/>
      <c r="J601" s="3">
        <f>INDEX(Проверки!$F:$F, ROW())</f>
        <v/>
      </c>
      <c r="K601" s="3">
        <f>INDEX(Проверки!$D:$D, ROW())</f>
        <v/>
      </c>
      <c r="L601" s="3">
        <f>INDEX(Проверки!$G:$G, ROW())</f>
        <v/>
      </c>
    </row>
    <row r="602">
      <c r="A602" s="3" t="n"/>
      <c r="B602" s="4" t="n"/>
      <c r="C602" s="3" t="n"/>
      <c r="D602" s="4" t="n"/>
      <c r="E602" s="3" t="n"/>
      <c r="F602" s="3" t="n"/>
      <c r="G602" s="3" t="n"/>
      <c r="H602" s="4" t="n"/>
      <c r="I602" s="4" t="n"/>
      <c r="J602" s="3">
        <f>INDEX(Проверки!$F:$F, ROW())</f>
        <v/>
      </c>
      <c r="K602" s="3">
        <f>INDEX(Проверки!$D:$D, ROW())</f>
        <v/>
      </c>
      <c r="L602" s="3">
        <f>INDEX(Проверки!$G:$G, ROW())</f>
        <v/>
      </c>
    </row>
    <row r="603">
      <c r="A603" s="3" t="n"/>
      <c r="B603" s="4" t="n"/>
      <c r="C603" s="3" t="n"/>
      <c r="D603" s="4" t="n"/>
      <c r="E603" s="3" t="n"/>
      <c r="F603" s="3" t="n"/>
      <c r="G603" s="3" t="n"/>
      <c r="H603" s="4" t="n"/>
      <c r="I603" s="4" t="n"/>
      <c r="J603" s="3">
        <f>INDEX(Проверки!$F:$F, ROW())</f>
        <v/>
      </c>
      <c r="K603" s="3">
        <f>INDEX(Проверки!$D:$D, ROW())</f>
        <v/>
      </c>
      <c r="L603" s="3">
        <f>INDEX(Проверки!$G:$G, ROW())</f>
        <v/>
      </c>
    </row>
    <row r="604">
      <c r="A604" s="3" t="n"/>
      <c r="B604" s="4" t="n"/>
      <c r="C604" s="3" t="n"/>
      <c r="D604" s="4" t="n"/>
      <c r="E604" s="3" t="n"/>
      <c r="F604" s="3" t="n"/>
      <c r="G604" s="3" t="n"/>
      <c r="H604" s="4" t="n"/>
      <c r="I604" s="4" t="n"/>
      <c r="J604" s="3">
        <f>INDEX(Проверки!$F:$F, ROW())</f>
        <v/>
      </c>
      <c r="K604" s="3">
        <f>INDEX(Проверки!$D:$D, ROW())</f>
        <v/>
      </c>
      <c r="L604" s="3">
        <f>INDEX(Проверки!$G:$G, ROW())</f>
        <v/>
      </c>
    </row>
    <row r="605">
      <c r="A605" s="3" t="n"/>
      <c r="B605" s="4" t="n"/>
      <c r="C605" s="3" t="n"/>
      <c r="D605" s="4" t="n"/>
      <c r="E605" s="3" t="n"/>
      <c r="F605" s="3" t="n"/>
      <c r="G605" s="3" t="n"/>
      <c r="H605" s="4" t="n"/>
      <c r="I605" s="4" t="n"/>
      <c r="J605" s="3">
        <f>INDEX(Проверки!$F:$F, ROW())</f>
        <v/>
      </c>
      <c r="K605" s="3">
        <f>INDEX(Проверки!$D:$D, ROW())</f>
        <v/>
      </c>
      <c r="L605" s="3">
        <f>INDEX(Проверки!$G:$G, ROW())</f>
        <v/>
      </c>
    </row>
    <row r="606">
      <c r="A606" s="3" t="n"/>
      <c r="B606" s="4" t="n"/>
      <c r="C606" s="3" t="n"/>
      <c r="D606" s="4" t="n"/>
      <c r="E606" s="3" t="n"/>
      <c r="F606" s="3" t="n"/>
      <c r="G606" s="3" t="n"/>
      <c r="H606" s="4" t="n"/>
      <c r="I606" s="4" t="n"/>
      <c r="J606" s="3">
        <f>INDEX(Проверки!$F:$F, ROW())</f>
        <v/>
      </c>
      <c r="K606" s="3">
        <f>INDEX(Проверки!$D:$D, ROW())</f>
        <v/>
      </c>
      <c r="L606" s="3">
        <f>INDEX(Проверки!$G:$G, ROW())</f>
        <v/>
      </c>
    </row>
    <row r="607">
      <c r="A607" s="3" t="n"/>
      <c r="B607" s="4" t="n"/>
      <c r="C607" s="3" t="n"/>
      <c r="D607" s="4" t="n"/>
      <c r="E607" s="3" t="n"/>
      <c r="F607" s="3" t="n"/>
      <c r="G607" s="3" t="n"/>
      <c r="H607" s="4" t="n"/>
      <c r="I607" s="4" t="n"/>
      <c r="J607" s="3">
        <f>INDEX(Проверки!$F:$F, ROW())</f>
        <v/>
      </c>
      <c r="K607" s="3">
        <f>INDEX(Проверки!$D:$D, ROW())</f>
        <v/>
      </c>
      <c r="L607" s="3">
        <f>INDEX(Проверки!$G:$G, ROW())</f>
        <v/>
      </c>
    </row>
    <row r="608">
      <c r="A608" s="3" t="n"/>
      <c r="B608" s="4" t="n"/>
      <c r="C608" s="3" t="n"/>
      <c r="D608" s="4" t="n"/>
      <c r="E608" s="3" t="n"/>
      <c r="F608" s="3" t="n"/>
      <c r="G608" s="3" t="n"/>
      <c r="H608" s="4" t="n"/>
      <c r="I608" s="4" t="n"/>
      <c r="J608" s="3">
        <f>INDEX(Проверки!$F:$F, ROW())</f>
        <v/>
      </c>
      <c r="K608" s="3">
        <f>INDEX(Проверки!$D:$D, ROW())</f>
        <v/>
      </c>
      <c r="L608" s="3">
        <f>INDEX(Проверки!$G:$G, ROW())</f>
        <v/>
      </c>
    </row>
    <row r="609">
      <c r="A609" s="3" t="n"/>
      <c r="B609" s="4" t="n"/>
      <c r="C609" s="3" t="n"/>
      <c r="D609" s="4" t="n"/>
      <c r="E609" s="3" t="n"/>
      <c r="F609" s="3" t="n"/>
      <c r="G609" s="3" t="n"/>
      <c r="H609" s="4" t="n"/>
      <c r="I609" s="4" t="n"/>
      <c r="J609" s="3">
        <f>INDEX(Проверки!$F:$F, ROW())</f>
        <v/>
      </c>
      <c r="K609" s="3">
        <f>INDEX(Проверки!$D:$D, ROW())</f>
        <v/>
      </c>
      <c r="L609" s="3">
        <f>INDEX(Проверки!$G:$G, ROW())</f>
        <v/>
      </c>
    </row>
    <row r="610">
      <c r="A610" s="3" t="n"/>
      <c r="B610" s="4" t="n"/>
      <c r="C610" s="3" t="n"/>
      <c r="D610" s="4" t="n"/>
      <c r="E610" s="3" t="n"/>
      <c r="F610" s="3" t="n"/>
      <c r="G610" s="3" t="n"/>
      <c r="H610" s="4" t="n"/>
      <c r="I610" s="4" t="n"/>
      <c r="J610" s="3">
        <f>INDEX(Проверки!$F:$F, ROW())</f>
        <v/>
      </c>
      <c r="K610" s="3">
        <f>INDEX(Проверки!$D:$D, ROW())</f>
        <v/>
      </c>
      <c r="L610" s="3">
        <f>INDEX(Проверки!$G:$G, ROW())</f>
        <v/>
      </c>
    </row>
    <row r="611">
      <c r="A611" s="3" t="n"/>
      <c r="B611" s="4" t="n"/>
      <c r="C611" s="3" t="n"/>
      <c r="D611" s="4" t="n"/>
      <c r="E611" s="3" t="n"/>
      <c r="F611" s="3" t="n"/>
      <c r="G611" s="3" t="n"/>
      <c r="H611" s="4" t="n"/>
      <c r="I611" s="4" t="n"/>
      <c r="J611" s="3">
        <f>INDEX(Проверки!$F:$F, ROW())</f>
        <v/>
      </c>
      <c r="K611" s="3">
        <f>INDEX(Проверки!$D:$D, ROW())</f>
        <v/>
      </c>
      <c r="L611" s="3">
        <f>INDEX(Проверки!$G:$G, ROW())</f>
        <v/>
      </c>
    </row>
    <row r="612">
      <c r="A612" s="3" t="n"/>
      <c r="B612" s="4" t="n"/>
      <c r="C612" s="3" t="n"/>
      <c r="D612" s="4" t="n"/>
      <c r="E612" s="3" t="n"/>
      <c r="F612" s="3" t="n"/>
      <c r="G612" s="3" t="n"/>
      <c r="H612" s="4" t="n"/>
      <c r="I612" s="4" t="n"/>
      <c r="J612" s="3">
        <f>INDEX(Проверки!$F:$F, ROW())</f>
        <v/>
      </c>
      <c r="K612" s="3">
        <f>INDEX(Проверки!$D:$D, ROW())</f>
        <v/>
      </c>
      <c r="L612" s="3">
        <f>INDEX(Проверки!$G:$G, ROW())</f>
        <v/>
      </c>
    </row>
    <row r="613">
      <c r="A613" s="3" t="n"/>
      <c r="B613" s="4" t="n"/>
      <c r="C613" s="3" t="n"/>
      <c r="D613" s="4" t="n"/>
      <c r="E613" s="3" t="n"/>
      <c r="F613" s="3" t="n"/>
      <c r="G613" s="3" t="n"/>
      <c r="H613" s="4" t="n"/>
      <c r="I613" s="4" t="n"/>
      <c r="J613" s="3">
        <f>INDEX(Проверки!$F:$F, ROW())</f>
        <v/>
      </c>
      <c r="K613" s="3">
        <f>INDEX(Проверки!$D:$D, ROW())</f>
        <v/>
      </c>
      <c r="L613" s="3">
        <f>INDEX(Проверки!$G:$G, ROW())</f>
        <v/>
      </c>
    </row>
    <row r="614">
      <c r="A614" s="3" t="n"/>
      <c r="B614" s="4" t="n"/>
      <c r="C614" s="3" t="n"/>
      <c r="D614" s="4" t="n"/>
      <c r="E614" s="3" t="n"/>
      <c r="F614" s="3" t="n"/>
      <c r="G614" s="3" t="n"/>
      <c r="H614" s="4" t="n"/>
      <c r="I614" s="4" t="n"/>
      <c r="J614" s="3">
        <f>INDEX(Проверки!$F:$F, ROW())</f>
        <v/>
      </c>
      <c r="K614" s="3">
        <f>INDEX(Проверки!$D:$D, ROW())</f>
        <v/>
      </c>
      <c r="L614" s="3">
        <f>INDEX(Проверки!$G:$G, ROW())</f>
        <v/>
      </c>
    </row>
    <row r="615">
      <c r="A615" s="3" t="n"/>
      <c r="B615" s="4" t="n"/>
      <c r="C615" s="3" t="n"/>
      <c r="D615" s="4" t="n"/>
      <c r="E615" s="3" t="n"/>
      <c r="F615" s="3" t="n"/>
      <c r="G615" s="3" t="n"/>
      <c r="H615" s="4" t="n"/>
      <c r="I615" s="4" t="n"/>
      <c r="J615" s="3">
        <f>INDEX(Проверки!$F:$F, ROW())</f>
        <v/>
      </c>
      <c r="K615" s="3">
        <f>INDEX(Проверки!$D:$D, ROW())</f>
        <v/>
      </c>
      <c r="L615" s="3">
        <f>INDEX(Проверки!$G:$G, ROW())</f>
        <v/>
      </c>
    </row>
    <row r="616">
      <c r="A616" s="3" t="n"/>
      <c r="B616" s="4" t="n"/>
      <c r="C616" s="3" t="n"/>
      <c r="D616" s="4" t="n"/>
      <c r="E616" s="3" t="n"/>
      <c r="F616" s="3" t="n"/>
      <c r="G616" s="3" t="n"/>
      <c r="H616" s="4" t="n"/>
      <c r="I616" s="4" t="n"/>
      <c r="J616" s="3">
        <f>INDEX(Проверки!$F:$F, ROW())</f>
        <v/>
      </c>
      <c r="K616" s="3">
        <f>INDEX(Проверки!$D:$D, ROW())</f>
        <v/>
      </c>
      <c r="L616" s="3">
        <f>INDEX(Проверки!$G:$G, ROW())</f>
        <v/>
      </c>
    </row>
    <row r="617">
      <c r="A617" s="3" t="n"/>
      <c r="B617" s="4" t="n"/>
      <c r="C617" s="3" t="n"/>
      <c r="D617" s="4" t="n"/>
      <c r="E617" s="3" t="n"/>
      <c r="F617" s="3" t="n"/>
      <c r="G617" s="3" t="n"/>
      <c r="H617" s="4" t="n"/>
      <c r="I617" s="4" t="n"/>
      <c r="J617" s="3">
        <f>INDEX(Проверки!$F:$F, ROW())</f>
        <v/>
      </c>
      <c r="K617" s="3">
        <f>INDEX(Проверки!$D:$D, ROW())</f>
        <v/>
      </c>
      <c r="L617" s="3">
        <f>INDEX(Проверки!$G:$G, ROW())</f>
        <v/>
      </c>
    </row>
    <row r="618">
      <c r="A618" s="3" t="n"/>
      <c r="B618" s="4" t="n"/>
      <c r="C618" s="3" t="n"/>
      <c r="D618" s="4" t="n"/>
      <c r="E618" s="3" t="n"/>
      <c r="F618" s="3" t="n"/>
      <c r="G618" s="3" t="n"/>
      <c r="H618" s="4" t="n"/>
      <c r="I618" s="4" t="n"/>
      <c r="J618" s="3">
        <f>INDEX(Проверки!$F:$F, ROW())</f>
        <v/>
      </c>
      <c r="K618" s="3">
        <f>INDEX(Проверки!$D:$D, ROW())</f>
        <v/>
      </c>
      <c r="L618" s="3">
        <f>INDEX(Проверки!$G:$G, ROW())</f>
        <v/>
      </c>
    </row>
    <row r="619">
      <c r="A619" s="3" t="n"/>
      <c r="B619" s="4" t="n"/>
      <c r="C619" s="3" t="n"/>
      <c r="D619" s="4" t="n"/>
      <c r="E619" s="3" t="n"/>
      <c r="F619" s="3" t="n"/>
      <c r="G619" s="3" t="n"/>
      <c r="H619" s="4" t="n"/>
      <c r="I619" s="4" t="n"/>
      <c r="J619" s="3">
        <f>INDEX(Проверки!$F:$F, ROW())</f>
        <v/>
      </c>
      <c r="K619" s="3">
        <f>INDEX(Проверки!$D:$D, ROW())</f>
        <v/>
      </c>
      <c r="L619" s="3">
        <f>INDEX(Проверки!$G:$G, ROW())</f>
        <v/>
      </c>
    </row>
    <row r="620">
      <c r="A620" s="3" t="n"/>
      <c r="B620" s="4" t="n"/>
      <c r="C620" s="3" t="n"/>
      <c r="D620" s="4" t="n"/>
      <c r="E620" s="3" t="n"/>
      <c r="F620" s="3" t="n"/>
      <c r="G620" s="3" t="n"/>
      <c r="H620" s="4" t="n"/>
      <c r="I620" s="4" t="n"/>
      <c r="J620" s="3">
        <f>INDEX(Проверки!$F:$F, ROW())</f>
        <v/>
      </c>
      <c r="K620" s="3">
        <f>INDEX(Проверки!$D:$D, ROW())</f>
        <v/>
      </c>
      <c r="L620" s="3">
        <f>INDEX(Проверки!$G:$G, ROW())</f>
        <v/>
      </c>
    </row>
    <row r="621">
      <c r="A621" s="3" t="n"/>
      <c r="B621" s="4" t="n"/>
      <c r="C621" s="3" t="n"/>
      <c r="D621" s="4" t="n"/>
      <c r="E621" s="3" t="n"/>
      <c r="F621" s="3" t="n"/>
      <c r="G621" s="3" t="n"/>
      <c r="H621" s="4" t="n"/>
      <c r="I621" s="4" t="n"/>
      <c r="J621" s="3">
        <f>INDEX(Проверки!$F:$F, ROW())</f>
        <v/>
      </c>
      <c r="K621" s="3">
        <f>INDEX(Проверки!$D:$D, ROW())</f>
        <v/>
      </c>
      <c r="L621" s="3">
        <f>INDEX(Проверки!$G:$G, ROW())</f>
        <v/>
      </c>
    </row>
    <row r="622">
      <c r="A622" s="3" t="n"/>
      <c r="B622" s="4" t="n"/>
      <c r="C622" s="3" t="n"/>
      <c r="D622" s="4" t="n"/>
      <c r="E622" s="3" t="n"/>
      <c r="F622" s="3" t="n"/>
      <c r="G622" s="3" t="n"/>
      <c r="H622" s="4" t="n"/>
      <c r="I622" s="4" t="n"/>
      <c r="J622" s="3">
        <f>INDEX(Проверки!$F:$F, ROW())</f>
        <v/>
      </c>
      <c r="K622" s="3">
        <f>INDEX(Проверки!$D:$D, ROW())</f>
        <v/>
      </c>
      <c r="L622" s="3">
        <f>INDEX(Проверки!$G:$G, ROW())</f>
        <v/>
      </c>
    </row>
    <row r="623">
      <c r="A623" s="3" t="n"/>
      <c r="B623" s="4" t="n"/>
      <c r="C623" s="3" t="n"/>
      <c r="D623" s="4" t="n"/>
      <c r="E623" s="3" t="n"/>
      <c r="F623" s="3" t="n"/>
      <c r="G623" s="3" t="n"/>
      <c r="H623" s="4" t="n"/>
      <c r="I623" s="4" t="n"/>
      <c r="J623" s="3">
        <f>INDEX(Проверки!$F:$F, ROW())</f>
        <v/>
      </c>
      <c r="K623" s="3">
        <f>INDEX(Проверки!$D:$D, ROW())</f>
        <v/>
      </c>
      <c r="L623" s="3">
        <f>INDEX(Проверки!$G:$G, ROW())</f>
        <v/>
      </c>
    </row>
    <row r="624">
      <c r="A624" s="3" t="n"/>
      <c r="B624" s="4" t="n"/>
      <c r="C624" s="3" t="n"/>
      <c r="D624" s="4" t="n"/>
      <c r="E624" s="3" t="n"/>
      <c r="F624" s="3" t="n"/>
      <c r="G624" s="3" t="n"/>
      <c r="H624" s="4" t="n"/>
      <c r="I624" s="4" t="n"/>
      <c r="J624" s="3">
        <f>INDEX(Проверки!$F:$F, ROW())</f>
        <v/>
      </c>
      <c r="K624" s="3">
        <f>INDEX(Проверки!$D:$D, ROW())</f>
        <v/>
      </c>
      <c r="L624" s="3">
        <f>INDEX(Проверки!$G:$G, ROW())</f>
        <v/>
      </c>
    </row>
    <row r="625">
      <c r="A625" s="3" t="n"/>
      <c r="B625" s="4" t="n"/>
      <c r="C625" s="3" t="n"/>
      <c r="D625" s="4" t="n"/>
      <c r="E625" s="3" t="n"/>
      <c r="F625" s="3" t="n"/>
      <c r="G625" s="3" t="n"/>
      <c r="H625" s="4" t="n"/>
      <c r="I625" s="4" t="n"/>
      <c r="J625" s="3">
        <f>INDEX(Проверки!$F:$F, ROW())</f>
        <v/>
      </c>
      <c r="K625" s="3">
        <f>INDEX(Проверки!$D:$D, ROW())</f>
        <v/>
      </c>
      <c r="L625" s="3">
        <f>INDEX(Проверки!$G:$G, ROW())</f>
        <v/>
      </c>
    </row>
    <row r="626">
      <c r="A626" s="3" t="n"/>
      <c r="B626" s="4" t="n"/>
      <c r="C626" s="3" t="n"/>
      <c r="D626" s="4" t="n"/>
      <c r="E626" s="3" t="n"/>
      <c r="F626" s="3" t="n"/>
      <c r="G626" s="3" t="n"/>
      <c r="H626" s="4" t="n"/>
      <c r="I626" s="4" t="n"/>
      <c r="J626" s="3">
        <f>INDEX(Проверки!$F:$F, ROW())</f>
        <v/>
      </c>
      <c r="K626" s="3">
        <f>INDEX(Проверки!$D:$D, ROW())</f>
        <v/>
      </c>
      <c r="L626" s="3">
        <f>INDEX(Проверки!$G:$G, ROW())</f>
        <v/>
      </c>
    </row>
    <row r="627">
      <c r="A627" s="3" t="n"/>
      <c r="B627" s="4" t="n"/>
      <c r="C627" s="3" t="n"/>
      <c r="D627" s="4" t="n"/>
      <c r="E627" s="3" t="n"/>
      <c r="F627" s="3" t="n"/>
      <c r="G627" s="3" t="n"/>
      <c r="H627" s="4" t="n"/>
      <c r="I627" s="4" t="n"/>
      <c r="J627" s="3">
        <f>INDEX(Проверки!$F:$F, ROW())</f>
        <v/>
      </c>
      <c r="K627" s="3">
        <f>INDEX(Проверки!$D:$D, ROW())</f>
        <v/>
      </c>
      <c r="L627" s="3">
        <f>INDEX(Проверки!$G:$G, ROW())</f>
        <v/>
      </c>
    </row>
    <row r="628">
      <c r="A628" s="3" t="n"/>
      <c r="B628" s="4" t="n"/>
      <c r="C628" s="3" t="n"/>
      <c r="D628" s="4" t="n"/>
      <c r="E628" s="3" t="n"/>
      <c r="F628" s="3" t="n"/>
      <c r="G628" s="3" t="n"/>
      <c r="H628" s="4" t="n"/>
      <c r="I628" s="4" t="n"/>
      <c r="J628" s="3">
        <f>INDEX(Проверки!$F:$F, ROW())</f>
        <v/>
      </c>
      <c r="K628" s="3">
        <f>INDEX(Проверки!$D:$D, ROW())</f>
        <v/>
      </c>
      <c r="L628" s="3">
        <f>INDEX(Проверки!$G:$G, ROW())</f>
        <v/>
      </c>
    </row>
    <row r="629">
      <c r="A629" s="3" t="n"/>
      <c r="B629" s="4" t="n"/>
      <c r="C629" s="3" t="n"/>
      <c r="D629" s="4" t="n"/>
      <c r="E629" s="3" t="n"/>
      <c r="F629" s="3" t="n"/>
      <c r="G629" s="3" t="n"/>
      <c r="H629" s="4" t="n"/>
      <c r="I629" s="4" t="n"/>
      <c r="J629" s="3">
        <f>INDEX(Проверки!$F:$F, ROW())</f>
        <v/>
      </c>
      <c r="K629" s="3">
        <f>INDEX(Проверки!$D:$D, ROW())</f>
        <v/>
      </c>
      <c r="L629" s="3">
        <f>INDEX(Проверки!$G:$G, ROW())</f>
        <v/>
      </c>
    </row>
    <row r="630">
      <c r="A630" s="3" t="n"/>
      <c r="B630" s="4" t="n"/>
      <c r="C630" s="3" t="n"/>
      <c r="D630" s="4" t="n"/>
      <c r="E630" s="3" t="n"/>
      <c r="F630" s="3" t="n"/>
      <c r="G630" s="3" t="n"/>
      <c r="H630" s="4" t="n"/>
      <c r="I630" s="4" t="n"/>
      <c r="J630" s="3">
        <f>INDEX(Проверки!$F:$F, ROW())</f>
        <v/>
      </c>
      <c r="K630" s="3">
        <f>INDEX(Проверки!$D:$D, ROW())</f>
        <v/>
      </c>
      <c r="L630" s="3">
        <f>INDEX(Проверки!$G:$G, ROW())</f>
        <v/>
      </c>
    </row>
    <row r="631">
      <c r="A631" s="3" t="n"/>
      <c r="B631" s="4" t="n"/>
      <c r="C631" s="3" t="n"/>
      <c r="D631" s="4" t="n"/>
      <c r="E631" s="3" t="n"/>
      <c r="F631" s="3" t="n"/>
      <c r="G631" s="3" t="n"/>
      <c r="H631" s="4" t="n"/>
      <c r="I631" s="4" t="n"/>
      <c r="J631" s="3">
        <f>INDEX(Проверки!$F:$F, ROW())</f>
        <v/>
      </c>
      <c r="K631" s="3">
        <f>INDEX(Проверки!$D:$D, ROW())</f>
        <v/>
      </c>
      <c r="L631" s="3">
        <f>INDEX(Проверки!$G:$G, ROW())</f>
        <v/>
      </c>
    </row>
    <row r="632">
      <c r="A632" s="3" t="n"/>
      <c r="B632" s="4" t="n"/>
      <c r="C632" s="3" t="n"/>
      <c r="D632" s="4" t="n"/>
      <c r="E632" s="3" t="n"/>
      <c r="F632" s="3" t="n"/>
      <c r="G632" s="3" t="n"/>
      <c r="H632" s="4" t="n"/>
      <c r="I632" s="4" t="n"/>
      <c r="J632" s="3">
        <f>INDEX(Проверки!$F:$F, ROW())</f>
        <v/>
      </c>
      <c r="K632" s="3">
        <f>INDEX(Проверки!$D:$D, ROW())</f>
        <v/>
      </c>
      <c r="L632" s="3">
        <f>INDEX(Проверки!$G:$G, ROW())</f>
        <v/>
      </c>
    </row>
    <row r="633">
      <c r="A633" s="3" t="n"/>
      <c r="B633" s="4" t="n"/>
      <c r="C633" s="3" t="n"/>
      <c r="D633" s="4" t="n"/>
      <c r="E633" s="3" t="n"/>
      <c r="F633" s="3" t="n"/>
      <c r="G633" s="3" t="n"/>
      <c r="H633" s="4" t="n"/>
      <c r="I633" s="4" t="n"/>
      <c r="J633" s="3">
        <f>INDEX(Проверки!$F:$F, ROW())</f>
        <v/>
      </c>
      <c r="K633" s="3">
        <f>INDEX(Проверки!$D:$D, ROW())</f>
        <v/>
      </c>
      <c r="L633" s="3">
        <f>INDEX(Проверки!$G:$G, ROW())</f>
        <v/>
      </c>
    </row>
    <row r="634">
      <c r="A634" s="3" t="n"/>
      <c r="B634" s="4" t="n"/>
      <c r="C634" s="3" t="n"/>
      <c r="D634" s="4" t="n"/>
      <c r="E634" s="3" t="n"/>
      <c r="F634" s="3" t="n"/>
      <c r="G634" s="3" t="n"/>
      <c r="H634" s="4" t="n"/>
      <c r="I634" s="4" t="n"/>
      <c r="J634" s="3">
        <f>INDEX(Проверки!$F:$F, ROW())</f>
        <v/>
      </c>
      <c r="K634" s="3">
        <f>INDEX(Проверки!$D:$D, ROW())</f>
        <v/>
      </c>
      <c r="L634" s="3">
        <f>INDEX(Проверки!$G:$G, ROW())</f>
        <v/>
      </c>
    </row>
    <row r="635">
      <c r="A635" s="3" t="n"/>
      <c r="B635" s="4" t="n"/>
      <c r="C635" s="3" t="n"/>
      <c r="D635" s="4" t="n"/>
      <c r="E635" s="3" t="n"/>
      <c r="F635" s="3" t="n"/>
      <c r="G635" s="3" t="n"/>
      <c r="H635" s="4" t="n"/>
      <c r="I635" s="4" t="n"/>
      <c r="J635" s="3">
        <f>INDEX(Проверки!$F:$F, ROW())</f>
        <v/>
      </c>
      <c r="K635" s="3">
        <f>INDEX(Проверки!$D:$D, ROW())</f>
        <v/>
      </c>
      <c r="L635" s="3">
        <f>INDEX(Проверки!$G:$G, ROW())</f>
        <v/>
      </c>
    </row>
    <row r="636">
      <c r="A636" s="3" t="n"/>
      <c r="B636" s="4" t="n"/>
      <c r="C636" s="3" t="n"/>
      <c r="D636" s="4" t="n"/>
      <c r="E636" s="3" t="n"/>
      <c r="F636" s="3" t="n"/>
      <c r="G636" s="3" t="n"/>
      <c r="H636" s="4" t="n"/>
      <c r="I636" s="4" t="n"/>
      <c r="J636" s="3">
        <f>INDEX(Проверки!$F:$F, ROW())</f>
        <v/>
      </c>
      <c r="K636" s="3">
        <f>INDEX(Проверки!$D:$D, ROW())</f>
        <v/>
      </c>
      <c r="L636" s="3">
        <f>INDEX(Проверки!$G:$G, ROW())</f>
        <v/>
      </c>
    </row>
    <row r="637">
      <c r="A637" s="3" t="n"/>
      <c r="B637" s="4" t="n"/>
      <c r="C637" s="3" t="n"/>
      <c r="D637" s="4" t="n"/>
      <c r="E637" s="3" t="n"/>
      <c r="F637" s="3" t="n"/>
      <c r="G637" s="3" t="n"/>
      <c r="H637" s="4" t="n"/>
      <c r="I637" s="4" t="n"/>
      <c r="J637" s="3">
        <f>INDEX(Проверки!$F:$F, ROW())</f>
        <v/>
      </c>
      <c r="K637" s="3">
        <f>INDEX(Проверки!$D:$D, ROW())</f>
        <v/>
      </c>
      <c r="L637" s="3">
        <f>INDEX(Проверки!$G:$G, ROW())</f>
        <v/>
      </c>
    </row>
    <row r="638">
      <c r="A638" s="3" t="n"/>
      <c r="B638" s="4" t="n"/>
      <c r="C638" s="3" t="n"/>
      <c r="D638" s="4" t="n"/>
      <c r="E638" s="3" t="n"/>
      <c r="F638" s="3" t="n"/>
      <c r="G638" s="3" t="n"/>
      <c r="H638" s="4" t="n"/>
      <c r="I638" s="4" t="n"/>
      <c r="J638" s="3">
        <f>INDEX(Проверки!$F:$F, ROW())</f>
        <v/>
      </c>
      <c r="K638" s="3">
        <f>INDEX(Проверки!$D:$D, ROW())</f>
        <v/>
      </c>
      <c r="L638" s="3">
        <f>INDEX(Проверки!$G:$G, ROW())</f>
        <v/>
      </c>
    </row>
    <row r="639">
      <c r="A639" s="3" t="n"/>
      <c r="B639" s="4" t="n"/>
      <c r="C639" s="3" t="n"/>
      <c r="D639" s="4" t="n"/>
      <c r="E639" s="3" t="n"/>
      <c r="F639" s="3" t="n"/>
      <c r="G639" s="3" t="n"/>
      <c r="H639" s="4" t="n"/>
      <c r="I639" s="4" t="n"/>
      <c r="J639" s="3">
        <f>INDEX(Проверки!$F:$F, ROW())</f>
        <v/>
      </c>
      <c r="K639" s="3">
        <f>INDEX(Проверки!$D:$D, ROW())</f>
        <v/>
      </c>
      <c r="L639" s="3">
        <f>INDEX(Проверки!$G:$G, ROW())</f>
        <v/>
      </c>
    </row>
    <row r="640">
      <c r="A640" s="3" t="n"/>
      <c r="B640" s="4" t="n"/>
      <c r="C640" s="3" t="n"/>
      <c r="D640" s="4" t="n"/>
      <c r="E640" s="3" t="n"/>
      <c r="F640" s="3" t="n"/>
      <c r="G640" s="3" t="n"/>
      <c r="H640" s="4" t="n"/>
      <c r="I640" s="4" t="n"/>
      <c r="J640" s="3">
        <f>INDEX(Проверки!$F:$F, ROW())</f>
        <v/>
      </c>
      <c r="K640" s="3">
        <f>INDEX(Проверки!$D:$D, ROW())</f>
        <v/>
      </c>
      <c r="L640" s="3">
        <f>INDEX(Проверки!$G:$G, ROW())</f>
        <v/>
      </c>
    </row>
    <row r="641">
      <c r="A641" s="3" t="n"/>
      <c r="B641" s="4" t="n"/>
      <c r="C641" s="3" t="n"/>
      <c r="D641" s="4" t="n"/>
      <c r="E641" s="3" t="n"/>
      <c r="F641" s="3" t="n"/>
      <c r="G641" s="3" t="n"/>
      <c r="H641" s="4" t="n"/>
      <c r="I641" s="4" t="n"/>
      <c r="J641" s="3">
        <f>INDEX(Проверки!$F:$F, ROW())</f>
        <v/>
      </c>
      <c r="K641" s="3">
        <f>INDEX(Проверки!$D:$D, ROW())</f>
        <v/>
      </c>
      <c r="L641" s="3">
        <f>INDEX(Проверки!$G:$G, ROW())</f>
        <v/>
      </c>
    </row>
    <row r="642">
      <c r="A642" s="3" t="n"/>
      <c r="B642" s="4" t="n"/>
      <c r="C642" s="3" t="n"/>
      <c r="D642" s="4" t="n"/>
      <c r="E642" s="3" t="n"/>
      <c r="F642" s="3" t="n"/>
      <c r="G642" s="3" t="n"/>
      <c r="H642" s="4" t="n"/>
      <c r="I642" s="4" t="n"/>
      <c r="J642" s="3">
        <f>INDEX(Проверки!$F:$F, ROW())</f>
        <v/>
      </c>
      <c r="K642" s="3">
        <f>INDEX(Проверки!$D:$D, ROW())</f>
        <v/>
      </c>
      <c r="L642" s="3">
        <f>INDEX(Проверки!$G:$G, ROW())</f>
        <v/>
      </c>
    </row>
    <row r="643">
      <c r="A643" s="3" t="n"/>
      <c r="B643" s="4" t="n"/>
      <c r="C643" s="3" t="n"/>
      <c r="D643" s="4" t="n"/>
      <c r="E643" s="3" t="n"/>
      <c r="F643" s="3" t="n"/>
      <c r="G643" s="3" t="n"/>
      <c r="H643" s="4" t="n"/>
      <c r="I643" s="4" t="n"/>
      <c r="J643" s="3">
        <f>INDEX(Проверки!$F:$F, ROW())</f>
        <v/>
      </c>
      <c r="K643" s="3">
        <f>INDEX(Проверки!$D:$D, ROW())</f>
        <v/>
      </c>
      <c r="L643" s="3">
        <f>INDEX(Проверки!$G:$G, ROW())</f>
        <v/>
      </c>
    </row>
    <row r="644">
      <c r="A644" s="3" t="n"/>
      <c r="B644" s="4" t="n"/>
      <c r="C644" s="3" t="n"/>
      <c r="D644" s="4" t="n"/>
      <c r="E644" s="3" t="n"/>
      <c r="F644" s="3" t="n"/>
      <c r="G644" s="3" t="n"/>
      <c r="H644" s="4" t="n"/>
      <c r="I644" s="4" t="n"/>
      <c r="J644" s="3">
        <f>INDEX(Проверки!$F:$F, ROW())</f>
        <v/>
      </c>
      <c r="K644" s="3">
        <f>INDEX(Проверки!$D:$D, ROW())</f>
        <v/>
      </c>
      <c r="L644" s="3">
        <f>INDEX(Проверки!$G:$G, ROW())</f>
        <v/>
      </c>
    </row>
    <row r="645">
      <c r="A645" s="3" t="n"/>
      <c r="B645" s="4" t="n"/>
      <c r="C645" s="3" t="n"/>
      <c r="D645" s="4" t="n"/>
      <c r="E645" s="3" t="n"/>
      <c r="F645" s="3" t="n"/>
      <c r="G645" s="3" t="n"/>
      <c r="H645" s="4" t="n"/>
      <c r="I645" s="4" t="n"/>
      <c r="J645" s="3">
        <f>INDEX(Проверки!$F:$F, ROW())</f>
        <v/>
      </c>
      <c r="K645" s="3">
        <f>INDEX(Проверки!$D:$D, ROW())</f>
        <v/>
      </c>
      <c r="L645" s="3">
        <f>INDEX(Проверки!$G:$G, ROW())</f>
        <v/>
      </c>
    </row>
    <row r="646">
      <c r="A646" s="3" t="n"/>
      <c r="B646" s="4" t="n"/>
      <c r="C646" s="3" t="n"/>
      <c r="D646" s="4" t="n"/>
      <c r="E646" s="3" t="n"/>
      <c r="F646" s="3" t="n"/>
      <c r="G646" s="3" t="n"/>
      <c r="H646" s="4" t="n"/>
      <c r="I646" s="4" t="n"/>
      <c r="J646" s="3">
        <f>INDEX(Проверки!$F:$F, ROW())</f>
        <v/>
      </c>
      <c r="K646" s="3">
        <f>INDEX(Проверки!$D:$D, ROW())</f>
        <v/>
      </c>
      <c r="L646" s="3">
        <f>INDEX(Проверки!$G:$G, ROW())</f>
        <v/>
      </c>
    </row>
    <row r="647">
      <c r="A647" s="3" t="n"/>
      <c r="B647" s="4" t="n"/>
      <c r="C647" s="3" t="n"/>
      <c r="D647" s="4" t="n"/>
      <c r="E647" s="3" t="n"/>
      <c r="F647" s="3" t="n"/>
      <c r="G647" s="3" t="n"/>
      <c r="H647" s="4" t="n"/>
      <c r="I647" s="4" t="n"/>
      <c r="J647" s="3">
        <f>INDEX(Проверки!$F:$F, ROW())</f>
        <v/>
      </c>
      <c r="K647" s="3">
        <f>INDEX(Проверки!$D:$D, ROW())</f>
        <v/>
      </c>
      <c r="L647" s="3">
        <f>INDEX(Проверки!$G:$G, ROW())</f>
        <v/>
      </c>
    </row>
    <row r="648">
      <c r="A648" s="3" t="n"/>
      <c r="B648" s="4" t="n"/>
      <c r="C648" s="3" t="n"/>
      <c r="D648" s="4" t="n"/>
      <c r="E648" s="3" t="n"/>
      <c r="F648" s="3" t="n"/>
      <c r="G648" s="3" t="n"/>
      <c r="H648" s="4" t="n"/>
      <c r="I648" s="4" t="n"/>
      <c r="J648" s="3">
        <f>INDEX(Проверки!$F:$F, ROW())</f>
        <v/>
      </c>
      <c r="K648" s="3">
        <f>INDEX(Проверки!$D:$D, ROW())</f>
        <v/>
      </c>
      <c r="L648" s="3">
        <f>INDEX(Проверки!$G:$G, ROW())</f>
        <v/>
      </c>
    </row>
    <row r="649">
      <c r="A649" s="3" t="n"/>
      <c r="B649" s="4" t="n"/>
      <c r="C649" s="3" t="n"/>
      <c r="D649" s="4" t="n"/>
      <c r="E649" s="3" t="n"/>
      <c r="F649" s="3" t="n"/>
      <c r="G649" s="3" t="n"/>
      <c r="H649" s="4" t="n"/>
      <c r="I649" s="4" t="n"/>
      <c r="J649" s="3">
        <f>INDEX(Проверки!$F:$F, ROW())</f>
        <v/>
      </c>
      <c r="K649" s="3">
        <f>INDEX(Проверки!$D:$D, ROW())</f>
        <v/>
      </c>
      <c r="L649" s="3">
        <f>INDEX(Проверки!$G:$G, ROW())</f>
        <v/>
      </c>
    </row>
    <row r="650">
      <c r="A650" s="3" t="n"/>
      <c r="B650" s="4" t="n"/>
      <c r="C650" s="3" t="n"/>
      <c r="D650" s="4" t="n"/>
      <c r="E650" s="3" t="n"/>
      <c r="F650" s="3" t="n"/>
      <c r="G650" s="3" t="n"/>
      <c r="H650" s="4" t="n"/>
      <c r="I650" s="4" t="n"/>
      <c r="J650" s="3">
        <f>INDEX(Проверки!$F:$F, ROW())</f>
        <v/>
      </c>
      <c r="K650" s="3">
        <f>INDEX(Проверки!$D:$D, ROW())</f>
        <v/>
      </c>
      <c r="L650" s="3">
        <f>INDEX(Проверки!$G:$G, ROW())</f>
        <v/>
      </c>
    </row>
    <row r="651">
      <c r="A651" s="3" t="n"/>
      <c r="B651" s="4" t="n"/>
      <c r="C651" s="3" t="n"/>
      <c r="D651" s="4" t="n"/>
      <c r="E651" s="3" t="n"/>
      <c r="F651" s="3" t="n"/>
      <c r="G651" s="3" t="n"/>
      <c r="H651" s="4" t="n"/>
      <c r="I651" s="4" t="n"/>
      <c r="J651" s="3">
        <f>INDEX(Проверки!$F:$F, ROW())</f>
        <v/>
      </c>
      <c r="K651" s="3">
        <f>INDEX(Проверки!$D:$D, ROW())</f>
        <v/>
      </c>
      <c r="L651" s="3">
        <f>INDEX(Проверки!$G:$G, ROW())</f>
        <v/>
      </c>
    </row>
    <row r="652">
      <c r="A652" s="3" t="n"/>
      <c r="B652" s="4" t="n"/>
      <c r="C652" s="3" t="n"/>
      <c r="D652" s="4" t="n"/>
      <c r="E652" s="3" t="n"/>
      <c r="F652" s="3" t="n"/>
      <c r="G652" s="3" t="n"/>
      <c r="H652" s="4" t="n"/>
      <c r="I652" s="4" t="n"/>
      <c r="J652" s="3">
        <f>INDEX(Проверки!$F:$F, ROW())</f>
        <v/>
      </c>
      <c r="K652" s="3">
        <f>INDEX(Проверки!$D:$D, ROW())</f>
        <v/>
      </c>
      <c r="L652" s="3">
        <f>INDEX(Проверки!$G:$G, ROW())</f>
        <v/>
      </c>
    </row>
    <row r="653">
      <c r="A653" s="3" t="n"/>
      <c r="B653" s="4" t="n"/>
      <c r="C653" s="3" t="n"/>
      <c r="D653" s="4" t="n"/>
      <c r="E653" s="3" t="n"/>
      <c r="F653" s="3" t="n"/>
      <c r="G653" s="3" t="n"/>
      <c r="H653" s="4" t="n"/>
      <c r="I653" s="4" t="n"/>
      <c r="J653" s="3">
        <f>INDEX(Проверки!$F:$F, ROW())</f>
        <v/>
      </c>
      <c r="K653" s="3">
        <f>INDEX(Проверки!$D:$D, ROW())</f>
        <v/>
      </c>
      <c r="L653" s="3">
        <f>INDEX(Проверки!$G:$G, ROW())</f>
        <v/>
      </c>
    </row>
    <row r="654">
      <c r="A654" s="3" t="n"/>
      <c r="B654" s="4" t="n"/>
      <c r="C654" s="3" t="n"/>
      <c r="D654" s="4" t="n"/>
      <c r="E654" s="3" t="n"/>
      <c r="F654" s="3" t="n"/>
      <c r="G654" s="3" t="n"/>
      <c r="H654" s="4" t="n"/>
      <c r="I654" s="4" t="n"/>
      <c r="J654" s="3">
        <f>INDEX(Проверки!$F:$F, ROW())</f>
        <v/>
      </c>
      <c r="K654" s="3">
        <f>INDEX(Проверки!$D:$D, ROW())</f>
        <v/>
      </c>
      <c r="L654" s="3">
        <f>INDEX(Проверки!$G:$G, ROW())</f>
        <v/>
      </c>
    </row>
    <row r="655">
      <c r="A655" s="3" t="n"/>
      <c r="B655" s="4" t="n"/>
      <c r="C655" s="3" t="n"/>
      <c r="D655" s="4" t="n"/>
      <c r="E655" s="3" t="n"/>
      <c r="F655" s="3" t="n"/>
      <c r="G655" s="3" t="n"/>
      <c r="H655" s="4" t="n"/>
      <c r="I655" s="4" t="n"/>
      <c r="J655" s="3">
        <f>INDEX(Проверки!$F:$F, ROW())</f>
        <v/>
      </c>
      <c r="K655" s="3">
        <f>INDEX(Проверки!$D:$D, ROW())</f>
        <v/>
      </c>
      <c r="L655" s="3">
        <f>INDEX(Проверки!$G:$G, ROW())</f>
        <v/>
      </c>
    </row>
    <row r="656">
      <c r="A656" s="3" t="n"/>
      <c r="B656" s="4" t="n"/>
      <c r="C656" s="3" t="n"/>
      <c r="D656" s="4" t="n"/>
      <c r="E656" s="3" t="n"/>
      <c r="F656" s="3" t="n"/>
      <c r="G656" s="3" t="n"/>
      <c r="H656" s="4" t="n"/>
      <c r="I656" s="4" t="n"/>
      <c r="J656" s="3">
        <f>INDEX(Проверки!$F:$F, ROW())</f>
        <v/>
      </c>
      <c r="K656" s="3">
        <f>INDEX(Проверки!$D:$D, ROW())</f>
        <v/>
      </c>
      <c r="L656" s="3">
        <f>INDEX(Проверки!$G:$G, ROW())</f>
        <v/>
      </c>
    </row>
    <row r="657">
      <c r="A657" s="3" t="n"/>
      <c r="B657" s="4" t="n"/>
      <c r="C657" s="3" t="n"/>
      <c r="D657" s="4" t="n"/>
      <c r="E657" s="3" t="n"/>
      <c r="F657" s="3" t="n"/>
      <c r="G657" s="3" t="n"/>
      <c r="H657" s="4" t="n"/>
      <c r="I657" s="4" t="n"/>
      <c r="J657" s="3">
        <f>INDEX(Проверки!$F:$F, ROW())</f>
        <v/>
      </c>
      <c r="K657" s="3">
        <f>INDEX(Проверки!$D:$D, ROW())</f>
        <v/>
      </c>
      <c r="L657" s="3">
        <f>INDEX(Проверки!$G:$G, ROW())</f>
        <v/>
      </c>
    </row>
    <row r="658">
      <c r="A658" s="3" t="n"/>
      <c r="B658" s="4" t="n"/>
      <c r="C658" s="3" t="n"/>
      <c r="D658" s="4" t="n"/>
      <c r="E658" s="3" t="n"/>
      <c r="F658" s="3" t="n"/>
      <c r="G658" s="3" t="n"/>
      <c r="H658" s="4" t="n"/>
      <c r="I658" s="4" t="n"/>
      <c r="J658" s="3">
        <f>INDEX(Проверки!$F:$F, ROW())</f>
        <v/>
      </c>
      <c r="K658" s="3">
        <f>INDEX(Проверки!$D:$D, ROW())</f>
        <v/>
      </c>
      <c r="L658" s="3">
        <f>INDEX(Проверки!$G:$G, ROW())</f>
        <v/>
      </c>
    </row>
    <row r="659">
      <c r="A659" s="3" t="n"/>
      <c r="B659" s="4" t="n"/>
      <c r="C659" s="3" t="n"/>
      <c r="D659" s="4" t="n"/>
      <c r="E659" s="3" t="n"/>
      <c r="F659" s="3" t="n"/>
      <c r="G659" s="3" t="n"/>
      <c r="H659" s="4" t="n"/>
      <c r="I659" s="4" t="n"/>
      <c r="J659" s="3">
        <f>INDEX(Проверки!$F:$F, ROW())</f>
        <v/>
      </c>
      <c r="K659" s="3">
        <f>INDEX(Проверки!$D:$D, ROW())</f>
        <v/>
      </c>
      <c r="L659" s="3">
        <f>INDEX(Проверки!$G:$G, ROW())</f>
        <v/>
      </c>
    </row>
    <row r="660">
      <c r="A660" s="3" t="n"/>
      <c r="B660" s="4" t="n"/>
      <c r="C660" s="3" t="n"/>
      <c r="D660" s="4" t="n"/>
      <c r="E660" s="3" t="n"/>
      <c r="F660" s="3" t="n"/>
      <c r="G660" s="3" t="n"/>
      <c r="H660" s="4" t="n"/>
      <c r="I660" s="4" t="n"/>
      <c r="J660" s="3">
        <f>INDEX(Проверки!$F:$F, ROW())</f>
        <v/>
      </c>
      <c r="K660" s="3">
        <f>INDEX(Проверки!$D:$D, ROW())</f>
        <v/>
      </c>
      <c r="L660" s="3">
        <f>INDEX(Проверки!$G:$G, ROW())</f>
        <v/>
      </c>
    </row>
    <row r="661">
      <c r="A661" s="3" t="n"/>
      <c r="B661" s="4" t="n"/>
      <c r="C661" s="3" t="n"/>
      <c r="D661" s="4" t="n"/>
      <c r="E661" s="3" t="n"/>
      <c r="F661" s="3" t="n"/>
      <c r="G661" s="3" t="n"/>
      <c r="H661" s="4" t="n"/>
      <c r="I661" s="4" t="n"/>
      <c r="J661" s="3">
        <f>INDEX(Проверки!$F:$F, ROW())</f>
        <v/>
      </c>
      <c r="K661" s="3">
        <f>INDEX(Проверки!$D:$D, ROW())</f>
        <v/>
      </c>
      <c r="L661" s="3">
        <f>INDEX(Проверки!$G:$G, ROW())</f>
        <v/>
      </c>
    </row>
    <row r="662">
      <c r="A662" s="3" t="n"/>
      <c r="B662" s="4" t="n"/>
      <c r="C662" s="3" t="n"/>
      <c r="D662" s="4" t="n"/>
      <c r="E662" s="3" t="n"/>
      <c r="F662" s="3" t="n"/>
      <c r="G662" s="3" t="n"/>
      <c r="H662" s="4" t="n"/>
      <c r="I662" s="4" t="n"/>
      <c r="J662" s="3">
        <f>INDEX(Проверки!$F:$F, ROW())</f>
        <v/>
      </c>
      <c r="K662" s="3">
        <f>INDEX(Проверки!$D:$D, ROW())</f>
        <v/>
      </c>
      <c r="L662" s="3">
        <f>INDEX(Проверки!$G:$G, ROW())</f>
        <v/>
      </c>
    </row>
    <row r="663">
      <c r="A663" s="3" t="n"/>
      <c r="B663" s="4" t="n"/>
      <c r="C663" s="3" t="n"/>
      <c r="D663" s="4" t="n"/>
      <c r="E663" s="3" t="n"/>
      <c r="F663" s="3" t="n"/>
      <c r="G663" s="3" t="n"/>
      <c r="H663" s="4" t="n"/>
      <c r="I663" s="4" t="n"/>
      <c r="J663" s="3">
        <f>INDEX(Проверки!$F:$F, ROW())</f>
        <v/>
      </c>
      <c r="K663" s="3">
        <f>INDEX(Проверки!$D:$D, ROW())</f>
        <v/>
      </c>
      <c r="L663" s="3">
        <f>INDEX(Проверки!$G:$G, ROW())</f>
        <v/>
      </c>
    </row>
    <row r="664">
      <c r="A664" s="3" t="n"/>
      <c r="B664" s="4" t="n"/>
      <c r="C664" s="3" t="n"/>
      <c r="D664" s="4" t="n"/>
      <c r="E664" s="3" t="n"/>
      <c r="F664" s="3" t="n"/>
      <c r="G664" s="3" t="n"/>
      <c r="H664" s="4" t="n"/>
      <c r="I664" s="4" t="n"/>
      <c r="J664" s="3">
        <f>INDEX(Проверки!$F:$F, ROW())</f>
        <v/>
      </c>
      <c r="K664" s="3">
        <f>INDEX(Проверки!$D:$D, ROW())</f>
        <v/>
      </c>
      <c r="L664" s="3">
        <f>INDEX(Проверки!$G:$G, ROW())</f>
        <v/>
      </c>
    </row>
    <row r="665">
      <c r="A665" s="3" t="n"/>
      <c r="B665" s="4" t="n"/>
      <c r="C665" s="3" t="n"/>
      <c r="D665" s="4" t="n"/>
      <c r="E665" s="3" t="n"/>
      <c r="F665" s="3" t="n"/>
      <c r="G665" s="3" t="n"/>
      <c r="H665" s="4" t="n"/>
      <c r="I665" s="4" t="n"/>
      <c r="J665" s="3">
        <f>INDEX(Проверки!$F:$F, ROW())</f>
        <v/>
      </c>
      <c r="K665" s="3">
        <f>INDEX(Проверки!$D:$D, ROW())</f>
        <v/>
      </c>
      <c r="L665" s="3">
        <f>INDEX(Проверки!$G:$G, ROW())</f>
        <v/>
      </c>
    </row>
    <row r="666">
      <c r="A666" s="3" t="n"/>
      <c r="B666" s="4" t="n"/>
      <c r="C666" s="3" t="n"/>
      <c r="D666" s="4" t="n"/>
      <c r="E666" s="3" t="n"/>
      <c r="F666" s="3" t="n"/>
      <c r="G666" s="3" t="n"/>
      <c r="H666" s="4" t="n"/>
      <c r="I666" s="4" t="n"/>
      <c r="J666" s="3">
        <f>INDEX(Проверки!$F:$F, ROW())</f>
        <v/>
      </c>
      <c r="K666" s="3">
        <f>INDEX(Проверки!$D:$D, ROW())</f>
        <v/>
      </c>
      <c r="L666" s="3">
        <f>INDEX(Проверки!$G:$G, ROW())</f>
        <v/>
      </c>
    </row>
    <row r="667">
      <c r="A667" s="3" t="n"/>
      <c r="B667" s="4" t="n"/>
      <c r="C667" s="3" t="n"/>
      <c r="D667" s="4" t="n"/>
      <c r="E667" s="3" t="n"/>
      <c r="F667" s="3" t="n"/>
      <c r="G667" s="3" t="n"/>
      <c r="H667" s="4" t="n"/>
      <c r="I667" s="4" t="n"/>
      <c r="J667" s="3">
        <f>INDEX(Проверки!$F:$F, ROW())</f>
        <v/>
      </c>
      <c r="K667" s="3">
        <f>INDEX(Проверки!$D:$D, ROW())</f>
        <v/>
      </c>
      <c r="L667" s="3">
        <f>INDEX(Проверки!$G:$G, ROW())</f>
        <v/>
      </c>
    </row>
    <row r="668">
      <c r="A668" s="3" t="n"/>
      <c r="B668" s="4" t="n"/>
      <c r="C668" s="3" t="n"/>
      <c r="D668" s="4" t="n"/>
      <c r="E668" s="3" t="n"/>
      <c r="F668" s="3" t="n"/>
      <c r="G668" s="3" t="n"/>
      <c r="H668" s="4" t="n"/>
      <c r="I668" s="4" t="n"/>
      <c r="J668" s="3">
        <f>INDEX(Проверки!$F:$F, ROW())</f>
        <v/>
      </c>
      <c r="K668" s="3">
        <f>INDEX(Проверки!$D:$D, ROW())</f>
        <v/>
      </c>
      <c r="L668" s="3">
        <f>INDEX(Проверки!$G:$G, ROW())</f>
        <v/>
      </c>
    </row>
    <row r="669">
      <c r="A669" s="3" t="n"/>
      <c r="B669" s="4" t="n"/>
      <c r="C669" s="3" t="n"/>
      <c r="D669" s="4" t="n"/>
      <c r="E669" s="3" t="n"/>
      <c r="F669" s="3" t="n"/>
      <c r="G669" s="3" t="n"/>
      <c r="H669" s="4" t="n"/>
      <c r="I669" s="4" t="n"/>
      <c r="J669" s="3">
        <f>INDEX(Проверки!$F:$F, ROW())</f>
        <v/>
      </c>
      <c r="K669" s="3">
        <f>INDEX(Проверки!$D:$D, ROW())</f>
        <v/>
      </c>
      <c r="L669" s="3">
        <f>INDEX(Проверки!$G:$G, ROW())</f>
        <v/>
      </c>
    </row>
    <row r="670">
      <c r="A670" s="3" t="n"/>
      <c r="B670" s="4" t="n"/>
      <c r="C670" s="3" t="n"/>
      <c r="D670" s="4" t="n"/>
      <c r="E670" s="3" t="n"/>
      <c r="F670" s="3" t="n"/>
      <c r="G670" s="3" t="n"/>
      <c r="H670" s="4" t="n"/>
      <c r="I670" s="4" t="n"/>
      <c r="J670" s="3">
        <f>INDEX(Проверки!$F:$F, ROW())</f>
        <v/>
      </c>
      <c r="K670" s="3">
        <f>INDEX(Проверки!$D:$D, ROW())</f>
        <v/>
      </c>
      <c r="L670" s="3">
        <f>INDEX(Проверки!$G:$G, ROW())</f>
        <v/>
      </c>
    </row>
    <row r="671">
      <c r="A671" s="3" t="n"/>
      <c r="B671" s="4" t="n"/>
      <c r="C671" s="3" t="n"/>
      <c r="D671" s="4" t="n"/>
      <c r="E671" s="3" t="n"/>
      <c r="F671" s="3" t="n"/>
      <c r="G671" s="3" t="n"/>
      <c r="H671" s="4" t="n"/>
      <c r="I671" s="4" t="n"/>
      <c r="J671" s="3">
        <f>INDEX(Проверки!$F:$F, ROW())</f>
        <v/>
      </c>
      <c r="K671" s="3">
        <f>INDEX(Проверки!$D:$D, ROW())</f>
        <v/>
      </c>
      <c r="L671" s="3">
        <f>INDEX(Проверки!$G:$G, ROW())</f>
        <v/>
      </c>
    </row>
    <row r="672">
      <c r="A672" s="3" t="n"/>
      <c r="B672" s="4" t="n"/>
      <c r="C672" s="3" t="n"/>
      <c r="D672" s="4" t="n"/>
      <c r="E672" s="3" t="n"/>
      <c r="F672" s="3" t="n"/>
      <c r="G672" s="3" t="n"/>
      <c r="H672" s="4" t="n"/>
      <c r="I672" s="4" t="n"/>
      <c r="J672" s="3">
        <f>INDEX(Проверки!$F:$F, ROW())</f>
        <v/>
      </c>
      <c r="K672" s="3">
        <f>INDEX(Проверки!$D:$D, ROW())</f>
        <v/>
      </c>
      <c r="L672" s="3">
        <f>INDEX(Проверки!$G:$G, ROW())</f>
        <v/>
      </c>
    </row>
    <row r="673">
      <c r="A673" s="3" t="n"/>
      <c r="B673" s="4" t="n"/>
      <c r="C673" s="3" t="n"/>
      <c r="D673" s="4" t="n"/>
      <c r="E673" s="3" t="n"/>
      <c r="F673" s="3" t="n"/>
      <c r="G673" s="3" t="n"/>
      <c r="H673" s="4" t="n"/>
      <c r="I673" s="4" t="n"/>
      <c r="J673" s="3">
        <f>INDEX(Проверки!$F:$F, ROW())</f>
        <v/>
      </c>
      <c r="K673" s="3">
        <f>INDEX(Проверки!$D:$D, ROW())</f>
        <v/>
      </c>
      <c r="L673" s="3">
        <f>INDEX(Проверки!$G:$G, ROW())</f>
        <v/>
      </c>
    </row>
    <row r="674">
      <c r="A674" s="3" t="n"/>
      <c r="B674" s="4" t="n"/>
      <c r="C674" s="3" t="n"/>
      <c r="D674" s="4" t="n"/>
      <c r="E674" s="3" t="n"/>
      <c r="F674" s="3" t="n"/>
      <c r="G674" s="3" t="n"/>
      <c r="H674" s="4" t="n"/>
      <c r="I674" s="4" t="n"/>
      <c r="J674" s="3">
        <f>INDEX(Проверки!$F:$F, ROW())</f>
        <v/>
      </c>
      <c r="K674" s="3">
        <f>INDEX(Проверки!$D:$D, ROW())</f>
        <v/>
      </c>
      <c r="L674" s="3">
        <f>INDEX(Проверки!$G:$G, ROW())</f>
        <v/>
      </c>
    </row>
    <row r="675">
      <c r="A675" s="3" t="n"/>
      <c r="B675" s="4" t="n"/>
      <c r="C675" s="3" t="n"/>
      <c r="D675" s="4" t="n"/>
      <c r="E675" s="3" t="n"/>
      <c r="F675" s="3" t="n"/>
      <c r="G675" s="3" t="n"/>
      <c r="H675" s="4" t="n"/>
      <c r="I675" s="4" t="n"/>
      <c r="J675" s="3">
        <f>INDEX(Проверки!$F:$F, ROW())</f>
        <v/>
      </c>
      <c r="K675" s="3">
        <f>INDEX(Проверки!$D:$D, ROW())</f>
        <v/>
      </c>
      <c r="L675" s="3">
        <f>INDEX(Проверки!$G:$G, ROW())</f>
        <v/>
      </c>
    </row>
    <row r="676">
      <c r="A676" s="3" t="n"/>
      <c r="B676" s="4" t="n"/>
      <c r="C676" s="3" t="n"/>
      <c r="D676" s="4" t="n"/>
      <c r="E676" s="3" t="n"/>
      <c r="F676" s="3" t="n"/>
      <c r="G676" s="3" t="n"/>
      <c r="H676" s="4" t="n"/>
      <c r="I676" s="4" t="n"/>
      <c r="J676" s="3">
        <f>INDEX(Проверки!$F:$F, ROW())</f>
        <v/>
      </c>
      <c r="K676" s="3">
        <f>INDEX(Проверки!$D:$D, ROW())</f>
        <v/>
      </c>
      <c r="L676" s="3">
        <f>INDEX(Проверки!$G:$G, ROW())</f>
        <v/>
      </c>
    </row>
    <row r="677">
      <c r="A677" s="3" t="n"/>
      <c r="B677" s="4" t="n"/>
      <c r="C677" s="3" t="n"/>
      <c r="D677" s="4" t="n"/>
      <c r="E677" s="3" t="n"/>
      <c r="F677" s="3" t="n"/>
      <c r="G677" s="3" t="n"/>
      <c r="H677" s="4" t="n"/>
      <c r="I677" s="4" t="n"/>
      <c r="J677" s="3">
        <f>INDEX(Проверки!$F:$F, ROW())</f>
        <v/>
      </c>
      <c r="K677" s="3">
        <f>INDEX(Проверки!$D:$D, ROW())</f>
        <v/>
      </c>
      <c r="L677" s="3">
        <f>INDEX(Проверки!$G:$G, ROW())</f>
        <v/>
      </c>
    </row>
    <row r="678">
      <c r="A678" s="3" t="n"/>
      <c r="B678" s="4" t="n"/>
      <c r="C678" s="3" t="n"/>
      <c r="D678" s="4" t="n"/>
      <c r="E678" s="3" t="n"/>
      <c r="F678" s="3" t="n"/>
      <c r="G678" s="3" t="n"/>
      <c r="H678" s="4" t="n"/>
      <c r="I678" s="4" t="n"/>
      <c r="J678" s="3">
        <f>INDEX(Проверки!$F:$F, ROW())</f>
        <v/>
      </c>
      <c r="K678" s="3">
        <f>INDEX(Проверки!$D:$D, ROW())</f>
        <v/>
      </c>
      <c r="L678" s="3">
        <f>INDEX(Проверки!$G:$G, ROW())</f>
        <v/>
      </c>
    </row>
    <row r="679">
      <c r="A679" s="3" t="n"/>
      <c r="B679" s="4" t="n"/>
      <c r="C679" s="3" t="n"/>
      <c r="D679" s="4" t="n"/>
      <c r="E679" s="3" t="n"/>
      <c r="F679" s="3" t="n"/>
      <c r="G679" s="3" t="n"/>
      <c r="H679" s="4" t="n"/>
      <c r="I679" s="4" t="n"/>
      <c r="J679" s="3">
        <f>INDEX(Проверки!$F:$F, ROW())</f>
        <v/>
      </c>
      <c r="K679" s="3">
        <f>INDEX(Проверки!$D:$D, ROW())</f>
        <v/>
      </c>
      <c r="L679" s="3">
        <f>INDEX(Проверки!$G:$G, ROW())</f>
        <v/>
      </c>
    </row>
    <row r="680">
      <c r="A680" s="3" t="n"/>
      <c r="B680" s="4" t="n"/>
      <c r="C680" s="3" t="n"/>
      <c r="D680" s="4" t="n"/>
      <c r="E680" s="3" t="n"/>
      <c r="F680" s="3" t="n"/>
      <c r="G680" s="3" t="n"/>
      <c r="H680" s="4" t="n"/>
      <c r="I680" s="4" t="n"/>
      <c r="J680" s="3">
        <f>INDEX(Проверки!$F:$F, ROW())</f>
        <v/>
      </c>
      <c r="K680" s="3">
        <f>INDEX(Проверки!$D:$D, ROW())</f>
        <v/>
      </c>
      <c r="L680" s="3">
        <f>INDEX(Проверки!$G:$G, ROW())</f>
        <v/>
      </c>
    </row>
    <row r="681">
      <c r="A681" s="3" t="n"/>
      <c r="B681" s="4" t="n"/>
      <c r="C681" s="3" t="n"/>
      <c r="D681" s="4" t="n"/>
      <c r="E681" s="3" t="n"/>
      <c r="F681" s="3" t="n"/>
      <c r="G681" s="3" t="n"/>
      <c r="H681" s="4" t="n"/>
      <c r="I681" s="4" t="n"/>
      <c r="J681" s="3">
        <f>INDEX(Проверки!$F:$F, ROW())</f>
        <v/>
      </c>
      <c r="K681" s="3">
        <f>INDEX(Проверки!$D:$D, ROW())</f>
        <v/>
      </c>
      <c r="L681" s="3">
        <f>INDEX(Проверки!$G:$G, ROW())</f>
        <v/>
      </c>
    </row>
    <row r="682">
      <c r="A682" s="3" t="n"/>
      <c r="B682" s="4" t="n"/>
      <c r="C682" s="3" t="n"/>
      <c r="D682" s="4" t="n"/>
      <c r="E682" s="3" t="n"/>
      <c r="F682" s="3" t="n"/>
      <c r="G682" s="3" t="n"/>
      <c r="H682" s="4" t="n"/>
      <c r="I682" s="4" t="n"/>
      <c r="J682" s="3">
        <f>INDEX(Проверки!$F:$F, ROW())</f>
        <v/>
      </c>
      <c r="K682" s="3">
        <f>INDEX(Проверки!$D:$D, ROW())</f>
        <v/>
      </c>
      <c r="L682" s="3">
        <f>INDEX(Проверки!$G:$G, ROW())</f>
        <v/>
      </c>
    </row>
    <row r="683">
      <c r="A683" s="3" t="n"/>
      <c r="B683" s="4" t="n"/>
      <c r="C683" s="3" t="n"/>
      <c r="D683" s="4" t="n"/>
      <c r="E683" s="3" t="n"/>
      <c r="F683" s="3" t="n"/>
      <c r="G683" s="3" t="n"/>
      <c r="H683" s="4" t="n"/>
      <c r="I683" s="4" t="n"/>
      <c r="J683" s="3">
        <f>INDEX(Проверки!$F:$F, ROW())</f>
        <v/>
      </c>
      <c r="K683" s="3">
        <f>INDEX(Проверки!$D:$D, ROW())</f>
        <v/>
      </c>
      <c r="L683" s="3">
        <f>INDEX(Проверки!$G:$G, ROW())</f>
        <v/>
      </c>
    </row>
    <row r="684">
      <c r="A684" s="3" t="n"/>
      <c r="B684" s="4" t="n"/>
      <c r="C684" s="3" t="n"/>
      <c r="D684" s="4" t="n"/>
      <c r="E684" s="3" t="n"/>
      <c r="F684" s="3" t="n"/>
      <c r="G684" s="3" t="n"/>
      <c r="H684" s="4" t="n"/>
      <c r="I684" s="4" t="n"/>
      <c r="J684" s="3">
        <f>INDEX(Проверки!$F:$F, ROW())</f>
        <v/>
      </c>
      <c r="K684" s="3">
        <f>INDEX(Проверки!$D:$D, ROW())</f>
        <v/>
      </c>
      <c r="L684" s="3">
        <f>INDEX(Проверки!$G:$G, ROW())</f>
        <v/>
      </c>
    </row>
    <row r="685">
      <c r="A685" s="3" t="n"/>
      <c r="B685" s="4" t="n"/>
      <c r="C685" s="3" t="n"/>
      <c r="D685" s="4" t="n"/>
      <c r="E685" s="3" t="n"/>
      <c r="F685" s="3" t="n"/>
      <c r="G685" s="3" t="n"/>
      <c r="H685" s="4" t="n"/>
      <c r="I685" s="4" t="n"/>
      <c r="J685" s="3">
        <f>INDEX(Проверки!$F:$F, ROW())</f>
        <v/>
      </c>
      <c r="K685" s="3">
        <f>INDEX(Проверки!$D:$D, ROW())</f>
        <v/>
      </c>
      <c r="L685" s="3">
        <f>INDEX(Проверки!$G:$G, ROW())</f>
        <v/>
      </c>
    </row>
    <row r="686">
      <c r="A686" s="3" t="n"/>
      <c r="B686" s="4" t="n"/>
      <c r="C686" s="3" t="n"/>
      <c r="D686" s="4" t="n"/>
      <c r="E686" s="3" t="n"/>
      <c r="F686" s="3" t="n"/>
      <c r="G686" s="3" t="n"/>
      <c r="H686" s="4" t="n"/>
      <c r="I686" s="4" t="n"/>
      <c r="J686" s="3">
        <f>INDEX(Проверки!$F:$F, ROW())</f>
        <v/>
      </c>
      <c r="K686" s="3">
        <f>INDEX(Проверки!$D:$D, ROW())</f>
        <v/>
      </c>
      <c r="L686" s="3">
        <f>INDEX(Проверки!$G:$G, ROW())</f>
        <v/>
      </c>
    </row>
    <row r="687">
      <c r="A687" s="3" t="n"/>
      <c r="B687" s="4" t="n"/>
      <c r="C687" s="3" t="n"/>
      <c r="D687" s="4" t="n"/>
      <c r="E687" s="3" t="n"/>
      <c r="F687" s="3" t="n"/>
      <c r="G687" s="3" t="n"/>
      <c r="H687" s="4" t="n"/>
      <c r="I687" s="4" t="n"/>
      <c r="J687" s="3">
        <f>INDEX(Проверки!$F:$F, ROW())</f>
        <v/>
      </c>
      <c r="K687" s="3">
        <f>INDEX(Проверки!$D:$D, ROW())</f>
        <v/>
      </c>
      <c r="L687" s="3">
        <f>INDEX(Проверки!$G:$G, ROW())</f>
        <v/>
      </c>
    </row>
    <row r="688">
      <c r="A688" s="3" t="n"/>
      <c r="B688" s="4" t="n"/>
      <c r="C688" s="3" t="n"/>
      <c r="D688" s="4" t="n"/>
      <c r="E688" s="3" t="n"/>
      <c r="F688" s="3" t="n"/>
      <c r="G688" s="3" t="n"/>
      <c r="H688" s="4" t="n"/>
      <c r="I688" s="4" t="n"/>
      <c r="J688" s="3">
        <f>INDEX(Проверки!$F:$F, ROW())</f>
        <v/>
      </c>
      <c r="K688" s="3">
        <f>INDEX(Проверки!$D:$D, ROW())</f>
        <v/>
      </c>
      <c r="L688" s="3">
        <f>INDEX(Проверки!$G:$G, ROW())</f>
        <v/>
      </c>
    </row>
    <row r="689">
      <c r="A689" s="3" t="n"/>
      <c r="B689" s="4" t="n"/>
      <c r="C689" s="3" t="n"/>
      <c r="D689" s="4" t="n"/>
      <c r="E689" s="3" t="n"/>
      <c r="F689" s="3" t="n"/>
      <c r="G689" s="3" t="n"/>
      <c r="H689" s="4" t="n"/>
      <c r="I689" s="4" t="n"/>
      <c r="J689" s="3">
        <f>INDEX(Проверки!$F:$F, ROW())</f>
        <v/>
      </c>
      <c r="K689" s="3">
        <f>INDEX(Проверки!$D:$D, ROW())</f>
        <v/>
      </c>
      <c r="L689" s="3">
        <f>INDEX(Проверки!$G:$G, ROW())</f>
        <v/>
      </c>
    </row>
    <row r="690">
      <c r="A690" s="3" t="n"/>
      <c r="B690" s="4" t="n"/>
      <c r="C690" s="3" t="n"/>
      <c r="D690" s="4" t="n"/>
      <c r="E690" s="3" t="n"/>
      <c r="F690" s="3" t="n"/>
      <c r="G690" s="3" t="n"/>
      <c r="H690" s="4" t="n"/>
      <c r="I690" s="4" t="n"/>
      <c r="J690" s="3">
        <f>INDEX(Проверки!$F:$F, ROW())</f>
        <v/>
      </c>
      <c r="K690" s="3">
        <f>INDEX(Проверки!$D:$D, ROW())</f>
        <v/>
      </c>
      <c r="L690" s="3">
        <f>INDEX(Проверки!$G:$G, ROW())</f>
        <v/>
      </c>
    </row>
    <row r="691">
      <c r="A691" s="3" t="n"/>
      <c r="B691" s="4" t="n"/>
      <c r="C691" s="3" t="n"/>
      <c r="D691" s="4" t="n"/>
      <c r="E691" s="3" t="n"/>
      <c r="F691" s="3" t="n"/>
      <c r="G691" s="3" t="n"/>
      <c r="H691" s="4" t="n"/>
      <c r="I691" s="4" t="n"/>
      <c r="J691" s="3">
        <f>INDEX(Проверки!$F:$F, ROW())</f>
        <v/>
      </c>
      <c r="K691" s="3">
        <f>INDEX(Проверки!$D:$D, ROW())</f>
        <v/>
      </c>
      <c r="L691" s="3">
        <f>INDEX(Проверки!$G:$G, ROW())</f>
        <v/>
      </c>
    </row>
    <row r="692">
      <c r="A692" s="3" t="n"/>
      <c r="B692" s="4" t="n"/>
      <c r="C692" s="3" t="n"/>
      <c r="D692" s="4" t="n"/>
      <c r="E692" s="3" t="n"/>
      <c r="F692" s="3" t="n"/>
      <c r="G692" s="3" t="n"/>
      <c r="H692" s="4" t="n"/>
      <c r="I692" s="4" t="n"/>
      <c r="J692" s="3">
        <f>INDEX(Проверки!$F:$F, ROW())</f>
        <v/>
      </c>
      <c r="K692" s="3">
        <f>INDEX(Проверки!$D:$D, ROW())</f>
        <v/>
      </c>
      <c r="L692" s="3">
        <f>INDEX(Проверки!$G:$G, ROW())</f>
        <v/>
      </c>
    </row>
    <row r="693">
      <c r="A693" s="3" t="n"/>
      <c r="B693" s="4" t="n"/>
      <c r="C693" s="3" t="n"/>
      <c r="D693" s="4" t="n"/>
      <c r="E693" s="3" t="n"/>
      <c r="F693" s="3" t="n"/>
      <c r="G693" s="3" t="n"/>
      <c r="H693" s="4" t="n"/>
      <c r="I693" s="4" t="n"/>
      <c r="J693" s="3">
        <f>INDEX(Проверки!$F:$F, ROW())</f>
        <v/>
      </c>
      <c r="K693" s="3">
        <f>INDEX(Проверки!$D:$D, ROW())</f>
        <v/>
      </c>
      <c r="L693" s="3">
        <f>INDEX(Проверки!$G:$G, ROW())</f>
        <v/>
      </c>
    </row>
    <row r="694">
      <c r="A694" s="3" t="n"/>
      <c r="B694" s="4" t="n"/>
      <c r="C694" s="3" t="n"/>
      <c r="D694" s="4" t="n"/>
      <c r="E694" s="3" t="n"/>
      <c r="F694" s="3" t="n"/>
      <c r="G694" s="3" t="n"/>
      <c r="H694" s="4" t="n"/>
      <c r="I694" s="4" t="n"/>
      <c r="J694" s="3">
        <f>INDEX(Проверки!$F:$F, ROW())</f>
        <v/>
      </c>
      <c r="K694" s="3">
        <f>INDEX(Проверки!$D:$D, ROW())</f>
        <v/>
      </c>
      <c r="L694" s="3">
        <f>INDEX(Проверки!$G:$G, ROW())</f>
        <v/>
      </c>
    </row>
    <row r="695">
      <c r="A695" s="3" t="n"/>
      <c r="B695" s="4" t="n"/>
      <c r="C695" s="3" t="n"/>
      <c r="D695" s="4" t="n"/>
      <c r="E695" s="3" t="n"/>
      <c r="F695" s="3" t="n"/>
      <c r="G695" s="3" t="n"/>
      <c r="H695" s="4" t="n"/>
      <c r="I695" s="4" t="n"/>
      <c r="J695" s="3">
        <f>INDEX(Проверки!$F:$F, ROW())</f>
        <v/>
      </c>
      <c r="K695" s="3">
        <f>INDEX(Проверки!$D:$D, ROW())</f>
        <v/>
      </c>
      <c r="L695" s="3">
        <f>INDEX(Проверки!$G:$G, ROW())</f>
        <v/>
      </c>
    </row>
    <row r="696">
      <c r="A696" s="3" t="n"/>
      <c r="B696" s="4" t="n"/>
      <c r="C696" s="3" t="n"/>
      <c r="D696" s="4" t="n"/>
      <c r="E696" s="3" t="n"/>
      <c r="F696" s="3" t="n"/>
      <c r="G696" s="3" t="n"/>
      <c r="H696" s="4" t="n"/>
      <c r="I696" s="4" t="n"/>
      <c r="J696" s="3">
        <f>INDEX(Проверки!$F:$F, ROW())</f>
        <v/>
      </c>
      <c r="K696" s="3">
        <f>INDEX(Проверки!$D:$D, ROW())</f>
        <v/>
      </c>
      <c r="L696" s="3">
        <f>INDEX(Проверки!$G:$G, ROW())</f>
        <v/>
      </c>
    </row>
    <row r="697">
      <c r="A697" s="3" t="n"/>
      <c r="B697" s="4" t="n"/>
      <c r="C697" s="3" t="n"/>
      <c r="D697" s="4" t="n"/>
      <c r="E697" s="3" t="n"/>
      <c r="F697" s="3" t="n"/>
      <c r="G697" s="3" t="n"/>
      <c r="H697" s="4" t="n"/>
      <c r="I697" s="4" t="n"/>
      <c r="J697" s="3">
        <f>INDEX(Проверки!$F:$F, ROW())</f>
        <v/>
      </c>
      <c r="K697" s="3">
        <f>INDEX(Проверки!$D:$D, ROW())</f>
        <v/>
      </c>
      <c r="L697" s="3">
        <f>INDEX(Проверки!$G:$G, ROW())</f>
        <v/>
      </c>
    </row>
    <row r="698">
      <c r="A698" s="3" t="n"/>
      <c r="B698" s="4" t="n"/>
      <c r="C698" s="3" t="n"/>
      <c r="D698" s="4" t="n"/>
      <c r="E698" s="3" t="n"/>
      <c r="F698" s="3" t="n"/>
      <c r="G698" s="3" t="n"/>
      <c r="H698" s="4" t="n"/>
      <c r="I698" s="4" t="n"/>
      <c r="J698" s="3">
        <f>INDEX(Проверки!$F:$F, ROW())</f>
        <v/>
      </c>
      <c r="K698" s="3">
        <f>INDEX(Проверки!$D:$D, ROW())</f>
        <v/>
      </c>
      <c r="L698" s="3">
        <f>INDEX(Проверки!$G:$G, ROW())</f>
        <v/>
      </c>
    </row>
    <row r="699">
      <c r="A699" s="3" t="n"/>
      <c r="B699" s="4" t="n"/>
      <c r="C699" s="3" t="n"/>
      <c r="D699" s="4" t="n"/>
      <c r="E699" s="3" t="n"/>
      <c r="F699" s="3" t="n"/>
      <c r="G699" s="3" t="n"/>
      <c r="H699" s="4" t="n"/>
      <c r="I699" s="4" t="n"/>
      <c r="J699" s="3">
        <f>INDEX(Проверки!$F:$F, ROW())</f>
        <v/>
      </c>
      <c r="K699" s="3">
        <f>INDEX(Проверки!$D:$D, ROW())</f>
        <v/>
      </c>
      <c r="L699" s="3">
        <f>INDEX(Проверки!$G:$G, ROW())</f>
        <v/>
      </c>
    </row>
    <row r="700">
      <c r="A700" s="3" t="n"/>
      <c r="B700" s="4" t="n"/>
      <c r="C700" s="3" t="n"/>
      <c r="D700" s="4" t="n"/>
      <c r="E700" s="3" t="n"/>
      <c r="F700" s="3" t="n"/>
      <c r="G700" s="3" t="n"/>
      <c r="H700" s="4" t="n"/>
      <c r="I700" s="4" t="n"/>
      <c r="J700" s="3">
        <f>INDEX(Проверки!$F:$F, ROW())</f>
        <v/>
      </c>
      <c r="K700" s="3">
        <f>INDEX(Проверки!$D:$D, ROW())</f>
        <v/>
      </c>
      <c r="L700" s="3">
        <f>INDEX(Проверки!$G:$G, ROW())</f>
        <v/>
      </c>
    </row>
    <row r="701">
      <c r="A701" s="3" t="n"/>
      <c r="B701" s="4" t="n"/>
      <c r="C701" s="3" t="n"/>
      <c r="D701" s="4" t="n"/>
      <c r="E701" s="3" t="n"/>
      <c r="F701" s="3" t="n"/>
      <c r="G701" s="3" t="n"/>
      <c r="H701" s="4" t="n"/>
      <c r="I701" s="4" t="n"/>
      <c r="J701" s="3">
        <f>INDEX(Проверки!$F:$F, ROW())</f>
        <v/>
      </c>
      <c r="K701" s="3">
        <f>INDEX(Проверки!$D:$D, ROW())</f>
        <v/>
      </c>
      <c r="L701" s="3">
        <f>INDEX(Проверки!$G:$G, ROW())</f>
        <v/>
      </c>
    </row>
    <row r="702">
      <c r="A702" s="3" t="n"/>
      <c r="B702" s="4" t="n"/>
      <c r="C702" s="3" t="n"/>
      <c r="D702" s="4" t="n"/>
      <c r="E702" s="3" t="n"/>
      <c r="F702" s="3" t="n"/>
      <c r="G702" s="3" t="n"/>
      <c r="H702" s="4" t="n"/>
      <c r="I702" s="4" t="n"/>
      <c r="J702" s="3">
        <f>INDEX(Проверки!$F:$F, ROW())</f>
        <v/>
      </c>
      <c r="K702" s="3">
        <f>INDEX(Проверки!$D:$D, ROW())</f>
        <v/>
      </c>
      <c r="L702" s="3">
        <f>INDEX(Проверки!$G:$G, ROW())</f>
        <v/>
      </c>
    </row>
    <row r="703">
      <c r="A703" s="3" t="n"/>
      <c r="B703" s="4" t="n"/>
      <c r="C703" s="3" t="n"/>
      <c r="D703" s="4" t="n"/>
      <c r="E703" s="3" t="n"/>
      <c r="F703" s="3" t="n"/>
      <c r="G703" s="3" t="n"/>
      <c r="H703" s="4" t="n"/>
      <c r="I703" s="4" t="n"/>
      <c r="J703" s="3">
        <f>INDEX(Проверки!$F:$F, ROW())</f>
        <v/>
      </c>
      <c r="K703" s="3">
        <f>INDEX(Проверки!$D:$D, ROW())</f>
        <v/>
      </c>
      <c r="L703" s="3">
        <f>INDEX(Проверки!$G:$G, ROW())</f>
        <v/>
      </c>
    </row>
    <row r="704">
      <c r="A704" s="3" t="n"/>
      <c r="B704" s="4" t="n"/>
      <c r="C704" s="3" t="n"/>
      <c r="D704" s="4" t="n"/>
      <c r="E704" s="3" t="n"/>
      <c r="F704" s="3" t="n"/>
      <c r="G704" s="3" t="n"/>
      <c r="H704" s="4" t="n"/>
      <c r="I704" s="4" t="n"/>
      <c r="J704" s="3">
        <f>INDEX(Проверки!$F:$F, ROW())</f>
        <v/>
      </c>
      <c r="K704" s="3">
        <f>INDEX(Проверки!$D:$D, ROW())</f>
        <v/>
      </c>
      <c r="L704" s="3">
        <f>INDEX(Проверки!$G:$G, ROW())</f>
        <v/>
      </c>
    </row>
    <row r="705">
      <c r="A705" s="3" t="n"/>
      <c r="B705" s="4" t="n"/>
      <c r="C705" s="3" t="n"/>
      <c r="D705" s="4" t="n"/>
      <c r="E705" s="3" t="n"/>
      <c r="F705" s="3" t="n"/>
      <c r="G705" s="3" t="n"/>
      <c r="H705" s="4" t="n"/>
      <c r="I705" s="4" t="n"/>
      <c r="J705" s="3">
        <f>INDEX(Проверки!$F:$F, ROW())</f>
        <v/>
      </c>
      <c r="K705" s="3">
        <f>INDEX(Проверки!$D:$D, ROW())</f>
        <v/>
      </c>
      <c r="L705" s="3">
        <f>INDEX(Проверки!$G:$G, ROW())</f>
        <v/>
      </c>
    </row>
    <row r="706">
      <c r="A706" s="3" t="n"/>
      <c r="B706" s="4" t="n"/>
      <c r="C706" s="3" t="n"/>
      <c r="D706" s="4" t="n"/>
      <c r="E706" s="3" t="n"/>
      <c r="F706" s="3" t="n"/>
      <c r="G706" s="3" t="n"/>
      <c r="H706" s="4" t="n"/>
      <c r="I706" s="4" t="n"/>
      <c r="J706" s="3">
        <f>INDEX(Проверки!$F:$F, ROW())</f>
        <v/>
      </c>
      <c r="K706" s="3">
        <f>INDEX(Проверки!$D:$D, ROW())</f>
        <v/>
      </c>
      <c r="L706" s="3">
        <f>INDEX(Проверки!$G:$G, ROW())</f>
        <v/>
      </c>
    </row>
    <row r="707">
      <c r="A707" s="3" t="n"/>
      <c r="B707" s="4" t="n"/>
      <c r="C707" s="3" t="n"/>
      <c r="D707" s="4" t="n"/>
      <c r="E707" s="3" t="n"/>
      <c r="F707" s="3" t="n"/>
      <c r="G707" s="3" t="n"/>
      <c r="H707" s="4" t="n"/>
      <c r="I707" s="4" t="n"/>
      <c r="J707" s="3">
        <f>INDEX(Проверки!$F:$F, ROW())</f>
        <v/>
      </c>
      <c r="K707" s="3">
        <f>INDEX(Проверки!$D:$D, ROW())</f>
        <v/>
      </c>
      <c r="L707" s="3">
        <f>INDEX(Проверки!$G:$G, ROW())</f>
        <v/>
      </c>
    </row>
    <row r="708">
      <c r="A708" s="3" t="n"/>
      <c r="B708" s="4" t="n"/>
      <c r="C708" s="3" t="n"/>
      <c r="D708" s="4" t="n"/>
      <c r="E708" s="3" t="n"/>
      <c r="F708" s="3" t="n"/>
      <c r="G708" s="3" t="n"/>
      <c r="H708" s="4" t="n"/>
      <c r="I708" s="4" t="n"/>
      <c r="J708" s="3">
        <f>INDEX(Проверки!$F:$F, ROW())</f>
        <v/>
      </c>
      <c r="K708" s="3">
        <f>INDEX(Проверки!$D:$D, ROW())</f>
        <v/>
      </c>
      <c r="L708" s="3">
        <f>INDEX(Проверки!$G:$G, ROW())</f>
        <v/>
      </c>
    </row>
    <row r="709">
      <c r="A709" s="3" t="n"/>
      <c r="B709" s="4" t="n"/>
      <c r="C709" s="3" t="n"/>
      <c r="D709" s="4" t="n"/>
      <c r="E709" s="3" t="n"/>
      <c r="F709" s="3" t="n"/>
      <c r="G709" s="3" t="n"/>
      <c r="H709" s="4" t="n"/>
      <c r="I709" s="4" t="n"/>
      <c r="J709" s="3">
        <f>INDEX(Проверки!$F:$F, ROW())</f>
        <v/>
      </c>
      <c r="K709" s="3">
        <f>INDEX(Проверки!$D:$D, ROW())</f>
        <v/>
      </c>
      <c r="L709" s="3">
        <f>INDEX(Проверки!$G:$G, ROW())</f>
        <v/>
      </c>
    </row>
    <row r="710">
      <c r="A710" s="3" t="n"/>
      <c r="B710" s="4" t="n"/>
      <c r="C710" s="3" t="n"/>
      <c r="D710" s="4" t="n"/>
      <c r="E710" s="3" t="n"/>
      <c r="F710" s="3" t="n"/>
      <c r="G710" s="3" t="n"/>
      <c r="H710" s="4" t="n"/>
      <c r="I710" s="4" t="n"/>
      <c r="J710" s="3">
        <f>INDEX(Проверки!$F:$F, ROW())</f>
        <v/>
      </c>
      <c r="K710" s="3">
        <f>INDEX(Проверки!$D:$D, ROW())</f>
        <v/>
      </c>
      <c r="L710" s="3">
        <f>INDEX(Проверки!$G:$G, ROW())</f>
        <v/>
      </c>
    </row>
    <row r="711">
      <c r="A711" s="3" t="n"/>
      <c r="B711" s="4" t="n"/>
      <c r="C711" s="3" t="n"/>
      <c r="D711" s="4" t="n"/>
      <c r="E711" s="3" t="n"/>
      <c r="F711" s="3" t="n"/>
      <c r="G711" s="3" t="n"/>
      <c r="H711" s="4" t="n"/>
      <c r="I711" s="4" t="n"/>
      <c r="J711" s="3">
        <f>INDEX(Проверки!$F:$F, ROW())</f>
        <v/>
      </c>
      <c r="K711" s="3">
        <f>INDEX(Проверки!$D:$D, ROW())</f>
        <v/>
      </c>
      <c r="L711" s="3">
        <f>INDEX(Проверки!$G:$G, ROW())</f>
        <v/>
      </c>
    </row>
    <row r="712">
      <c r="A712" s="3" t="n"/>
      <c r="B712" s="4" t="n"/>
      <c r="C712" s="3" t="n"/>
      <c r="D712" s="4" t="n"/>
      <c r="E712" s="3" t="n"/>
      <c r="F712" s="3" t="n"/>
      <c r="G712" s="3" t="n"/>
      <c r="H712" s="4" t="n"/>
      <c r="I712" s="4" t="n"/>
      <c r="J712" s="3">
        <f>INDEX(Проверки!$F:$F, ROW())</f>
        <v/>
      </c>
      <c r="K712" s="3">
        <f>INDEX(Проверки!$D:$D, ROW())</f>
        <v/>
      </c>
      <c r="L712" s="3">
        <f>INDEX(Проверки!$G:$G, ROW())</f>
        <v/>
      </c>
    </row>
    <row r="713">
      <c r="A713" s="3" t="n"/>
      <c r="B713" s="4" t="n"/>
      <c r="C713" s="3" t="n"/>
      <c r="D713" s="4" t="n"/>
      <c r="E713" s="3" t="n"/>
      <c r="F713" s="3" t="n"/>
      <c r="G713" s="3" t="n"/>
      <c r="H713" s="4" t="n"/>
      <c r="I713" s="4" t="n"/>
      <c r="J713" s="3">
        <f>INDEX(Проверки!$F:$F, ROW())</f>
        <v/>
      </c>
      <c r="K713" s="3">
        <f>INDEX(Проверки!$D:$D, ROW())</f>
        <v/>
      </c>
      <c r="L713" s="3">
        <f>INDEX(Проверки!$G:$G, ROW())</f>
        <v/>
      </c>
    </row>
    <row r="714">
      <c r="A714" s="3" t="n"/>
      <c r="B714" s="4" t="n"/>
      <c r="C714" s="3" t="n"/>
      <c r="D714" s="4" t="n"/>
      <c r="E714" s="3" t="n"/>
      <c r="F714" s="3" t="n"/>
      <c r="G714" s="3" t="n"/>
      <c r="H714" s="4" t="n"/>
      <c r="I714" s="4" t="n"/>
      <c r="J714" s="3">
        <f>INDEX(Проверки!$F:$F, ROW())</f>
        <v/>
      </c>
      <c r="K714" s="3">
        <f>INDEX(Проверки!$D:$D, ROW())</f>
        <v/>
      </c>
      <c r="L714" s="3">
        <f>INDEX(Проверки!$G:$G, ROW())</f>
        <v/>
      </c>
    </row>
    <row r="715">
      <c r="A715" s="3" t="n"/>
      <c r="B715" s="4" t="n"/>
      <c r="C715" s="3" t="n"/>
      <c r="D715" s="4" t="n"/>
      <c r="E715" s="3" t="n"/>
      <c r="F715" s="3" t="n"/>
      <c r="G715" s="3" t="n"/>
      <c r="H715" s="4" t="n"/>
      <c r="I715" s="4" t="n"/>
      <c r="J715" s="3">
        <f>INDEX(Проверки!$F:$F, ROW())</f>
        <v/>
      </c>
      <c r="K715" s="3">
        <f>INDEX(Проверки!$D:$D, ROW())</f>
        <v/>
      </c>
      <c r="L715" s="3">
        <f>INDEX(Проверки!$G:$G, ROW())</f>
        <v/>
      </c>
    </row>
    <row r="716">
      <c r="A716" s="3" t="n"/>
      <c r="B716" s="4" t="n"/>
      <c r="C716" s="3" t="n"/>
      <c r="D716" s="4" t="n"/>
      <c r="E716" s="3" t="n"/>
      <c r="F716" s="3" t="n"/>
      <c r="G716" s="3" t="n"/>
      <c r="H716" s="4" t="n"/>
      <c r="I716" s="4" t="n"/>
      <c r="J716" s="3">
        <f>INDEX(Проверки!$F:$F, ROW())</f>
        <v/>
      </c>
      <c r="K716" s="3">
        <f>INDEX(Проверки!$D:$D, ROW())</f>
        <v/>
      </c>
      <c r="L716" s="3">
        <f>INDEX(Проверки!$G:$G, ROW())</f>
        <v/>
      </c>
    </row>
    <row r="717">
      <c r="A717" s="3" t="n"/>
      <c r="B717" s="4" t="n"/>
      <c r="C717" s="3" t="n"/>
      <c r="D717" s="4" t="n"/>
      <c r="E717" s="3" t="n"/>
      <c r="F717" s="3" t="n"/>
      <c r="G717" s="3" t="n"/>
      <c r="H717" s="4" t="n"/>
      <c r="I717" s="4" t="n"/>
      <c r="J717" s="3">
        <f>INDEX(Проверки!$F:$F, ROW())</f>
        <v/>
      </c>
      <c r="K717" s="3">
        <f>INDEX(Проверки!$D:$D, ROW())</f>
        <v/>
      </c>
      <c r="L717" s="3">
        <f>INDEX(Проверки!$G:$G, ROW())</f>
        <v/>
      </c>
    </row>
    <row r="718">
      <c r="A718" s="3" t="n"/>
      <c r="B718" s="4" t="n"/>
      <c r="C718" s="3" t="n"/>
      <c r="D718" s="4" t="n"/>
      <c r="E718" s="3" t="n"/>
      <c r="F718" s="3" t="n"/>
      <c r="G718" s="3" t="n"/>
      <c r="H718" s="4" t="n"/>
      <c r="I718" s="4" t="n"/>
      <c r="J718" s="3">
        <f>INDEX(Проверки!$F:$F, ROW())</f>
        <v/>
      </c>
      <c r="K718" s="3">
        <f>INDEX(Проверки!$D:$D, ROW())</f>
        <v/>
      </c>
      <c r="L718" s="3">
        <f>INDEX(Проверки!$G:$G, ROW())</f>
        <v/>
      </c>
    </row>
    <row r="719">
      <c r="A719" s="3" t="n"/>
      <c r="B719" s="4" t="n"/>
      <c r="C719" s="3" t="n"/>
      <c r="D719" s="4" t="n"/>
      <c r="E719" s="3" t="n"/>
      <c r="F719" s="3" t="n"/>
      <c r="G719" s="3" t="n"/>
      <c r="H719" s="4" t="n"/>
      <c r="I719" s="4" t="n"/>
      <c r="J719" s="3">
        <f>INDEX(Проверки!$F:$F, ROW())</f>
        <v/>
      </c>
      <c r="K719" s="3">
        <f>INDEX(Проверки!$D:$D, ROW())</f>
        <v/>
      </c>
      <c r="L719" s="3">
        <f>INDEX(Проверки!$G:$G, ROW())</f>
        <v/>
      </c>
    </row>
    <row r="720">
      <c r="A720" s="3" t="n"/>
      <c r="B720" s="4" t="n"/>
      <c r="C720" s="3" t="n"/>
      <c r="D720" s="4" t="n"/>
      <c r="E720" s="3" t="n"/>
      <c r="F720" s="3" t="n"/>
      <c r="G720" s="3" t="n"/>
      <c r="H720" s="4" t="n"/>
      <c r="I720" s="4" t="n"/>
      <c r="J720" s="3">
        <f>INDEX(Проверки!$F:$F, ROW())</f>
        <v/>
      </c>
      <c r="K720" s="3">
        <f>INDEX(Проверки!$D:$D, ROW())</f>
        <v/>
      </c>
      <c r="L720" s="3">
        <f>INDEX(Проверки!$G:$G, ROW())</f>
        <v/>
      </c>
    </row>
    <row r="721">
      <c r="A721" s="3" t="n"/>
      <c r="B721" s="4" t="n"/>
      <c r="C721" s="3" t="n"/>
      <c r="D721" s="4" t="n"/>
      <c r="E721" s="3" t="n"/>
      <c r="F721" s="3" t="n"/>
      <c r="G721" s="3" t="n"/>
      <c r="H721" s="4" t="n"/>
      <c r="I721" s="4" t="n"/>
      <c r="J721" s="3">
        <f>INDEX(Проверки!$F:$F, ROW())</f>
        <v/>
      </c>
      <c r="K721" s="3">
        <f>INDEX(Проверки!$D:$D, ROW())</f>
        <v/>
      </c>
      <c r="L721" s="3">
        <f>INDEX(Проверки!$G:$G, ROW())</f>
        <v/>
      </c>
    </row>
    <row r="722">
      <c r="A722" s="3" t="n"/>
      <c r="B722" s="4" t="n"/>
      <c r="C722" s="3" t="n"/>
      <c r="D722" s="4" t="n"/>
      <c r="E722" s="3" t="n"/>
      <c r="F722" s="3" t="n"/>
      <c r="G722" s="3" t="n"/>
      <c r="H722" s="4" t="n"/>
      <c r="I722" s="4" t="n"/>
      <c r="J722" s="3">
        <f>INDEX(Проверки!$F:$F, ROW())</f>
        <v/>
      </c>
      <c r="K722" s="3">
        <f>INDEX(Проверки!$D:$D, ROW())</f>
        <v/>
      </c>
      <c r="L722" s="3">
        <f>INDEX(Проверки!$G:$G, ROW())</f>
        <v/>
      </c>
    </row>
    <row r="723">
      <c r="A723" s="3" t="n"/>
      <c r="B723" s="4" t="n"/>
      <c r="C723" s="3" t="n"/>
      <c r="D723" s="4" t="n"/>
      <c r="E723" s="3" t="n"/>
      <c r="F723" s="3" t="n"/>
      <c r="G723" s="3" t="n"/>
      <c r="H723" s="4" t="n"/>
      <c r="I723" s="4" t="n"/>
      <c r="J723" s="3">
        <f>INDEX(Проверки!$F:$F, ROW())</f>
        <v/>
      </c>
      <c r="K723" s="3">
        <f>INDEX(Проверки!$D:$D, ROW())</f>
        <v/>
      </c>
      <c r="L723" s="3">
        <f>INDEX(Проверки!$G:$G, ROW())</f>
        <v/>
      </c>
    </row>
    <row r="724">
      <c r="A724" s="3" t="n"/>
      <c r="B724" s="4" t="n"/>
      <c r="C724" s="3" t="n"/>
      <c r="D724" s="4" t="n"/>
      <c r="E724" s="3" t="n"/>
      <c r="F724" s="3" t="n"/>
      <c r="G724" s="3" t="n"/>
      <c r="H724" s="4" t="n"/>
      <c r="I724" s="4" t="n"/>
      <c r="J724" s="3">
        <f>INDEX(Проверки!$F:$F, ROW())</f>
        <v/>
      </c>
      <c r="K724" s="3">
        <f>INDEX(Проверки!$D:$D, ROW())</f>
        <v/>
      </c>
      <c r="L724" s="3">
        <f>INDEX(Проверки!$G:$G, ROW())</f>
        <v/>
      </c>
    </row>
    <row r="725">
      <c r="A725" s="3" t="n"/>
      <c r="B725" s="4" t="n"/>
      <c r="C725" s="3" t="n"/>
      <c r="D725" s="4" t="n"/>
      <c r="E725" s="3" t="n"/>
      <c r="F725" s="3" t="n"/>
      <c r="G725" s="3" t="n"/>
      <c r="H725" s="4" t="n"/>
      <c r="I725" s="4" t="n"/>
      <c r="J725" s="3">
        <f>INDEX(Проверки!$F:$F, ROW())</f>
        <v/>
      </c>
      <c r="K725" s="3">
        <f>INDEX(Проверки!$D:$D, ROW())</f>
        <v/>
      </c>
      <c r="L725" s="3">
        <f>INDEX(Проверки!$G:$G, ROW())</f>
        <v/>
      </c>
    </row>
    <row r="726">
      <c r="A726" s="3" t="n"/>
      <c r="B726" s="4" t="n"/>
      <c r="C726" s="3" t="n"/>
      <c r="D726" s="4" t="n"/>
      <c r="E726" s="3" t="n"/>
      <c r="F726" s="3" t="n"/>
      <c r="G726" s="3" t="n"/>
      <c r="H726" s="4" t="n"/>
      <c r="I726" s="4" t="n"/>
      <c r="J726" s="3">
        <f>INDEX(Проверки!$F:$F, ROW())</f>
        <v/>
      </c>
      <c r="K726" s="3">
        <f>INDEX(Проверки!$D:$D, ROW())</f>
        <v/>
      </c>
      <c r="L726" s="3">
        <f>INDEX(Проверки!$G:$G, ROW())</f>
        <v/>
      </c>
    </row>
    <row r="727">
      <c r="A727" s="3" t="n"/>
      <c r="B727" s="4" t="n"/>
      <c r="C727" s="3" t="n"/>
      <c r="D727" s="4" t="n"/>
      <c r="E727" s="3" t="n"/>
      <c r="F727" s="3" t="n"/>
      <c r="G727" s="3" t="n"/>
      <c r="H727" s="4" t="n"/>
      <c r="I727" s="4" t="n"/>
      <c r="J727" s="3">
        <f>INDEX(Проверки!$F:$F, ROW())</f>
        <v/>
      </c>
      <c r="K727" s="3">
        <f>INDEX(Проверки!$D:$D, ROW())</f>
        <v/>
      </c>
      <c r="L727" s="3">
        <f>INDEX(Проверки!$G:$G, ROW())</f>
        <v/>
      </c>
    </row>
    <row r="728">
      <c r="A728" s="3" t="n"/>
      <c r="B728" s="4" t="n"/>
      <c r="C728" s="3" t="n"/>
      <c r="D728" s="4" t="n"/>
      <c r="E728" s="3" t="n"/>
      <c r="F728" s="3" t="n"/>
      <c r="G728" s="3" t="n"/>
      <c r="H728" s="4" t="n"/>
      <c r="I728" s="4" t="n"/>
      <c r="J728" s="3">
        <f>INDEX(Проверки!$F:$F, ROW())</f>
        <v/>
      </c>
      <c r="K728" s="3">
        <f>INDEX(Проверки!$D:$D, ROW())</f>
        <v/>
      </c>
      <c r="L728" s="3">
        <f>INDEX(Проверки!$G:$G, ROW())</f>
        <v/>
      </c>
    </row>
    <row r="729">
      <c r="A729" s="3" t="n"/>
      <c r="B729" s="4" t="n"/>
      <c r="C729" s="3" t="n"/>
      <c r="D729" s="4" t="n"/>
      <c r="E729" s="3" t="n"/>
      <c r="F729" s="3" t="n"/>
      <c r="G729" s="3" t="n"/>
      <c r="H729" s="4" t="n"/>
      <c r="I729" s="4" t="n"/>
      <c r="J729" s="3">
        <f>INDEX(Проверки!$F:$F, ROW())</f>
        <v/>
      </c>
      <c r="K729" s="3">
        <f>INDEX(Проверки!$D:$D, ROW())</f>
        <v/>
      </c>
      <c r="L729" s="3">
        <f>INDEX(Проверки!$G:$G, ROW())</f>
        <v/>
      </c>
    </row>
    <row r="730">
      <c r="A730" s="3" t="n"/>
      <c r="B730" s="4" t="n"/>
      <c r="C730" s="3" t="n"/>
      <c r="D730" s="4" t="n"/>
      <c r="E730" s="3" t="n"/>
      <c r="F730" s="3" t="n"/>
      <c r="G730" s="3" t="n"/>
      <c r="H730" s="4" t="n"/>
      <c r="I730" s="4" t="n"/>
      <c r="J730" s="3">
        <f>INDEX(Проверки!$F:$F, ROW())</f>
        <v/>
      </c>
      <c r="K730" s="3">
        <f>INDEX(Проверки!$D:$D, ROW())</f>
        <v/>
      </c>
      <c r="L730" s="3">
        <f>INDEX(Проверки!$G:$G, ROW())</f>
        <v/>
      </c>
    </row>
    <row r="731">
      <c r="A731" s="3" t="n"/>
      <c r="B731" s="4" t="n"/>
      <c r="C731" s="3" t="n"/>
      <c r="D731" s="4" t="n"/>
      <c r="E731" s="3" t="n"/>
      <c r="F731" s="3" t="n"/>
      <c r="G731" s="3" t="n"/>
      <c r="H731" s="4" t="n"/>
      <c r="I731" s="4" t="n"/>
      <c r="J731" s="3">
        <f>INDEX(Проверки!$F:$F, ROW())</f>
        <v/>
      </c>
      <c r="K731" s="3">
        <f>INDEX(Проверки!$D:$D, ROW())</f>
        <v/>
      </c>
      <c r="L731" s="3">
        <f>INDEX(Проверки!$G:$G, ROW())</f>
        <v/>
      </c>
    </row>
    <row r="732">
      <c r="A732" s="3" t="n"/>
      <c r="B732" s="4" t="n"/>
      <c r="C732" s="3" t="n"/>
      <c r="D732" s="4" t="n"/>
      <c r="E732" s="3" t="n"/>
      <c r="F732" s="3" t="n"/>
      <c r="G732" s="3" t="n"/>
      <c r="H732" s="4" t="n"/>
      <c r="I732" s="4" t="n"/>
      <c r="J732" s="3">
        <f>INDEX(Проверки!$F:$F, ROW())</f>
        <v/>
      </c>
      <c r="K732" s="3">
        <f>INDEX(Проверки!$D:$D, ROW())</f>
        <v/>
      </c>
      <c r="L732" s="3">
        <f>INDEX(Проверки!$G:$G, ROW())</f>
        <v/>
      </c>
    </row>
    <row r="733">
      <c r="A733" s="3" t="n"/>
      <c r="B733" s="4" t="n"/>
      <c r="C733" s="3" t="n"/>
      <c r="D733" s="4" t="n"/>
      <c r="E733" s="3" t="n"/>
      <c r="F733" s="3" t="n"/>
      <c r="G733" s="3" t="n"/>
      <c r="H733" s="4" t="n"/>
      <c r="I733" s="4" t="n"/>
      <c r="J733" s="3">
        <f>INDEX(Проверки!$F:$F, ROW())</f>
        <v/>
      </c>
      <c r="K733" s="3">
        <f>INDEX(Проверки!$D:$D, ROW())</f>
        <v/>
      </c>
      <c r="L733" s="3">
        <f>INDEX(Проверки!$G:$G, ROW())</f>
        <v/>
      </c>
    </row>
    <row r="734">
      <c r="A734" s="3" t="n"/>
      <c r="B734" s="4" t="n"/>
      <c r="C734" s="3" t="n"/>
      <c r="D734" s="4" t="n"/>
      <c r="E734" s="3" t="n"/>
      <c r="F734" s="3" t="n"/>
      <c r="G734" s="3" t="n"/>
      <c r="H734" s="4" t="n"/>
      <c r="I734" s="4" t="n"/>
      <c r="J734" s="3">
        <f>INDEX(Проверки!$F:$F, ROW())</f>
        <v/>
      </c>
      <c r="K734" s="3">
        <f>INDEX(Проверки!$D:$D, ROW())</f>
        <v/>
      </c>
      <c r="L734" s="3">
        <f>INDEX(Проверки!$G:$G, ROW())</f>
        <v/>
      </c>
    </row>
    <row r="735">
      <c r="A735" s="3" t="n"/>
      <c r="B735" s="4" t="n"/>
      <c r="C735" s="3" t="n"/>
      <c r="D735" s="4" t="n"/>
      <c r="E735" s="3" t="n"/>
      <c r="F735" s="3" t="n"/>
      <c r="G735" s="3" t="n"/>
      <c r="H735" s="4" t="n"/>
      <c r="I735" s="4" t="n"/>
      <c r="J735" s="3">
        <f>INDEX(Проверки!$F:$F, ROW())</f>
        <v/>
      </c>
      <c r="K735" s="3">
        <f>INDEX(Проверки!$D:$D, ROW())</f>
        <v/>
      </c>
      <c r="L735" s="3">
        <f>INDEX(Проверки!$G:$G, ROW())</f>
        <v/>
      </c>
    </row>
    <row r="736">
      <c r="A736" s="3" t="n"/>
      <c r="B736" s="4" t="n"/>
      <c r="C736" s="3" t="n"/>
      <c r="D736" s="4" t="n"/>
      <c r="E736" s="3" t="n"/>
      <c r="F736" s="3" t="n"/>
      <c r="G736" s="3" t="n"/>
      <c r="H736" s="4" t="n"/>
      <c r="I736" s="4" t="n"/>
      <c r="J736" s="3">
        <f>INDEX(Проверки!$F:$F, ROW())</f>
        <v/>
      </c>
      <c r="K736" s="3">
        <f>INDEX(Проверки!$D:$D, ROW())</f>
        <v/>
      </c>
      <c r="L736" s="3">
        <f>INDEX(Проверки!$G:$G, ROW())</f>
        <v/>
      </c>
    </row>
    <row r="737">
      <c r="A737" s="3" t="n"/>
      <c r="B737" s="4" t="n"/>
      <c r="C737" s="3" t="n"/>
      <c r="D737" s="4" t="n"/>
      <c r="E737" s="3" t="n"/>
      <c r="F737" s="3" t="n"/>
      <c r="G737" s="3" t="n"/>
      <c r="H737" s="4" t="n"/>
      <c r="I737" s="4" t="n"/>
      <c r="J737" s="3">
        <f>INDEX(Проверки!$F:$F, ROW())</f>
        <v/>
      </c>
      <c r="K737" s="3">
        <f>INDEX(Проверки!$D:$D, ROW())</f>
        <v/>
      </c>
      <c r="L737" s="3">
        <f>INDEX(Проверки!$G:$G, ROW())</f>
        <v/>
      </c>
    </row>
    <row r="738">
      <c r="A738" s="3" t="n"/>
      <c r="B738" s="4" t="n"/>
      <c r="C738" s="3" t="n"/>
      <c r="D738" s="4" t="n"/>
      <c r="E738" s="3" t="n"/>
      <c r="F738" s="3" t="n"/>
      <c r="G738" s="3" t="n"/>
      <c r="H738" s="4" t="n"/>
      <c r="I738" s="4" t="n"/>
      <c r="J738" s="3">
        <f>INDEX(Проверки!$F:$F, ROW())</f>
        <v/>
      </c>
      <c r="K738" s="3">
        <f>INDEX(Проверки!$D:$D, ROW())</f>
        <v/>
      </c>
      <c r="L738" s="3">
        <f>INDEX(Проверки!$G:$G, ROW())</f>
        <v/>
      </c>
    </row>
    <row r="739">
      <c r="A739" s="3" t="n"/>
      <c r="B739" s="4" t="n"/>
      <c r="C739" s="3" t="n"/>
      <c r="D739" s="4" t="n"/>
      <c r="E739" s="3" t="n"/>
      <c r="F739" s="3" t="n"/>
      <c r="G739" s="3" t="n"/>
      <c r="H739" s="4" t="n"/>
      <c r="I739" s="4" t="n"/>
      <c r="J739" s="3">
        <f>INDEX(Проверки!$F:$F, ROW())</f>
        <v/>
      </c>
      <c r="K739" s="3">
        <f>INDEX(Проверки!$D:$D, ROW())</f>
        <v/>
      </c>
      <c r="L739" s="3">
        <f>INDEX(Проверки!$G:$G, ROW())</f>
        <v/>
      </c>
    </row>
    <row r="740">
      <c r="A740" s="3" t="n"/>
      <c r="B740" s="4" t="n"/>
      <c r="C740" s="3" t="n"/>
      <c r="D740" s="4" t="n"/>
      <c r="E740" s="3" t="n"/>
      <c r="F740" s="3" t="n"/>
      <c r="G740" s="3" t="n"/>
      <c r="H740" s="4" t="n"/>
      <c r="I740" s="4" t="n"/>
      <c r="J740" s="3">
        <f>INDEX(Проверки!$F:$F, ROW())</f>
        <v/>
      </c>
      <c r="K740" s="3">
        <f>INDEX(Проверки!$D:$D, ROW())</f>
        <v/>
      </c>
      <c r="L740" s="3">
        <f>INDEX(Проверки!$G:$G, ROW())</f>
        <v/>
      </c>
    </row>
    <row r="741">
      <c r="A741" s="3" t="n"/>
      <c r="B741" s="4" t="n"/>
      <c r="C741" s="3" t="n"/>
      <c r="D741" s="4" t="n"/>
      <c r="E741" s="3" t="n"/>
      <c r="F741" s="3" t="n"/>
      <c r="G741" s="3" t="n"/>
      <c r="H741" s="4" t="n"/>
      <c r="I741" s="4" t="n"/>
      <c r="J741" s="3">
        <f>INDEX(Проверки!$F:$F, ROW())</f>
        <v/>
      </c>
      <c r="K741" s="3">
        <f>INDEX(Проверки!$D:$D, ROW())</f>
        <v/>
      </c>
      <c r="L741" s="3">
        <f>INDEX(Проверки!$G:$G, ROW())</f>
        <v/>
      </c>
    </row>
    <row r="742">
      <c r="A742" s="3" t="n"/>
      <c r="B742" s="4" t="n"/>
      <c r="C742" s="3" t="n"/>
      <c r="D742" s="4" t="n"/>
      <c r="E742" s="3" t="n"/>
      <c r="F742" s="3" t="n"/>
      <c r="G742" s="3" t="n"/>
      <c r="H742" s="4" t="n"/>
      <c r="I742" s="4" t="n"/>
      <c r="J742" s="3">
        <f>INDEX(Проверки!$F:$F, ROW())</f>
        <v/>
      </c>
      <c r="K742" s="3">
        <f>INDEX(Проверки!$D:$D, ROW())</f>
        <v/>
      </c>
      <c r="L742" s="3">
        <f>INDEX(Проверки!$G:$G, ROW())</f>
        <v/>
      </c>
    </row>
    <row r="743">
      <c r="A743" s="3" t="n"/>
      <c r="B743" s="4" t="n"/>
      <c r="C743" s="3" t="n"/>
      <c r="D743" s="4" t="n"/>
      <c r="E743" s="3" t="n"/>
      <c r="F743" s="3" t="n"/>
      <c r="G743" s="3" t="n"/>
      <c r="H743" s="4" t="n"/>
      <c r="I743" s="4" t="n"/>
      <c r="J743" s="3">
        <f>INDEX(Проверки!$F:$F, ROW())</f>
        <v/>
      </c>
      <c r="K743" s="3">
        <f>INDEX(Проверки!$D:$D, ROW())</f>
        <v/>
      </c>
      <c r="L743" s="3">
        <f>INDEX(Проверки!$G:$G, ROW())</f>
        <v/>
      </c>
    </row>
    <row r="744">
      <c r="A744" s="3" t="n"/>
      <c r="B744" s="4" t="n"/>
      <c r="C744" s="3" t="n"/>
      <c r="D744" s="4" t="n"/>
      <c r="E744" s="3" t="n"/>
      <c r="F744" s="3" t="n"/>
      <c r="G744" s="3" t="n"/>
      <c r="H744" s="4" t="n"/>
      <c r="I744" s="4" t="n"/>
      <c r="J744" s="3">
        <f>INDEX(Проверки!$F:$F, ROW())</f>
        <v/>
      </c>
      <c r="K744" s="3">
        <f>INDEX(Проверки!$D:$D, ROW())</f>
        <v/>
      </c>
      <c r="L744" s="3">
        <f>INDEX(Проверки!$G:$G, ROW())</f>
        <v/>
      </c>
    </row>
    <row r="745">
      <c r="A745" s="3" t="n"/>
      <c r="B745" s="4" t="n"/>
      <c r="C745" s="3" t="n"/>
      <c r="D745" s="4" t="n"/>
      <c r="E745" s="3" t="n"/>
      <c r="F745" s="3" t="n"/>
      <c r="G745" s="3" t="n"/>
      <c r="H745" s="4" t="n"/>
      <c r="I745" s="4" t="n"/>
      <c r="J745" s="3">
        <f>INDEX(Проверки!$F:$F, ROW())</f>
        <v/>
      </c>
      <c r="K745" s="3">
        <f>INDEX(Проверки!$D:$D, ROW())</f>
        <v/>
      </c>
      <c r="L745" s="3">
        <f>INDEX(Проверки!$G:$G, ROW())</f>
        <v/>
      </c>
    </row>
    <row r="746">
      <c r="A746" s="3" t="n"/>
      <c r="B746" s="4" t="n"/>
      <c r="C746" s="3" t="n"/>
      <c r="D746" s="4" t="n"/>
      <c r="E746" s="3" t="n"/>
      <c r="F746" s="3" t="n"/>
      <c r="G746" s="3" t="n"/>
      <c r="H746" s="4" t="n"/>
      <c r="I746" s="4" t="n"/>
      <c r="J746" s="3">
        <f>INDEX(Проверки!$F:$F, ROW())</f>
        <v/>
      </c>
      <c r="K746" s="3">
        <f>INDEX(Проверки!$D:$D, ROW())</f>
        <v/>
      </c>
      <c r="L746" s="3">
        <f>INDEX(Проверки!$G:$G, ROW())</f>
        <v/>
      </c>
    </row>
    <row r="747">
      <c r="A747" s="3" t="n"/>
      <c r="B747" s="4" t="n"/>
      <c r="C747" s="3" t="n"/>
      <c r="D747" s="4" t="n"/>
      <c r="E747" s="3" t="n"/>
      <c r="F747" s="3" t="n"/>
      <c r="G747" s="3" t="n"/>
      <c r="H747" s="4" t="n"/>
      <c r="I747" s="4" t="n"/>
      <c r="J747" s="3">
        <f>INDEX(Проверки!$F:$F, ROW())</f>
        <v/>
      </c>
      <c r="K747" s="3">
        <f>INDEX(Проверки!$D:$D, ROW())</f>
        <v/>
      </c>
      <c r="L747" s="3">
        <f>INDEX(Проверки!$G:$G, ROW())</f>
        <v/>
      </c>
    </row>
    <row r="748">
      <c r="A748" s="3" t="n"/>
      <c r="B748" s="4" t="n"/>
      <c r="C748" s="3" t="n"/>
      <c r="D748" s="4" t="n"/>
      <c r="E748" s="3" t="n"/>
      <c r="F748" s="3" t="n"/>
      <c r="G748" s="3" t="n"/>
      <c r="H748" s="4" t="n"/>
      <c r="I748" s="4" t="n"/>
      <c r="J748" s="3">
        <f>INDEX(Проверки!$F:$F, ROW())</f>
        <v/>
      </c>
      <c r="K748" s="3">
        <f>INDEX(Проверки!$D:$D, ROW())</f>
        <v/>
      </c>
      <c r="L748" s="3">
        <f>INDEX(Проверки!$G:$G, ROW())</f>
        <v/>
      </c>
    </row>
    <row r="749">
      <c r="A749" s="3" t="n"/>
      <c r="B749" s="4" t="n"/>
      <c r="C749" s="3" t="n"/>
      <c r="D749" s="4" t="n"/>
      <c r="E749" s="3" t="n"/>
      <c r="F749" s="3" t="n"/>
      <c r="G749" s="3" t="n"/>
      <c r="H749" s="4" t="n"/>
      <c r="I749" s="4" t="n"/>
      <c r="J749" s="3">
        <f>INDEX(Проверки!$F:$F, ROW())</f>
        <v/>
      </c>
      <c r="K749" s="3">
        <f>INDEX(Проверки!$D:$D, ROW())</f>
        <v/>
      </c>
      <c r="L749" s="3">
        <f>INDEX(Проверки!$G:$G, ROW())</f>
        <v/>
      </c>
    </row>
    <row r="750">
      <c r="A750" s="3" t="n"/>
      <c r="B750" s="4" t="n"/>
      <c r="C750" s="3" t="n"/>
      <c r="D750" s="4" t="n"/>
      <c r="E750" s="3" t="n"/>
      <c r="F750" s="3" t="n"/>
      <c r="G750" s="3" t="n"/>
      <c r="H750" s="4" t="n"/>
      <c r="I750" s="4" t="n"/>
      <c r="J750" s="3">
        <f>INDEX(Проверки!$F:$F, ROW())</f>
        <v/>
      </c>
      <c r="K750" s="3">
        <f>INDEX(Проверки!$D:$D, ROW())</f>
        <v/>
      </c>
      <c r="L750" s="3">
        <f>INDEX(Проверки!$G:$G, ROW())</f>
        <v/>
      </c>
    </row>
    <row r="751">
      <c r="A751" s="3" t="n"/>
      <c r="B751" s="4" t="n"/>
      <c r="C751" s="3" t="n"/>
      <c r="D751" s="4" t="n"/>
      <c r="E751" s="3" t="n"/>
      <c r="F751" s="3" t="n"/>
      <c r="G751" s="3" t="n"/>
      <c r="H751" s="4" t="n"/>
      <c r="I751" s="4" t="n"/>
      <c r="J751" s="3">
        <f>INDEX(Проверки!$F:$F, ROW())</f>
        <v/>
      </c>
      <c r="K751" s="3">
        <f>INDEX(Проверки!$D:$D, ROW())</f>
        <v/>
      </c>
      <c r="L751" s="3">
        <f>INDEX(Проверки!$G:$G, ROW())</f>
        <v/>
      </c>
    </row>
    <row r="752">
      <c r="A752" s="3" t="n"/>
      <c r="B752" s="4" t="n"/>
      <c r="C752" s="3" t="n"/>
      <c r="D752" s="4" t="n"/>
      <c r="E752" s="3" t="n"/>
      <c r="F752" s="3" t="n"/>
      <c r="G752" s="3" t="n"/>
      <c r="H752" s="4" t="n"/>
      <c r="I752" s="4" t="n"/>
      <c r="J752" s="3">
        <f>INDEX(Проверки!$F:$F, ROW())</f>
        <v/>
      </c>
      <c r="K752" s="3">
        <f>INDEX(Проверки!$D:$D, ROW())</f>
        <v/>
      </c>
      <c r="L752" s="3">
        <f>INDEX(Проверки!$G:$G, ROW())</f>
        <v/>
      </c>
    </row>
    <row r="753">
      <c r="A753" s="3" t="n"/>
      <c r="B753" s="4" t="n"/>
      <c r="C753" s="3" t="n"/>
      <c r="D753" s="4" t="n"/>
      <c r="E753" s="3" t="n"/>
      <c r="F753" s="3" t="n"/>
      <c r="G753" s="3" t="n"/>
      <c r="H753" s="4" t="n"/>
      <c r="I753" s="4" t="n"/>
      <c r="J753" s="3">
        <f>INDEX(Проверки!$F:$F, ROW())</f>
        <v/>
      </c>
      <c r="K753" s="3">
        <f>INDEX(Проверки!$D:$D, ROW())</f>
        <v/>
      </c>
      <c r="L753" s="3">
        <f>INDEX(Проверки!$G:$G, ROW())</f>
        <v/>
      </c>
    </row>
    <row r="754">
      <c r="A754" s="3" t="n"/>
      <c r="B754" s="4" t="n"/>
      <c r="C754" s="3" t="n"/>
      <c r="D754" s="4" t="n"/>
      <c r="E754" s="3" t="n"/>
      <c r="F754" s="3" t="n"/>
      <c r="G754" s="3" t="n"/>
      <c r="H754" s="4" t="n"/>
      <c r="I754" s="4" t="n"/>
      <c r="J754" s="3">
        <f>INDEX(Проверки!$F:$F, ROW())</f>
        <v/>
      </c>
      <c r="K754" s="3">
        <f>INDEX(Проверки!$D:$D, ROW())</f>
        <v/>
      </c>
      <c r="L754" s="3">
        <f>INDEX(Проверки!$G:$G, ROW())</f>
        <v/>
      </c>
    </row>
    <row r="755">
      <c r="A755" s="3" t="n"/>
      <c r="B755" s="4" t="n"/>
      <c r="C755" s="3" t="n"/>
      <c r="D755" s="4" t="n"/>
      <c r="E755" s="3" t="n"/>
      <c r="F755" s="3" t="n"/>
      <c r="G755" s="3" t="n"/>
      <c r="H755" s="4" t="n"/>
      <c r="I755" s="4" t="n"/>
      <c r="J755" s="3">
        <f>INDEX(Проверки!$F:$F, ROW())</f>
        <v/>
      </c>
      <c r="K755" s="3">
        <f>INDEX(Проверки!$D:$D, ROW())</f>
        <v/>
      </c>
      <c r="L755" s="3">
        <f>INDEX(Проверки!$G:$G, ROW())</f>
        <v/>
      </c>
    </row>
    <row r="756">
      <c r="A756" s="3" t="n"/>
      <c r="B756" s="4" t="n"/>
      <c r="C756" s="3" t="n"/>
      <c r="D756" s="4" t="n"/>
      <c r="E756" s="3" t="n"/>
      <c r="F756" s="3" t="n"/>
      <c r="G756" s="3" t="n"/>
      <c r="H756" s="4" t="n"/>
      <c r="I756" s="4" t="n"/>
      <c r="J756" s="3">
        <f>INDEX(Проверки!$F:$F, ROW())</f>
        <v/>
      </c>
      <c r="K756" s="3">
        <f>INDEX(Проверки!$D:$D, ROW())</f>
        <v/>
      </c>
      <c r="L756" s="3">
        <f>INDEX(Проверки!$G:$G, ROW())</f>
        <v/>
      </c>
    </row>
    <row r="757">
      <c r="A757" s="3" t="n"/>
      <c r="B757" s="4" t="n"/>
      <c r="C757" s="3" t="n"/>
      <c r="D757" s="4" t="n"/>
      <c r="E757" s="3" t="n"/>
      <c r="F757" s="3" t="n"/>
      <c r="G757" s="3" t="n"/>
      <c r="H757" s="4" t="n"/>
      <c r="I757" s="4" t="n"/>
      <c r="J757" s="3">
        <f>INDEX(Проверки!$F:$F, ROW())</f>
        <v/>
      </c>
      <c r="K757" s="3">
        <f>INDEX(Проверки!$D:$D, ROW())</f>
        <v/>
      </c>
      <c r="L757" s="3">
        <f>INDEX(Проверки!$G:$G, ROW())</f>
        <v/>
      </c>
    </row>
    <row r="758">
      <c r="A758" s="3" t="n"/>
      <c r="B758" s="4" t="n"/>
      <c r="C758" s="3" t="n"/>
      <c r="D758" s="4" t="n"/>
      <c r="E758" s="3" t="n"/>
      <c r="F758" s="3" t="n"/>
      <c r="G758" s="3" t="n"/>
      <c r="H758" s="4" t="n"/>
      <c r="I758" s="4" t="n"/>
      <c r="J758" s="3">
        <f>INDEX(Проверки!$F:$F, ROW())</f>
        <v/>
      </c>
      <c r="K758" s="3">
        <f>INDEX(Проверки!$D:$D, ROW())</f>
        <v/>
      </c>
      <c r="L758" s="3">
        <f>INDEX(Проверки!$G:$G, ROW())</f>
        <v/>
      </c>
    </row>
    <row r="759">
      <c r="A759" s="3" t="n"/>
      <c r="B759" s="4" t="n"/>
      <c r="C759" s="3" t="n"/>
      <c r="D759" s="4" t="n"/>
      <c r="E759" s="3" t="n"/>
      <c r="F759" s="3" t="n"/>
      <c r="G759" s="3" t="n"/>
      <c r="H759" s="4" t="n"/>
      <c r="I759" s="4" t="n"/>
      <c r="J759" s="3">
        <f>INDEX(Проверки!$F:$F, ROW())</f>
        <v/>
      </c>
      <c r="K759" s="3">
        <f>INDEX(Проверки!$D:$D, ROW())</f>
        <v/>
      </c>
      <c r="L759" s="3">
        <f>INDEX(Проверки!$G:$G, ROW())</f>
        <v/>
      </c>
    </row>
    <row r="760">
      <c r="A760" s="3" t="n"/>
      <c r="B760" s="4" t="n"/>
      <c r="C760" s="3" t="n"/>
      <c r="D760" s="4" t="n"/>
      <c r="E760" s="3" t="n"/>
      <c r="F760" s="3" t="n"/>
      <c r="G760" s="3" t="n"/>
      <c r="H760" s="4" t="n"/>
      <c r="I760" s="4" t="n"/>
      <c r="J760" s="3">
        <f>INDEX(Проверки!$F:$F, ROW())</f>
        <v/>
      </c>
      <c r="K760" s="3">
        <f>INDEX(Проверки!$D:$D, ROW())</f>
        <v/>
      </c>
      <c r="L760" s="3">
        <f>INDEX(Проверки!$G:$G, ROW())</f>
        <v/>
      </c>
    </row>
    <row r="761">
      <c r="A761" s="3" t="n"/>
      <c r="B761" s="4" t="n"/>
      <c r="C761" s="3" t="n"/>
      <c r="D761" s="4" t="n"/>
      <c r="E761" s="3" t="n"/>
      <c r="F761" s="3" t="n"/>
      <c r="G761" s="3" t="n"/>
      <c r="H761" s="4" t="n"/>
      <c r="I761" s="4" t="n"/>
      <c r="J761" s="3">
        <f>INDEX(Проверки!$F:$F, ROW())</f>
        <v/>
      </c>
      <c r="K761" s="3">
        <f>INDEX(Проверки!$D:$D, ROW())</f>
        <v/>
      </c>
      <c r="L761" s="3">
        <f>INDEX(Проверки!$G:$G, ROW())</f>
        <v/>
      </c>
    </row>
    <row r="762">
      <c r="A762" s="3" t="n"/>
      <c r="B762" s="4" t="n"/>
      <c r="C762" s="3" t="n"/>
      <c r="D762" s="4" t="n"/>
      <c r="E762" s="3" t="n"/>
      <c r="F762" s="3" t="n"/>
      <c r="G762" s="3" t="n"/>
      <c r="H762" s="4" t="n"/>
      <c r="I762" s="4" t="n"/>
      <c r="J762" s="3">
        <f>INDEX(Проверки!$F:$F, ROW())</f>
        <v/>
      </c>
      <c r="K762" s="3">
        <f>INDEX(Проверки!$D:$D, ROW())</f>
        <v/>
      </c>
      <c r="L762" s="3">
        <f>INDEX(Проверки!$G:$G, ROW())</f>
        <v/>
      </c>
    </row>
    <row r="763">
      <c r="A763" s="3" t="n"/>
      <c r="B763" s="4" t="n"/>
      <c r="C763" s="3" t="n"/>
      <c r="D763" s="4" t="n"/>
      <c r="E763" s="3" t="n"/>
      <c r="F763" s="3" t="n"/>
      <c r="G763" s="3" t="n"/>
      <c r="H763" s="4" t="n"/>
      <c r="I763" s="4" t="n"/>
      <c r="J763" s="3">
        <f>INDEX(Проверки!$F:$F, ROW())</f>
        <v/>
      </c>
      <c r="K763" s="3">
        <f>INDEX(Проверки!$D:$D, ROW())</f>
        <v/>
      </c>
      <c r="L763" s="3">
        <f>INDEX(Проверки!$G:$G, ROW())</f>
        <v/>
      </c>
    </row>
    <row r="764">
      <c r="A764" s="3" t="n"/>
      <c r="B764" s="4" t="n"/>
      <c r="C764" s="3" t="n"/>
      <c r="D764" s="4" t="n"/>
      <c r="E764" s="3" t="n"/>
      <c r="F764" s="3" t="n"/>
      <c r="G764" s="3" t="n"/>
      <c r="H764" s="4" t="n"/>
      <c r="I764" s="4" t="n"/>
      <c r="J764" s="3">
        <f>INDEX(Проверки!$F:$F, ROW())</f>
        <v/>
      </c>
      <c r="K764" s="3">
        <f>INDEX(Проверки!$D:$D, ROW())</f>
        <v/>
      </c>
      <c r="L764" s="3">
        <f>INDEX(Проверки!$G:$G, ROW())</f>
        <v/>
      </c>
    </row>
    <row r="765">
      <c r="A765" s="3" t="n"/>
      <c r="B765" s="4" t="n"/>
      <c r="C765" s="3" t="n"/>
      <c r="D765" s="4" t="n"/>
      <c r="E765" s="3" t="n"/>
      <c r="F765" s="3" t="n"/>
      <c r="G765" s="3" t="n"/>
      <c r="H765" s="4" t="n"/>
      <c r="I765" s="4" t="n"/>
      <c r="J765" s="3">
        <f>INDEX(Проверки!$F:$F, ROW())</f>
        <v/>
      </c>
      <c r="K765" s="3">
        <f>INDEX(Проверки!$D:$D, ROW())</f>
        <v/>
      </c>
      <c r="L765" s="3">
        <f>INDEX(Проверки!$G:$G, ROW())</f>
        <v/>
      </c>
    </row>
    <row r="766">
      <c r="A766" s="3" t="n"/>
      <c r="B766" s="4" t="n"/>
      <c r="C766" s="3" t="n"/>
      <c r="D766" s="4" t="n"/>
      <c r="E766" s="3" t="n"/>
      <c r="F766" s="3" t="n"/>
      <c r="G766" s="3" t="n"/>
      <c r="H766" s="4" t="n"/>
      <c r="I766" s="4" t="n"/>
      <c r="J766" s="3">
        <f>INDEX(Проверки!$F:$F, ROW())</f>
        <v/>
      </c>
      <c r="K766" s="3">
        <f>INDEX(Проверки!$D:$D, ROW())</f>
        <v/>
      </c>
      <c r="L766" s="3">
        <f>INDEX(Проверки!$G:$G, ROW())</f>
        <v/>
      </c>
    </row>
    <row r="767">
      <c r="A767" s="3" t="n"/>
      <c r="B767" s="4" t="n"/>
      <c r="C767" s="3" t="n"/>
      <c r="D767" s="4" t="n"/>
      <c r="E767" s="3" t="n"/>
      <c r="F767" s="3" t="n"/>
      <c r="G767" s="3" t="n"/>
      <c r="H767" s="4" t="n"/>
      <c r="I767" s="4" t="n"/>
      <c r="J767" s="3">
        <f>INDEX(Проверки!$F:$F, ROW())</f>
        <v/>
      </c>
      <c r="K767" s="3">
        <f>INDEX(Проверки!$D:$D, ROW())</f>
        <v/>
      </c>
      <c r="L767" s="3">
        <f>INDEX(Проверки!$G:$G, ROW())</f>
        <v/>
      </c>
    </row>
    <row r="768">
      <c r="A768" s="3" t="n"/>
      <c r="B768" s="4" t="n"/>
      <c r="C768" s="3" t="n"/>
      <c r="D768" s="4" t="n"/>
      <c r="E768" s="3" t="n"/>
      <c r="F768" s="3" t="n"/>
      <c r="G768" s="3" t="n"/>
      <c r="H768" s="4" t="n"/>
      <c r="I768" s="4" t="n"/>
      <c r="J768" s="3">
        <f>INDEX(Проверки!$F:$F, ROW())</f>
        <v/>
      </c>
      <c r="K768" s="3">
        <f>INDEX(Проверки!$D:$D, ROW())</f>
        <v/>
      </c>
      <c r="L768" s="3">
        <f>INDEX(Проверки!$G:$G, ROW())</f>
        <v/>
      </c>
    </row>
    <row r="769">
      <c r="A769" s="3" t="n"/>
      <c r="B769" s="4" t="n"/>
      <c r="C769" s="3" t="n"/>
      <c r="D769" s="4" t="n"/>
      <c r="E769" s="3" t="n"/>
      <c r="F769" s="3" t="n"/>
      <c r="G769" s="3" t="n"/>
      <c r="H769" s="4" t="n"/>
      <c r="I769" s="4" t="n"/>
      <c r="J769" s="3">
        <f>INDEX(Проверки!$F:$F, ROW())</f>
        <v/>
      </c>
      <c r="K769" s="3">
        <f>INDEX(Проверки!$D:$D, ROW())</f>
        <v/>
      </c>
      <c r="L769" s="3">
        <f>INDEX(Проверки!$G:$G, ROW())</f>
        <v/>
      </c>
    </row>
    <row r="770">
      <c r="A770" s="3" t="n"/>
      <c r="B770" s="4" t="n"/>
      <c r="C770" s="3" t="n"/>
      <c r="D770" s="4" t="n"/>
      <c r="E770" s="3" t="n"/>
      <c r="F770" s="3" t="n"/>
      <c r="G770" s="3" t="n"/>
      <c r="H770" s="4" t="n"/>
      <c r="I770" s="4" t="n"/>
      <c r="J770" s="3">
        <f>INDEX(Проверки!$F:$F, ROW())</f>
        <v/>
      </c>
      <c r="K770" s="3">
        <f>INDEX(Проверки!$D:$D, ROW())</f>
        <v/>
      </c>
      <c r="L770" s="3">
        <f>INDEX(Проверки!$G:$G, ROW())</f>
        <v/>
      </c>
    </row>
    <row r="771">
      <c r="A771" s="3" t="n"/>
      <c r="B771" s="4" t="n"/>
      <c r="C771" s="3" t="n"/>
      <c r="D771" s="4" t="n"/>
      <c r="E771" s="3" t="n"/>
      <c r="F771" s="3" t="n"/>
      <c r="G771" s="3" t="n"/>
      <c r="H771" s="4" t="n"/>
      <c r="I771" s="4" t="n"/>
      <c r="J771" s="3">
        <f>INDEX(Проверки!$F:$F, ROW())</f>
        <v/>
      </c>
      <c r="K771" s="3">
        <f>INDEX(Проверки!$D:$D, ROW())</f>
        <v/>
      </c>
      <c r="L771" s="3">
        <f>INDEX(Проверки!$G:$G, ROW())</f>
        <v/>
      </c>
    </row>
    <row r="772">
      <c r="A772" s="3" t="n"/>
      <c r="B772" s="4" t="n"/>
      <c r="C772" s="3" t="n"/>
      <c r="D772" s="4" t="n"/>
      <c r="E772" s="3" t="n"/>
      <c r="F772" s="3" t="n"/>
      <c r="G772" s="3" t="n"/>
      <c r="H772" s="4" t="n"/>
      <c r="I772" s="4" t="n"/>
      <c r="J772" s="3">
        <f>INDEX(Проверки!$F:$F, ROW())</f>
        <v/>
      </c>
      <c r="K772" s="3">
        <f>INDEX(Проверки!$D:$D, ROW())</f>
        <v/>
      </c>
      <c r="L772" s="3">
        <f>INDEX(Проверки!$G:$G, ROW())</f>
        <v/>
      </c>
    </row>
    <row r="773">
      <c r="A773" s="3" t="n"/>
      <c r="B773" s="4" t="n"/>
      <c r="C773" s="3" t="n"/>
      <c r="D773" s="4" t="n"/>
      <c r="E773" s="3" t="n"/>
      <c r="F773" s="3" t="n"/>
      <c r="G773" s="3" t="n"/>
      <c r="H773" s="4" t="n"/>
      <c r="I773" s="4" t="n"/>
      <c r="J773" s="3">
        <f>INDEX(Проверки!$F:$F, ROW())</f>
        <v/>
      </c>
      <c r="K773" s="3">
        <f>INDEX(Проверки!$D:$D, ROW())</f>
        <v/>
      </c>
      <c r="L773" s="3">
        <f>INDEX(Проверки!$G:$G, ROW())</f>
        <v/>
      </c>
    </row>
    <row r="774">
      <c r="A774" s="3" t="n"/>
      <c r="B774" s="4" t="n"/>
      <c r="C774" s="3" t="n"/>
      <c r="D774" s="4" t="n"/>
      <c r="E774" s="3" t="n"/>
      <c r="F774" s="3" t="n"/>
      <c r="G774" s="3" t="n"/>
      <c r="H774" s="4" t="n"/>
      <c r="I774" s="4" t="n"/>
      <c r="J774" s="3">
        <f>INDEX(Проверки!$F:$F, ROW())</f>
        <v/>
      </c>
      <c r="K774" s="3">
        <f>INDEX(Проверки!$D:$D, ROW())</f>
        <v/>
      </c>
      <c r="L774" s="3">
        <f>INDEX(Проверки!$G:$G, ROW())</f>
        <v/>
      </c>
    </row>
    <row r="775">
      <c r="A775" s="3" t="n"/>
      <c r="B775" s="4" t="n"/>
      <c r="C775" s="3" t="n"/>
      <c r="D775" s="4" t="n"/>
      <c r="E775" s="3" t="n"/>
      <c r="F775" s="3" t="n"/>
      <c r="G775" s="3" t="n"/>
      <c r="H775" s="4" t="n"/>
      <c r="I775" s="4" t="n"/>
      <c r="J775" s="3">
        <f>INDEX(Проверки!$F:$F, ROW())</f>
        <v/>
      </c>
      <c r="K775" s="3">
        <f>INDEX(Проверки!$D:$D, ROW())</f>
        <v/>
      </c>
      <c r="L775" s="3">
        <f>INDEX(Проверки!$G:$G, ROW())</f>
        <v/>
      </c>
    </row>
    <row r="776">
      <c r="A776" s="3" t="n"/>
      <c r="B776" s="4" t="n"/>
      <c r="C776" s="3" t="n"/>
      <c r="D776" s="4" t="n"/>
      <c r="E776" s="3" t="n"/>
      <c r="F776" s="3" t="n"/>
      <c r="G776" s="3" t="n"/>
      <c r="H776" s="4" t="n"/>
      <c r="I776" s="4" t="n"/>
      <c r="J776" s="3">
        <f>INDEX(Проверки!$F:$F, ROW())</f>
        <v/>
      </c>
      <c r="K776" s="3">
        <f>INDEX(Проверки!$D:$D, ROW())</f>
        <v/>
      </c>
      <c r="L776" s="3">
        <f>INDEX(Проверки!$G:$G, ROW())</f>
        <v/>
      </c>
    </row>
    <row r="777">
      <c r="A777" s="3" t="n"/>
      <c r="B777" s="4" t="n"/>
      <c r="C777" s="3" t="n"/>
      <c r="D777" s="4" t="n"/>
      <c r="E777" s="3" t="n"/>
      <c r="F777" s="3" t="n"/>
      <c r="G777" s="3" t="n"/>
      <c r="H777" s="4" t="n"/>
      <c r="I777" s="4" t="n"/>
      <c r="J777" s="3">
        <f>INDEX(Проверки!$F:$F, ROW())</f>
        <v/>
      </c>
      <c r="K777" s="3">
        <f>INDEX(Проверки!$D:$D, ROW())</f>
        <v/>
      </c>
      <c r="L777" s="3">
        <f>INDEX(Проверки!$G:$G, ROW())</f>
        <v/>
      </c>
    </row>
    <row r="778">
      <c r="A778" s="3" t="n"/>
      <c r="B778" s="4" t="n"/>
      <c r="C778" s="3" t="n"/>
      <c r="D778" s="4" t="n"/>
      <c r="E778" s="3" t="n"/>
      <c r="F778" s="3" t="n"/>
      <c r="G778" s="3" t="n"/>
      <c r="H778" s="4" t="n"/>
      <c r="I778" s="4" t="n"/>
      <c r="J778" s="3">
        <f>INDEX(Проверки!$F:$F, ROW())</f>
        <v/>
      </c>
      <c r="K778" s="3">
        <f>INDEX(Проверки!$D:$D, ROW())</f>
        <v/>
      </c>
      <c r="L778" s="3">
        <f>INDEX(Проверки!$G:$G, ROW())</f>
        <v/>
      </c>
    </row>
    <row r="779">
      <c r="A779" s="3" t="n"/>
      <c r="B779" s="4" t="n"/>
      <c r="C779" s="3" t="n"/>
      <c r="D779" s="4" t="n"/>
      <c r="E779" s="3" t="n"/>
      <c r="F779" s="3" t="n"/>
      <c r="G779" s="3" t="n"/>
      <c r="H779" s="4" t="n"/>
      <c r="I779" s="4" t="n"/>
      <c r="J779" s="3">
        <f>INDEX(Проверки!$F:$F, ROW())</f>
        <v/>
      </c>
      <c r="K779" s="3">
        <f>INDEX(Проверки!$D:$D, ROW())</f>
        <v/>
      </c>
      <c r="L779" s="3">
        <f>INDEX(Проверки!$G:$G, ROW())</f>
        <v/>
      </c>
    </row>
    <row r="780">
      <c r="A780" s="3" t="n"/>
      <c r="B780" s="4" t="n"/>
      <c r="C780" s="3" t="n"/>
      <c r="D780" s="4" t="n"/>
      <c r="E780" s="3" t="n"/>
      <c r="F780" s="3" t="n"/>
      <c r="G780" s="3" t="n"/>
      <c r="H780" s="4" t="n"/>
      <c r="I780" s="4" t="n"/>
      <c r="J780" s="3">
        <f>INDEX(Проверки!$F:$F, ROW())</f>
        <v/>
      </c>
      <c r="K780" s="3">
        <f>INDEX(Проверки!$D:$D, ROW())</f>
        <v/>
      </c>
      <c r="L780" s="3">
        <f>INDEX(Проверки!$G:$G, ROW())</f>
        <v/>
      </c>
    </row>
    <row r="781">
      <c r="A781" s="3" t="n"/>
      <c r="B781" s="4" t="n"/>
      <c r="C781" s="3" t="n"/>
      <c r="D781" s="4" t="n"/>
      <c r="E781" s="3" t="n"/>
      <c r="F781" s="3" t="n"/>
      <c r="G781" s="3" t="n"/>
      <c r="H781" s="4" t="n"/>
      <c r="I781" s="4" t="n"/>
      <c r="J781" s="3">
        <f>INDEX(Проверки!$F:$F, ROW())</f>
        <v/>
      </c>
      <c r="K781" s="3">
        <f>INDEX(Проверки!$D:$D, ROW())</f>
        <v/>
      </c>
      <c r="L781" s="3">
        <f>INDEX(Проверки!$G:$G, ROW())</f>
        <v/>
      </c>
    </row>
    <row r="782">
      <c r="A782" s="3" t="n"/>
      <c r="B782" s="4" t="n"/>
      <c r="C782" s="3" t="n"/>
      <c r="D782" s="4" t="n"/>
      <c r="E782" s="3" t="n"/>
      <c r="F782" s="3" t="n"/>
      <c r="G782" s="3" t="n"/>
      <c r="H782" s="4" t="n"/>
      <c r="I782" s="4" t="n"/>
      <c r="J782" s="3">
        <f>INDEX(Проверки!$F:$F, ROW())</f>
        <v/>
      </c>
      <c r="K782" s="3">
        <f>INDEX(Проверки!$D:$D, ROW())</f>
        <v/>
      </c>
      <c r="L782" s="3">
        <f>INDEX(Проверки!$G:$G, ROW())</f>
        <v/>
      </c>
    </row>
    <row r="783">
      <c r="A783" s="3" t="n"/>
      <c r="B783" s="4" t="n"/>
      <c r="C783" s="3" t="n"/>
      <c r="D783" s="4" t="n"/>
      <c r="E783" s="3" t="n"/>
      <c r="F783" s="3" t="n"/>
      <c r="G783" s="3" t="n"/>
      <c r="H783" s="4" t="n"/>
      <c r="I783" s="4" t="n"/>
      <c r="J783" s="3">
        <f>INDEX(Проверки!$F:$F, ROW())</f>
        <v/>
      </c>
      <c r="K783" s="3">
        <f>INDEX(Проверки!$D:$D, ROW())</f>
        <v/>
      </c>
      <c r="L783" s="3">
        <f>INDEX(Проверки!$G:$G, ROW())</f>
        <v/>
      </c>
    </row>
    <row r="784">
      <c r="A784" s="3" t="n"/>
      <c r="B784" s="4" t="n"/>
      <c r="C784" s="3" t="n"/>
      <c r="D784" s="4" t="n"/>
      <c r="E784" s="3" t="n"/>
      <c r="F784" s="3" t="n"/>
      <c r="G784" s="3" t="n"/>
      <c r="H784" s="4" t="n"/>
      <c r="I784" s="4" t="n"/>
      <c r="J784" s="3">
        <f>INDEX(Проверки!$F:$F, ROW())</f>
        <v/>
      </c>
      <c r="K784" s="3">
        <f>INDEX(Проверки!$D:$D, ROW())</f>
        <v/>
      </c>
      <c r="L784" s="3">
        <f>INDEX(Проверки!$G:$G, ROW())</f>
        <v/>
      </c>
    </row>
    <row r="785">
      <c r="A785" s="3" t="n"/>
      <c r="B785" s="4" t="n"/>
      <c r="C785" s="3" t="n"/>
      <c r="D785" s="4" t="n"/>
      <c r="E785" s="3" t="n"/>
      <c r="F785" s="3" t="n"/>
      <c r="G785" s="3" t="n"/>
      <c r="H785" s="4" t="n"/>
      <c r="I785" s="4" t="n"/>
      <c r="J785" s="3">
        <f>INDEX(Проверки!$F:$F, ROW())</f>
        <v/>
      </c>
      <c r="K785" s="3">
        <f>INDEX(Проверки!$D:$D, ROW())</f>
        <v/>
      </c>
      <c r="L785" s="3">
        <f>INDEX(Проверки!$G:$G, ROW())</f>
        <v/>
      </c>
    </row>
    <row r="786">
      <c r="A786" s="3" t="n"/>
      <c r="B786" s="4" t="n"/>
      <c r="C786" s="3" t="n"/>
      <c r="D786" s="4" t="n"/>
      <c r="E786" s="3" t="n"/>
      <c r="F786" s="3" t="n"/>
      <c r="G786" s="3" t="n"/>
      <c r="H786" s="4" t="n"/>
      <c r="I786" s="4" t="n"/>
      <c r="J786" s="3">
        <f>INDEX(Проверки!$F:$F, ROW())</f>
        <v/>
      </c>
      <c r="K786" s="3">
        <f>INDEX(Проверки!$D:$D, ROW())</f>
        <v/>
      </c>
      <c r="L786" s="3">
        <f>INDEX(Проверки!$G:$G, ROW())</f>
        <v/>
      </c>
    </row>
    <row r="787">
      <c r="A787" s="3" t="n"/>
      <c r="B787" s="4" t="n"/>
      <c r="C787" s="3" t="n"/>
      <c r="D787" s="4" t="n"/>
      <c r="E787" s="3" t="n"/>
      <c r="F787" s="3" t="n"/>
      <c r="G787" s="3" t="n"/>
      <c r="H787" s="4" t="n"/>
      <c r="I787" s="4" t="n"/>
      <c r="J787" s="3">
        <f>INDEX(Проверки!$F:$F, ROW())</f>
        <v/>
      </c>
      <c r="K787" s="3">
        <f>INDEX(Проверки!$D:$D, ROW())</f>
        <v/>
      </c>
      <c r="L787" s="3">
        <f>INDEX(Проверки!$G:$G, ROW())</f>
        <v/>
      </c>
    </row>
    <row r="788">
      <c r="A788" s="3" t="n"/>
      <c r="B788" s="4" t="n"/>
      <c r="C788" s="3" t="n"/>
      <c r="D788" s="4" t="n"/>
      <c r="E788" s="3" t="n"/>
      <c r="F788" s="3" t="n"/>
      <c r="G788" s="3" t="n"/>
      <c r="H788" s="4" t="n"/>
      <c r="I788" s="4" t="n"/>
      <c r="J788" s="3">
        <f>INDEX(Проверки!$F:$F, ROW())</f>
        <v/>
      </c>
      <c r="K788" s="3">
        <f>INDEX(Проверки!$D:$D, ROW())</f>
        <v/>
      </c>
      <c r="L788" s="3">
        <f>INDEX(Проверки!$G:$G, ROW())</f>
        <v/>
      </c>
    </row>
    <row r="789">
      <c r="A789" s="3" t="n"/>
      <c r="B789" s="4" t="n"/>
      <c r="C789" s="3" t="n"/>
      <c r="D789" s="4" t="n"/>
      <c r="E789" s="3" t="n"/>
      <c r="F789" s="3" t="n"/>
      <c r="G789" s="3" t="n"/>
      <c r="H789" s="4" t="n"/>
      <c r="I789" s="4" t="n"/>
      <c r="J789" s="3">
        <f>INDEX(Проверки!$F:$F, ROW())</f>
        <v/>
      </c>
      <c r="K789" s="3">
        <f>INDEX(Проверки!$D:$D, ROW())</f>
        <v/>
      </c>
      <c r="L789" s="3">
        <f>INDEX(Проверки!$G:$G, ROW())</f>
        <v/>
      </c>
    </row>
    <row r="790">
      <c r="A790" s="3" t="n"/>
      <c r="B790" s="4" t="n"/>
      <c r="C790" s="3" t="n"/>
      <c r="D790" s="4" t="n"/>
      <c r="E790" s="3" t="n"/>
      <c r="F790" s="3" t="n"/>
      <c r="G790" s="3" t="n"/>
      <c r="H790" s="4" t="n"/>
      <c r="I790" s="4" t="n"/>
      <c r="J790" s="3">
        <f>INDEX(Проверки!$F:$F, ROW())</f>
        <v/>
      </c>
      <c r="K790" s="3">
        <f>INDEX(Проверки!$D:$D, ROW())</f>
        <v/>
      </c>
      <c r="L790" s="3">
        <f>INDEX(Проверки!$G:$G, ROW())</f>
        <v/>
      </c>
    </row>
    <row r="791">
      <c r="A791" s="3" t="n"/>
      <c r="B791" s="4" t="n"/>
      <c r="C791" s="3" t="n"/>
      <c r="D791" s="4" t="n"/>
      <c r="E791" s="3" t="n"/>
      <c r="F791" s="3" t="n"/>
      <c r="G791" s="3" t="n"/>
      <c r="H791" s="4" t="n"/>
      <c r="I791" s="4" t="n"/>
      <c r="J791" s="3">
        <f>INDEX(Проверки!$F:$F, ROW())</f>
        <v/>
      </c>
      <c r="K791" s="3">
        <f>INDEX(Проверки!$D:$D, ROW())</f>
        <v/>
      </c>
      <c r="L791" s="3">
        <f>INDEX(Проверки!$G:$G, ROW())</f>
        <v/>
      </c>
    </row>
    <row r="792">
      <c r="A792" s="3" t="n"/>
      <c r="B792" s="4" t="n"/>
      <c r="C792" s="3" t="n"/>
      <c r="D792" s="4" t="n"/>
      <c r="E792" s="3" t="n"/>
      <c r="F792" s="3" t="n"/>
      <c r="G792" s="3" t="n"/>
      <c r="H792" s="4" t="n"/>
      <c r="I792" s="4" t="n"/>
      <c r="J792" s="3">
        <f>INDEX(Проверки!$F:$F, ROW())</f>
        <v/>
      </c>
      <c r="K792" s="3">
        <f>INDEX(Проверки!$D:$D, ROW())</f>
        <v/>
      </c>
      <c r="L792" s="3">
        <f>INDEX(Проверки!$G:$G, ROW())</f>
        <v/>
      </c>
    </row>
    <row r="793">
      <c r="A793" s="3" t="n"/>
      <c r="B793" s="4" t="n"/>
      <c r="C793" s="3" t="n"/>
      <c r="D793" s="4" t="n"/>
      <c r="E793" s="3" t="n"/>
      <c r="F793" s="3" t="n"/>
      <c r="G793" s="3" t="n"/>
      <c r="H793" s="4" t="n"/>
      <c r="I793" s="4" t="n"/>
      <c r="J793" s="3">
        <f>INDEX(Проверки!$F:$F, ROW())</f>
        <v/>
      </c>
      <c r="K793" s="3">
        <f>INDEX(Проверки!$D:$D, ROW())</f>
        <v/>
      </c>
      <c r="L793" s="3">
        <f>INDEX(Проверки!$G:$G, ROW())</f>
        <v/>
      </c>
    </row>
    <row r="794">
      <c r="A794" s="3" t="n"/>
      <c r="B794" s="4" t="n"/>
      <c r="C794" s="3" t="n"/>
      <c r="D794" s="4" t="n"/>
      <c r="E794" s="3" t="n"/>
      <c r="F794" s="3" t="n"/>
      <c r="G794" s="3" t="n"/>
      <c r="H794" s="4" t="n"/>
      <c r="I794" s="4" t="n"/>
      <c r="J794" s="3">
        <f>INDEX(Проверки!$F:$F, ROW())</f>
        <v/>
      </c>
      <c r="K794" s="3">
        <f>INDEX(Проверки!$D:$D, ROW())</f>
        <v/>
      </c>
      <c r="L794" s="3">
        <f>INDEX(Проверки!$G:$G, ROW())</f>
        <v/>
      </c>
    </row>
    <row r="795">
      <c r="A795" s="3" t="n"/>
      <c r="B795" s="4" t="n"/>
      <c r="C795" s="3" t="n"/>
      <c r="D795" s="4" t="n"/>
      <c r="E795" s="3" t="n"/>
      <c r="F795" s="3" t="n"/>
      <c r="G795" s="3" t="n"/>
      <c r="H795" s="4" t="n"/>
      <c r="I795" s="4" t="n"/>
      <c r="J795" s="3">
        <f>INDEX(Проверки!$F:$F, ROW())</f>
        <v/>
      </c>
      <c r="K795" s="3">
        <f>INDEX(Проверки!$D:$D, ROW())</f>
        <v/>
      </c>
      <c r="L795" s="3">
        <f>INDEX(Проверки!$G:$G, ROW())</f>
        <v/>
      </c>
    </row>
    <row r="796">
      <c r="A796" s="3" t="n"/>
      <c r="B796" s="4" t="n"/>
      <c r="C796" s="3" t="n"/>
      <c r="D796" s="4" t="n"/>
      <c r="E796" s="3" t="n"/>
      <c r="F796" s="3" t="n"/>
      <c r="G796" s="3" t="n"/>
      <c r="H796" s="4" t="n"/>
      <c r="I796" s="4" t="n"/>
      <c r="J796" s="3">
        <f>INDEX(Проверки!$F:$F, ROW())</f>
        <v/>
      </c>
      <c r="K796" s="3">
        <f>INDEX(Проверки!$D:$D, ROW())</f>
        <v/>
      </c>
      <c r="L796" s="3">
        <f>INDEX(Проверки!$G:$G, ROW())</f>
        <v/>
      </c>
    </row>
    <row r="797">
      <c r="A797" s="3" t="n"/>
      <c r="B797" s="4" t="n"/>
      <c r="C797" s="3" t="n"/>
      <c r="D797" s="4" t="n"/>
      <c r="E797" s="3" t="n"/>
      <c r="F797" s="3" t="n"/>
      <c r="G797" s="3" t="n"/>
      <c r="H797" s="4" t="n"/>
      <c r="I797" s="4" t="n"/>
      <c r="J797" s="3">
        <f>INDEX(Проверки!$F:$F, ROW())</f>
        <v/>
      </c>
      <c r="K797" s="3">
        <f>INDEX(Проверки!$D:$D, ROW())</f>
        <v/>
      </c>
      <c r="L797" s="3">
        <f>INDEX(Проверки!$G:$G, ROW())</f>
        <v/>
      </c>
    </row>
    <row r="798">
      <c r="A798" s="3" t="n"/>
      <c r="B798" s="4" t="n"/>
      <c r="C798" s="3" t="n"/>
      <c r="D798" s="4" t="n"/>
      <c r="E798" s="3" t="n"/>
      <c r="F798" s="3" t="n"/>
      <c r="G798" s="3" t="n"/>
      <c r="H798" s="4" t="n"/>
      <c r="I798" s="4" t="n"/>
      <c r="J798" s="3">
        <f>INDEX(Проверки!$F:$F, ROW())</f>
        <v/>
      </c>
      <c r="K798" s="3">
        <f>INDEX(Проверки!$D:$D, ROW())</f>
        <v/>
      </c>
      <c r="L798" s="3">
        <f>INDEX(Проверки!$G:$G, ROW())</f>
        <v/>
      </c>
    </row>
    <row r="799">
      <c r="A799" s="3" t="n"/>
      <c r="B799" s="4" t="n"/>
      <c r="C799" s="3" t="n"/>
      <c r="D799" s="4" t="n"/>
      <c r="E799" s="3" t="n"/>
      <c r="F799" s="3" t="n"/>
      <c r="G799" s="3" t="n"/>
      <c r="H799" s="4" t="n"/>
      <c r="I799" s="4" t="n"/>
      <c r="J799" s="3">
        <f>INDEX(Проверки!$F:$F, ROW())</f>
        <v/>
      </c>
      <c r="K799" s="3">
        <f>INDEX(Проверки!$D:$D, ROW())</f>
        <v/>
      </c>
      <c r="L799" s="3">
        <f>INDEX(Проверки!$G:$G, ROW())</f>
        <v/>
      </c>
    </row>
    <row r="800">
      <c r="A800" s="3" t="n"/>
      <c r="B800" s="4" t="n"/>
      <c r="C800" s="3" t="n"/>
      <c r="D800" s="4" t="n"/>
      <c r="E800" s="3" t="n"/>
      <c r="F800" s="3" t="n"/>
      <c r="G800" s="3" t="n"/>
      <c r="H800" s="4" t="n"/>
      <c r="I800" s="4" t="n"/>
      <c r="J800" s="3">
        <f>INDEX(Проверки!$F:$F, ROW())</f>
        <v/>
      </c>
      <c r="K800" s="3">
        <f>INDEX(Проверки!$D:$D, ROW())</f>
        <v/>
      </c>
      <c r="L800" s="3">
        <f>INDEX(Проверки!$G:$G, ROW())</f>
        <v/>
      </c>
    </row>
    <row r="801">
      <c r="A801" s="3" t="n"/>
      <c r="B801" s="4" t="n"/>
      <c r="C801" s="3" t="n"/>
      <c r="D801" s="4" t="n"/>
      <c r="E801" s="3" t="n"/>
      <c r="F801" s="3" t="n"/>
      <c r="G801" s="3" t="n"/>
      <c r="H801" s="4" t="n"/>
      <c r="I801" s="4" t="n"/>
      <c r="J801" s="3">
        <f>INDEX(Проверки!$F:$F, ROW())</f>
        <v/>
      </c>
      <c r="K801" s="3">
        <f>INDEX(Проверки!$D:$D, ROW())</f>
        <v/>
      </c>
      <c r="L801" s="3">
        <f>INDEX(Проверки!$G:$G, ROW())</f>
        <v/>
      </c>
    </row>
    <row r="802">
      <c r="A802" s="3" t="n"/>
      <c r="B802" s="4" t="n"/>
      <c r="C802" s="3" t="n"/>
      <c r="D802" s="4" t="n"/>
      <c r="E802" s="3" t="n"/>
      <c r="F802" s="3" t="n"/>
      <c r="G802" s="3" t="n"/>
      <c r="H802" s="4" t="n"/>
      <c r="I802" s="4" t="n"/>
      <c r="J802" s="3">
        <f>INDEX(Проверки!$F:$F, ROW())</f>
        <v/>
      </c>
      <c r="K802" s="3">
        <f>INDEX(Проверки!$D:$D, ROW())</f>
        <v/>
      </c>
      <c r="L802" s="3">
        <f>INDEX(Проверки!$G:$G, ROW())</f>
        <v/>
      </c>
    </row>
    <row r="803">
      <c r="A803" s="3" t="n"/>
      <c r="B803" s="4" t="n"/>
      <c r="C803" s="3" t="n"/>
      <c r="D803" s="4" t="n"/>
      <c r="E803" s="3" t="n"/>
      <c r="F803" s="3" t="n"/>
      <c r="G803" s="3" t="n"/>
      <c r="H803" s="4" t="n"/>
      <c r="I803" s="4" t="n"/>
      <c r="J803" s="3">
        <f>INDEX(Проверки!$F:$F, ROW())</f>
        <v/>
      </c>
      <c r="K803" s="3">
        <f>INDEX(Проверки!$D:$D, ROW())</f>
        <v/>
      </c>
      <c r="L803" s="3">
        <f>INDEX(Проверки!$G:$G, ROW())</f>
        <v/>
      </c>
    </row>
    <row r="804">
      <c r="A804" s="3" t="n"/>
      <c r="B804" s="4" t="n"/>
      <c r="C804" s="3" t="n"/>
      <c r="D804" s="4" t="n"/>
      <c r="E804" s="3" t="n"/>
      <c r="F804" s="3" t="n"/>
      <c r="G804" s="3" t="n"/>
      <c r="H804" s="4" t="n"/>
      <c r="I804" s="4" t="n"/>
      <c r="J804" s="3">
        <f>INDEX(Проверки!$F:$F, ROW())</f>
        <v/>
      </c>
      <c r="K804" s="3">
        <f>INDEX(Проверки!$D:$D, ROW())</f>
        <v/>
      </c>
      <c r="L804" s="3">
        <f>INDEX(Проверки!$G:$G, ROW())</f>
        <v/>
      </c>
    </row>
    <row r="805">
      <c r="A805" s="3" t="n"/>
      <c r="B805" s="4" t="n"/>
      <c r="C805" s="3" t="n"/>
      <c r="D805" s="4" t="n"/>
      <c r="E805" s="3" t="n"/>
      <c r="F805" s="3" t="n"/>
      <c r="G805" s="3" t="n"/>
      <c r="H805" s="4" t="n"/>
      <c r="I805" s="4" t="n"/>
      <c r="J805" s="3">
        <f>INDEX(Проверки!$F:$F, ROW())</f>
        <v/>
      </c>
      <c r="K805" s="3">
        <f>INDEX(Проверки!$D:$D, ROW())</f>
        <v/>
      </c>
      <c r="L805" s="3">
        <f>INDEX(Проверки!$G:$G, ROW())</f>
        <v/>
      </c>
    </row>
    <row r="806">
      <c r="A806" s="3" t="n"/>
      <c r="B806" s="4" t="n"/>
      <c r="C806" s="3" t="n"/>
      <c r="D806" s="4" t="n"/>
      <c r="E806" s="3" t="n"/>
      <c r="F806" s="3" t="n"/>
      <c r="G806" s="3" t="n"/>
      <c r="H806" s="4" t="n"/>
      <c r="I806" s="4" t="n"/>
      <c r="J806" s="3">
        <f>INDEX(Проверки!$F:$F, ROW())</f>
        <v/>
      </c>
      <c r="K806" s="3">
        <f>INDEX(Проверки!$D:$D, ROW())</f>
        <v/>
      </c>
      <c r="L806" s="3">
        <f>INDEX(Проверки!$G:$G, ROW())</f>
        <v/>
      </c>
    </row>
    <row r="807">
      <c r="A807" s="3" t="n"/>
      <c r="B807" s="4" t="n"/>
      <c r="C807" s="3" t="n"/>
      <c r="D807" s="4" t="n"/>
      <c r="E807" s="3" t="n"/>
      <c r="F807" s="3" t="n"/>
      <c r="G807" s="3" t="n"/>
      <c r="H807" s="4" t="n"/>
      <c r="I807" s="4" t="n"/>
      <c r="J807" s="3">
        <f>INDEX(Проверки!$F:$F, ROW())</f>
        <v/>
      </c>
      <c r="K807" s="3">
        <f>INDEX(Проверки!$D:$D, ROW())</f>
        <v/>
      </c>
      <c r="L807" s="3">
        <f>INDEX(Проверки!$G:$G, ROW())</f>
        <v/>
      </c>
    </row>
    <row r="808">
      <c r="A808" s="3" t="n"/>
      <c r="B808" s="4" t="n"/>
      <c r="C808" s="3" t="n"/>
      <c r="D808" s="4" t="n"/>
      <c r="E808" s="3" t="n"/>
      <c r="F808" s="3" t="n"/>
      <c r="G808" s="3" t="n"/>
      <c r="H808" s="4" t="n"/>
      <c r="I808" s="4" t="n"/>
      <c r="J808" s="3">
        <f>INDEX(Проверки!$F:$F, ROW())</f>
        <v/>
      </c>
      <c r="K808" s="3">
        <f>INDEX(Проверки!$D:$D, ROW())</f>
        <v/>
      </c>
      <c r="L808" s="3">
        <f>INDEX(Проверки!$G:$G, ROW())</f>
        <v/>
      </c>
    </row>
    <row r="809">
      <c r="A809" s="3" t="n"/>
      <c r="B809" s="4" t="n"/>
      <c r="C809" s="3" t="n"/>
      <c r="D809" s="4" t="n"/>
      <c r="E809" s="3" t="n"/>
      <c r="F809" s="3" t="n"/>
      <c r="G809" s="3" t="n"/>
      <c r="H809" s="4" t="n"/>
      <c r="I809" s="4" t="n"/>
      <c r="J809" s="3">
        <f>INDEX(Проверки!$F:$F, ROW())</f>
        <v/>
      </c>
      <c r="K809" s="3">
        <f>INDEX(Проверки!$D:$D, ROW())</f>
        <v/>
      </c>
      <c r="L809" s="3">
        <f>INDEX(Проверки!$G:$G, ROW())</f>
        <v/>
      </c>
    </row>
    <row r="810">
      <c r="A810" s="3" t="n"/>
      <c r="B810" s="4" t="n"/>
      <c r="C810" s="3" t="n"/>
      <c r="D810" s="4" t="n"/>
      <c r="E810" s="3" t="n"/>
      <c r="F810" s="3" t="n"/>
      <c r="G810" s="3" t="n"/>
      <c r="H810" s="4" t="n"/>
      <c r="I810" s="4" t="n"/>
      <c r="J810" s="3">
        <f>INDEX(Проверки!$F:$F, ROW())</f>
        <v/>
      </c>
      <c r="K810" s="3">
        <f>INDEX(Проверки!$D:$D, ROW())</f>
        <v/>
      </c>
      <c r="L810" s="3">
        <f>INDEX(Проверки!$G:$G, ROW())</f>
        <v/>
      </c>
    </row>
    <row r="811">
      <c r="A811" s="3" t="n"/>
      <c r="B811" s="4" t="n"/>
      <c r="C811" s="3" t="n"/>
      <c r="D811" s="4" t="n"/>
      <c r="E811" s="3" t="n"/>
      <c r="F811" s="3" t="n"/>
      <c r="G811" s="3" t="n"/>
      <c r="H811" s="4" t="n"/>
      <c r="I811" s="4" t="n"/>
      <c r="J811" s="3">
        <f>INDEX(Проверки!$F:$F, ROW())</f>
        <v/>
      </c>
      <c r="K811" s="3">
        <f>INDEX(Проверки!$D:$D, ROW())</f>
        <v/>
      </c>
      <c r="L811" s="3">
        <f>INDEX(Проверки!$G:$G, ROW())</f>
        <v/>
      </c>
    </row>
    <row r="812">
      <c r="A812" s="3" t="n"/>
      <c r="B812" s="4" t="n"/>
      <c r="C812" s="3" t="n"/>
      <c r="D812" s="4" t="n"/>
      <c r="E812" s="3" t="n"/>
      <c r="F812" s="3" t="n"/>
      <c r="G812" s="3" t="n"/>
      <c r="H812" s="4" t="n"/>
      <c r="I812" s="4" t="n"/>
      <c r="J812" s="3">
        <f>INDEX(Проверки!$F:$F, ROW())</f>
        <v/>
      </c>
      <c r="K812" s="3">
        <f>INDEX(Проверки!$D:$D, ROW())</f>
        <v/>
      </c>
      <c r="L812" s="3">
        <f>INDEX(Проверки!$G:$G, ROW())</f>
        <v/>
      </c>
    </row>
    <row r="813">
      <c r="A813" s="3" t="n"/>
      <c r="B813" s="4" t="n"/>
      <c r="C813" s="3" t="n"/>
      <c r="D813" s="4" t="n"/>
      <c r="E813" s="3" t="n"/>
      <c r="F813" s="3" t="n"/>
      <c r="G813" s="3" t="n"/>
      <c r="H813" s="4" t="n"/>
      <c r="I813" s="4" t="n"/>
      <c r="J813" s="3">
        <f>INDEX(Проверки!$F:$F, ROW())</f>
        <v/>
      </c>
      <c r="K813" s="3">
        <f>INDEX(Проверки!$D:$D, ROW())</f>
        <v/>
      </c>
      <c r="L813" s="3">
        <f>INDEX(Проверки!$G:$G, ROW())</f>
        <v/>
      </c>
    </row>
    <row r="814">
      <c r="A814" s="3" t="n"/>
      <c r="B814" s="4" t="n"/>
      <c r="C814" s="3" t="n"/>
      <c r="D814" s="4" t="n"/>
      <c r="E814" s="3" t="n"/>
      <c r="F814" s="3" t="n"/>
      <c r="G814" s="3" t="n"/>
      <c r="H814" s="4" t="n"/>
      <c r="I814" s="4" t="n"/>
      <c r="J814" s="3">
        <f>INDEX(Проверки!$F:$F, ROW())</f>
        <v/>
      </c>
      <c r="K814" s="3">
        <f>INDEX(Проверки!$D:$D, ROW())</f>
        <v/>
      </c>
      <c r="L814" s="3">
        <f>INDEX(Проверки!$G:$G, ROW())</f>
        <v/>
      </c>
    </row>
    <row r="815">
      <c r="A815" s="3" t="n"/>
      <c r="B815" s="4" t="n"/>
      <c r="C815" s="3" t="n"/>
      <c r="D815" s="4" t="n"/>
      <c r="E815" s="3" t="n"/>
      <c r="F815" s="3" t="n"/>
      <c r="G815" s="3" t="n"/>
      <c r="H815" s="4" t="n"/>
      <c r="I815" s="4" t="n"/>
      <c r="J815" s="3">
        <f>INDEX(Проверки!$F:$F, ROW())</f>
        <v/>
      </c>
      <c r="K815" s="3">
        <f>INDEX(Проверки!$D:$D, ROW())</f>
        <v/>
      </c>
      <c r="L815" s="3">
        <f>INDEX(Проверки!$G:$G, ROW())</f>
        <v/>
      </c>
    </row>
    <row r="816">
      <c r="A816" s="3" t="n"/>
      <c r="B816" s="4" t="n"/>
      <c r="C816" s="3" t="n"/>
      <c r="D816" s="4" t="n"/>
      <c r="E816" s="3" t="n"/>
      <c r="F816" s="3" t="n"/>
      <c r="G816" s="3" t="n"/>
      <c r="H816" s="4" t="n"/>
      <c r="I816" s="4" t="n"/>
      <c r="J816" s="3">
        <f>INDEX(Проверки!$F:$F, ROW())</f>
        <v/>
      </c>
      <c r="K816" s="3">
        <f>INDEX(Проверки!$D:$D, ROW())</f>
        <v/>
      </c>
      <c r="L816" s="3">
        <f>INDEX(Проверки!$G:$G, ROW())</f>
        <v/>
      </c>
    </row>
    <row r="817">
      <c r="A817" s="3" t="n"/>
      <c r="B817" s="4" t="n"/>
      <c r="C817" s="3" t="n"/>
      <c r="D817" s="4" t="n"/>
      <c r="E817" s="3" t="n"/>
      <c r="F817" s="3" t="n"/>
      <c r="G817" s="3" t="n"/>
      <c r="H817" s="4" t="n"/>
      <c r="I817" s="4" t="n"/>
      <c r="J817" s="3">
        <f>INDEX(Проверки!$F:$F, ROW())</f>
        <v/>
      </c>
      <c r="K817" s="3">
        <f>INDEX(Проверки!$D:$D, ROW())</f>
        <v/>
      </c>
      <c r="L817" s="3">
        <f>INDEX(Проверки!$G:$G, ROW())</f>
        <v/>
      </c>
    </row>
    <row r="818">
      <c r="A818" s="3" t="n"/>
      <c r="B818" s="4" t="n"/>
      <c r="C818" s="3" t="n"/>
      <c r="D818" s="4" t="n"/>
      <c r="E818" s="3" t="n"/>
      <c r="F818" s="3" t="n"/>
      <c r="G818" s="3" t="n"/>
      <c r="H818" s="4" t="n"/>
      <c r="I818" s="4" t="n"/>
      <c r="J818" s="3">
        <f>INDEX(Проверки!$F:$F, ROW())</f>
        <v/>
      </c>
      <c r="K818" s="3">
        <f>INDEX(Проверки!$D:$D, ROW())</f>
        <v/>
      </c>
      <c r="L818" s="3">
        <f>INDEX(Проверки!$G:$G, ROW())</f>
        <v/>
      </c>
    </row>
    <row r="819">
      <c r="A819" s="3" t="n"/>
      <c r="B819" s="4" t="n"/>
      <c r="C819" s="3" t="n"/>
      <c r="D819" s="4" t="n"/>
      <c r="E819" s="3" t="n"/>
      <c r="F819" s="3" t="n"/>
      <c r="G819" s="3" t="n"/>
      <c r="H819" s="4" t="n"/>
      <c r="I819" s="4" t="n"/>
      <c r="J819" s="3">
        <f>INDEX(Проверки!$F:$F, ROW())</f>
        <v/>
      </c>
      <c r="K819" s="3">
        <f>INDEX(Проверки!$D:$D, ROW())</f>
        <v/>
      </c>
      <c r="L819" s="3">
        <f>INDEX(Проверки!$G:$G, ROW())</f>
        <v/>
      </c>
    </row>
    <row r="820">
      <c r="A820" s="3" t="n"/>
      <c r="B820" s="4" t="n"/>
      <c r="C820" s="3" t="n"/>
      <c r="D820" s="4" t="n"/>
      <c r="E820" s="3" t="n"/>
      <c r="F820" s="3" t="n"/>
      <c r="G820" s="3" t="n"/>
      <c r="H820" s="4" t="n"/>
      <c r="I820" s="4" t="n"/>
      <c r="J820" s="3">
        <f>INDEX(Проверки!$F:$F, ROW())</f>
        <v/>
      </c>
      <c r="K820" s="3">
        <f>INDEX(Проверки!$D:$D, ROW())</f>
        <v/>
      </c>
      <c r="L820" s="3">
        <f>INDEX(Проверки!$G:$G, ROW())</f>
        <v/>
      </c>
    </row>
    <row r="821">
      <c r="A821" s="3" t="n"/>
      <c r="B821" s="4" t="n"/>
      <c r="C821" s="3" t="n"/>
      <c r="D821" s="4" t="n"/>
      <c r="E821" s="3" t="n"/>
      <c r="F821" s="3" t="n"/>
      <c r="G821" s="3" t="n"/>
      <c r="H821" s="4" t="n"/>
      <c r="I821" s="4" t="n"/>
      <c r="J821" s="3">
        <f>INDEX(Проверки!$F:$F, ROW())</f>
        <v/>
      </c>
      <c r="K821" s="3">
        <f>INDEX(Проверки!$D:$D, ROW())</f>
        <v/>
      </c>
      <c r="L821" s="3">
        <f>INDEX(Проверки!$G:$G, ROW())</f>
        <v/>
      </c>
    </row>
    <row r="822">
      <c r="A822" s="3" t="n"/>
      <c r="B822" s="4" t="n"/>
      <c r="C822" s="3" t="n"/>
      <c r="D822" s="4" t="n"/>
      <c r="E822" s="3" t="n"/>
      <c r="F822" s="3" t="n"/>
      <c r="G822" s="3" t="n"/>
      <c r="H822" s="4" t="n"/>
      <c r="I822" s="4" t="n"/>
      <c r="J822" s="3">
        <f>INDEX(Проверки!$F:$F, ROW())</f>
        <v/>
      </c>
      <c r="K822" s="3">
        <f>INDEX(Проверки!$D:$D, ROW())</f>
        <v/>
      </c>
      <c r="L822" s="3">
        <f>INDEX(Проверки!$G:$G, ROW())</f>
        <v/>
      </c>
    </row>
    <row r="823">
      <c r="A823" s="3" t="n"/>
      <c r="B823" s="4" t="n"/>
      <c r="C823" s="3" t="n"/>
      <c r="D823" s="4" t="n"/>
      <c r="E823" s="3" t="n"/>
      <c r="F823" s="3" t="n"/>
      <c r="G823" s="3" t="n"/>
      <c r="H823" s="4" t="n"/>
      <c r="I823" s="4" t="n"/>
      <c r="J823" s="3">
        <f>INDEX(Проверки!$F:$F, ROW())</f>
        <v/>
      </c>
      <c r="K823" s="3">
        <f>INDEX(Проверки!$D:$D, ROW())</f>
        <v/>
      </c>
      <c r="L823" s="3">
        <f>INDEX(Проверки!$G:$G, ROW())</f>
        <v/>
      </c>
    </row>
    <row r="824">
      <c r="A824" s="3" t="n"/>
      <c r="B824" s="4" t="n"/>
      <c r="C824" s="3" t="n"/>
      <c r="D824" s="4" t="n"/>
      <c r="E824" s="3" t="n"/>
      <c r="F824" s="3" t="n"/>
      <c r="G824" s="3" t="n"/>
      <c r="H824" s="4" t="n"/>
      <c r="I824" s="4" t="n"/>
      <c r="J824" s="3">
        <f>INDEX(Проверки!$F:$F, ROW())</f>
        <v/>
      </c>
      <c r="K824" s="3">
        <f>INDEX(Проверки!$D:$D, ROW())</f>
        <v/>
      </c>
      <c r="L824" s="3">
        <f>INDEX(Проверки!$G:$G, ROW())</f>
        <v/>
      </c>
    </row>
    <row r="825">
      <c r="A825" s="3" t="n"/>
      <c r="B825" s="4" t="n"/>
      <c r="C825" s="3" t="n"/>
      <c r="D825" s="4" t="n"/>
      <c r="E825" s="3" t="n"/>
      <c r="F825" s="3" t="n"/>
      <c r="G825" s="3" t="n"/>
      <c r="H825" s="4" t="n"/>
      <c r="I825" s="4" t="n"/>
      <c r="J825" s="3">
        <f>INDEX(Проверки!$F:$F, ROW())</f>
        <v/>
      </c>
      <c r="K825" s="3">
        <f>INDEX(Проверки!$D:$D, ROW())</f>
        <v/>
      </c>
      <c r="L825" s="3">
        <f>INDEX(Проверки!$G:$G, ROW())</f>
        <v/>
      </c>
    </row>
    <row r="826">
      <c r="A826" s="3" t="n"/>
      <c r="B826" s="4" t="n"/>
      <c r="C826" s="3" t="n"/>
      <c r="D826" s="4" t="n"/>
      <c r="E826" s="3" t="n"/>
      <c r="F826" s="3" t="n"/>
      <c r="G826" s="3" t="n"/>
      <c r="H826" s="4" t="n"/>
      <c r="I826" s="4" t="n"/>
      <c r="J826" s="3">
        <f>INDEX(Проверки!$F:$F, ROW())</f>
        <v/>
      </c>
      <c r="K826" s="3">
        <f>INDEX(Проверки!$D:$D, ROW())</f>
        <v/>
      </c>
      <c r="L826" s="3">
        <f>INDEX(Проверки!$G:$G, ROW())</f>
        <v/>
      </c>
    </row>
    <row r="827">
      <c r="A827" s="3" t="n"/>
      <c r="B827" s="4" t="n"/>
      <c r="C827" s="3" t="n"/>
      <c r="D827" s="4" t="n"/>
      <c r="E827" s="3" t="n"/>
      <c r="F827" s="3" t="n"/>
      <c r="G827" s="3" t="n"/>
      <c r="H827" s="4" t="n"/>
      <c r="I827" s="4" t="n"/>
      <c r="J827" s="3">
        <f>INDEX(Проверки!$F:$F, ROW())</f>
        <v/>
      </c>
      <c r="K827" s="3">
        <f>INDEX(Проверки!$D:$D, ROW())</f>
        <v/>
      </c>
      <c r="L827" s="3">
        <f>INDEX(Проверки!$G:$G, ROW())</f>
        <v/>
      </c>
    </row>
    <row r="828">
      <c r="A828" s="3" t="n"/>
      <c r="B828" s="4" t="n"/>
      <c r="C828" s="3" t="n"/>
      <c r="D828" s="4" t="n"/>
      <c r="E828" s="3" t="n"/>
      <c r="F828" s="3" t="n"/>
      <c r="G828" s="3" t="n"/>
      <c r="H828" s="4" t="n"/>
      <c r="I828" s="4" t="n"/>
      <c r="J828" s="3">
        <f>INDEX(Проверки!$F:$F, ROW())</f>
        <v/>
      </c>
      <c r="K828" s="3">
        <f>INDEX(Проверки!$D:$D, ROW())</f>
        <v/>
      </c>
      <c r="L828" s="3">
        <f>INDEX(Проверки!$G:$G, ROW())</f>
        <v/>
      </c>
    </row>
    <row r="829">
      <c r="A829" s="3" t="n"/>
      <c r="B829" s="4" t="n"/>
      <c r="C829" s="3" t="n"/>
      <c r="D829" s="4" t="n"/>
      <c r="E829" s="3" t="n"/>
      <c r="F829" s="3" t="n"/>
      <c r="G829" s="3" t="n"/>
      <c r="H829" s="4" t="n"/>
      <c r="I829" s="4" t="n"/>
      <c r="J829" s="3">
        <f>INDEX(Проверки!$F:$F, ROW())</f>
        <v/>
      </c>
      <c r="K829" s="3">
        <f>INDEX(Проверки!$D:$D, ROW())</f>
        <v/>
      </c>
      <c r="L829" s="3">
        <f>INDEX(Проверки!$G:$G, ROW())</f>
        <v/>
      </c>
    </row>
    <row r="830">
      <c r="A830" s="3" t="n"/>
      <c r="B830" s="4" t="n"/>
      <c r="C830" s="3" t="n"/>
      <c r="D830" s="4" t="n"/>
      <c r="E830" s="3" t="n"/>
      <c r="F830" s="3" t="n"/>
      <c r="G830" s="3" t="n"/>
      <c r="H830" s="4" t="n"/>
      <c r="I830" s="4" t="n"/>
      <c r="J830" s="3">
        <f>INDEX(Проверки!$F:$F, ROW())</f>
        <v/>
      </c>
      <c r="K830" s="3">
        <f>INDEX(Проверки!$D:$D, ROW())</f>
        <v/>
      </c>
      <c r="L830" s="3">
        <f>INDEX(Проверки!$G:$G, ROW())</f>
        <v/>
      </c>
    </row>
    <row r="831">
      <c r="A831" s="3" t="n"/>
      <c r="B831" s="4" t="n"/>
      <c r="C831" s="3" t="n"/>
      <c r="D831" s="4" t="n"/>
      <c r="E831" s="3" t="n"/>
      <c r="F831" s="3" t="n"/>
      <c r="G831" s="3" t="n"/>
      <c r="H831" s="4" t="n"/>
      <c r="I831" s="4" t="n"/>
      <c r="J831" s="3">
        <f>INDEX(Проверки!$F:$F, ROW())</f>
        <v/>
      </c>
      <c r="K831" s="3">
        <f>INDEX(Проверки!$D:$D, ROW())</f>
        <v/>
      </c>
      <c r="L831" s="3">
        <f>INDEX(Проверки!$G:$G, ROW())</f>
        <v/>
      </c>
    </row>
    <row r="832">
      <c r="A832" s="3" t="n"/>
      <c r="B832" s="4" t="n"/>
      <c r="C832" s="3" t="n"/>
      <c r="D832" s="4" t="n"/>
      <c r="E832" s="3" t="n"/>
      <c r="F832" s="3" t="n"/>
      <c r="G832" s="3" t="n"/>
      <c r="H832" s="4" t="n"/>
      <c r="I832" s="4" t="n"/>
      <c r="J832" s="3">
        <f>INDEX(Проверки!$F:$F, ROW())</f>
        <v/>
      </c>
      <c r="K832" s="3">
        <f>INDEX(Проверки!$D:$D, ROW())</f>
        <v/>
      </c>
      <c r="L832" s="3">
        <f>INDEX(Проверки!$G:$G, ROW())</f>
        <v/>
      </c>
    </row>
    <row r="833">
      <c r="A833" s="3" t="n"/>
      <c r="B833" s="4" t="n"/>
      <c r="C833" s="3" t="n"/>
      <c r="D833" s="4" t="n"/>
      <c r="E833" s="3" t="n"/>
      <c r="F833" s="3" t="n"/>
      <c r="G833" s="3" t="n"/>
      <c r="H833" s="4" t="n"/>
      <c r="I833" s="4" t="n"/>
      <c r="J833" s="3">
        <f>INDEX(Проверки!$F:$F, ROW())</f>
        <v/>
      </c>
      <c r="K833" s="3">
        <f>INDEX(Проверки!$D:$D, ROW())</f>
        <v/>
      </c>
      <c r="L833" s="3">
        <f>INDEX(Проверки!$G:$G, ROW())</f>
        <v/>
      </c>
    </row>
    <row r="834">
      <c r="A834" s="3" t="n"/>
      <c r="B834" s="4" t="n"/>
      <c r="C834" s="3" t="n"/>
      <c r="D834" s="4" t="n"/>
      <c r="E834" s="3" t="n"/>
      <c r="F834" s="3" t="n"/>
      <c r="G834" s="3" t="n"/>
      <c r="H834" s="4" t="n"/>
      <c r="I834" s="4" t="n"/>
      <c r="J834" s="3">
        <f>INDEX(Проверки!$F:$F, ROW())</f>
        <v/>
      </c>
      <c r="K834" s="3">
        <f>INDEX(Проверки!$D:$D, ROW())</f>
        <v/>
      </c>
      <c r="L834" s="3">
        <f>INDEX(Проверки!$G:$G, ROW())</f>
        <v/>
      </c>
    </row>
    <row r="835">
      <c r="A835" s="3" t="n"/>
      <c r="B835" s="4" t="n"/>
      <c r="C835" s="3" t="n"/>
      <c r="D835" s="4" t="n"/>
      <c r="E835" s="3" t="n"/>
      <c r="F835" s="3" t="n"/>
      <c r="G835" s="3" t="n"/>
      <c r="H835" s="4" t="n"/>
      <c r="I835" s="4" t="n"/>
      <c r="J835" s="3">
        <f>INDEX(Проверки!$F:$F, ROW())</f>
        <v/>
      </c>
      <c r="K835" s="3">
        <f>INDEX(Проверки!$D:$D, ROW())</f>
        <v/>
      </c>
      <c r="L835" s="3">
        <f>INDEX(Проверки!$G:$G, ROW())</f>
        <v/>
      </c>
    </row>
    <row r="836">
      <c r="A836" s="3" t="n"/>
      <c r="B836" s="4" t="n"/>
      <c r="C836" s="3" t="n"/>
      <c r="D836" s="4" t="n"/>
      <c r="E836" s="3" t="n"/>
      <c r="F836" s="3" t="n"/>
      <c r="G836" s="3" t="n"/>
      <c r="H836" s="4" t="n"/>
      <c r="I836" s="4" t="n"/>
      <c r="J836" s="3">
        <f>INDEX(Проверки!$F:$F, ROW())</f>
        <v/>
      </c>
      <c r="K836" s="3">
        <f>INDEX(Проверки!$D:$D, ROW())</f>
        <v/>
      </c>
      <c r="L836" s="3">
        <f>INDEX(Проверки!$G:$G, ROW())</f>
        <v/>
      </c>
    </row>
    <row r="837">
      <c r="A837" s="3" t="n"/>
      <c r="B837" s="4" t="n"/>
      <c r="C837" s="3" t="n"/>
      <c r="D837" s="4" t="n"/>
      <c r="E837" s="3" t="n"/>
      <c r="F837" s="3" t="n"/>
      <c r="G837" s="3" t="n"/>
      <c r="H837" s="4" t="n"/>
      <c r="I837" s="4" t="n"/>
      <c r="J837" s="3">
        <f>INDEX(Проверки!$F:$F, ROW())</f>
        <v/>
      </c>
      <c r="K837" s="3">
        <f>INDEX(Проверки!$D:$D, ROW())</f>
        <v/>
      </c>
      <c r="L837" s="3">
        <f>INDEX(Проверки!$G:$G, ROW())</f>
        <v/>
      </c>
    </row>
    <row r="838">
      <c r="A838" s="3" t="n"/>
      <c r="B838" s="4" t="n"/>
      <c r="C838" s="3" t="n"/>
      <c r="D838" s="4" t="n"/>
      <c r="E838" s="3" t="n"/>
      <c r="F838" s="3" t="n"/>
      <c r="G838" s="3" t="n"/>
      <c r="H838" s="4" t="n"/>
      <c r="I838" s="4" t="n"/>
      <c r="J838" s="3">
        <f>INDEX(Проверки!$F:$F, ROW())</f>
        <v/>
      </c>
      <c r="K838" s="3">
        <f>INDEX(Проверки!$D:$D, ROW())</f>
        <v/>
      </c>
      <c r="L838" s="3">
        <f>INDEX(Проверки!$G:$G, ROW())</f>
        <v/>
      </c>
    </row>
    <row r="839">
      <c r="A839" s="3" t="n"/>
      <c r="B839" s="4" t="n"/>
      <c r="C839" s="3" t="n"/>
      <c r="D839" s="4" t="n"/>
      <c r="E839" s="3" t="n"/>
      <c r="F839" s="3" t="n"/>
      <c r="G839" s="3" t="n"/>
      <c r="H839" s="4" t="n"/>
      <c r="I839" s="4" t="n"/>
      <c r="J839" s="3">
        <f>INDEX(Проверки!$F:$F, ROW())</f>
        <v/>
      </c>
      <c r="K839" s="3">
        <f>INDEX(Проверки!$D:$D, ROW())</f>
        <v/>
      </c>
      <c r="L839" s="3">
        <f>INDEX(Проверки!$G:$G, ROW())</f>
        <v/>
      </c>
    </row>
    <row r="840">
      <c r="A840" s="3" t="n"/>
      <c r="B840" s="4" t="n"/>
      <c r="C840" s="3" t="n"/>
      <c r="D840" s="4" t="n"/>
      <c r="E840" s="3" t="n"/>
      <c r="F840" s="3" t="n"/>
      <c r="G840" s="3" t="n"/>
      <c r="H840" s="4" t="n"/>
      <c r="I840" s="4" t="n"/>
      <c r="J840" s="3">
        <f>INDEX(Проверки!$F:$F, ROW())</f>
        <v/>
      </c>
      <c r="K840" s="3">
        <f>INDEX(Проверки!$D:$D, ROW())</f>
        <v/>
      </c>
      <c r="L840" s="3">
        <f>INDEX(Проверки!$G:$G, ROW())</f>
        <v/>
      </c>
    </row>
    <row r="841">
      <c r="A841" s="3" t="n"/>
      <c r="B841" s="4" t="n"/>
      <c r="C841" s="3" t="n"/>
      <c r="D841" s="4" t="n"/>
      <c r="E841" s="3" t="n"/>
      <c r="F841" s="3" t="n"/>
      <c r="G841" s="3" t="n"/>
      <c r="H841" s="4" t="n"/>
      <c r="I841" s="4" t="n"/>
      <c r="J841" s="3">
        <f>INDEX(Проверки!$F:$F, ROW())</f>
        <v/>
      </c>
      <c r="K841" s="3">
        <f>INDEX(Проверки!$D:$D, ROW())</f>
        <v/>
      </c>
      <c r="L841" s="3">
        <f>INDEX(Проверки!$G:$G, ROW())</f>
        <v/>
      </c>
    </row>
    <row r="842">
      <c r="A842" s="3" t="n"/>
      <c r="B842" s="4" t="n"/>
      <c r="C842" s="3" t="n"/>
      <c r="D842" s="4" t="n"/>
      <c r="E842" s="3" t="n"/>
      <c r="F842" s="3" t="n"/>
      <c r="G842" s="3" t="n"/>
      <c r="H842" s="4" t="n"/>
      <c r="I842" s="4" t="n"/>
      <c r="J842" s="3">
        <f>INDEX(Проверки!$F:$F, ROW())</f>
        <v/>
      </c>
      <c r="K842" s="3">
        <f>INDEX(Проверки!$D:$D, ROW())</f>
        <v/>
      </c>
      <c r="L842" s="3">
        <f>INDEX(Проверки!$G:$G, ROW())</f>
        <v/>
      </c>
    </row>
    <row r="843">
      <c r="A843" s="3" t="n"/>
      <c r="B843" s="4" t="n"/>
      <c r="C843" s="3" t="n"/>
      <c r="D843" s="4" t="n"/>
      <c r="E843" s="3" t="n"/>
      <c r="F843" s="3" t="n"/>
      <c r="G843" s="3" t="n"/>
      <c r="H843" s="4" t="n"/>
      <c r="I843" s="4" t="n"/>
      <c r="J843" s="3">
        <f>INDEX(Проверки!$F:$F, ROW())</f>
        <v/>
      </c>
      <c r="K843" s="3">
        <f>INDEX(Проверки!$D:$D, ROW())</f>
        <v/>
      </c>
      <c r="L843" s="3">
        <f>INDEX(Проверки!$G:$G, ROW())</f>
        <v/>
      </c>
    </row>
    <row r="844">
      <c r="A844" s="3" t="n"/>
      <c r="B844" s="4" t="n"/>
      <c r="C844" s="3" t="n"/>
      <c r="D844" s="4" t="n"/>
      <c r="E844" s="3" t="n"/>
      <c r="F844" s="3" t="n"/>
      <c r="G844" s="3" t="n"/>
      <c r="H844" s="4" t="n"/>
      <c r="I844" s="4" t="n"/>
      <c r="J844" s="3">
        <f>INDEX(Проверки!$F:$F, ROW())</f>
        <v/>
      </c>
      <c r="K844" s="3">
        <f>INDEX(Проверки!$D:$D, ROW())</f>
        <v/>
      </c>
      <c r="L844" s="3">
        <f>INDEX(Проверки!$G:$G, ROW())</f>
        <v/>
      </c>
    </row>
    <row r="845">
      <c r="A845" s="3" t="n"/>
      <c r="B845" s="4" t="n"/>
      <c r="C845" s="3" t="n"/>
      <c r="D845" s="4" t="n"/>
      <c r="E845" s="3" t="n"/>
      <c r="F845" s="3" t="n"/>
      <c r="G845" s="3" t="n"/>
      <c r="H845" s="4" t="n"/>
      <c r="I845" s="4" t="n"/>
      <c r="J845" s="3">
        <f>INDEX(Проверки!$F:$F, ROW())</f>
        <v/>
      </c>
      <c r="K845" s="3">
        <f>INDEX(Проверки!$D:$D, ROW())</f>
        <v/>
      </c>
      <c r="L845" s="3">
        <f>INDEX(Проверки!$G:$G, ROW())</f>
        <v/>
      </c>
    </row>
    <row r="846">
      <c r="A846" s="3" t="n"/>
      <c r="B846" s="4" t="n"/>
      <c r="C846" s="3" t="n"/>
      <c r="D846" s="4" t="n"/>
      <c r="E846" s="3" t="n"/>
      <c r="F846" s="3" t="n"/>
      <c r="G846" s="3" t="n"/>
      <c r="H846" s="4" t="n"/>
      <c r="I846" s="4" t="n"/>
      <c r="J846" s="3">
        <f>INDEX(Проверки!$F:$F, ROW())</f>
        <v/>
      </c>
      <c r="K846" s="3">
        <f>INDEX(Проверки!$D:$D, ROW())</f>
        <v/>
      </c>
      <c r="L846" s="3">
        <f>INDEX(Проверки!$G:$G, ROW())</f>
        <v/>
      </c>
    </row>
    <row r="847">
      <c r="A847" s="3" t="n"/>
      <c r="B847" s="4" t="n"/>
      <c r="C847" s="3" t="n"/>
      <c r="D847" s="4" t="n"/>
      <c r="E847" s="3" t="n"/>
      <c r="F847" s="3" t="n"/>
      <c r="G847" s="3" t="n"/>
      <c r="H847" s="4" t="n"/>
      <c r="I847" s="4" t="n"/>
      <c r="J847" s="3">
        <f>INDEX(Проверки!$F:$F, ROW())</f>
        <v/>
      </c>
      <c r="K847" s="3">
        <f>INDEX(Проверки!$D:$D, ROW())</f>
        <v/>
      </c>
      <c r="L847" s="3">
        <f>INDEX(Проверки!$G:$G, ROW())</f>
        <v/>
      </c>
    </row>
    <row r="848">
      <c r="A848" s="3" t="n"/>
      <c r="B848" s="4" t="n"/>
      <c r="C848" s="3" t="n"/>
      <c r="D848" s="4" t="n"/>
      <c r="E848" s="3" t="n"/>
      <c r="F848" s="3" t="n"/>
      <c r="G848" s="3" t="n"/>
      <c r="H848" s="4" t="n"/>
      <c r="I848" s="4" t="n"/>
      <c r="J848" s="3">
        <f>INDEX(Проверки!$F:$F, ROW())</f>
        <v/>
      </c>
      <c r="K848" s="3">
        <f>INDEX(Проверки!$D:$D, ROW())</f>
        <v/>
      </c>
      <c r="L848" s="3">
        <f>INDEX(Проверки!$G:$G, ROW())</f>
        <v/>
      </c>
    </row>
    <row r="849">
      <c r="A849" s="3" t="n"/>
      <c r="B849" s="4" t="n"/>
      <c r="C849" s="3" t="n"/>
      <c r="D849" s="4" t="n"/>
      <c r="E849" s="3" t="n"/>
      <c r="F849" s="3" t="n"/>
      <c r="G849" s="3" t="n"/>
      <c r="H849" s="4" t="n"/>
      <c r="I849" s="4" t="n"/>
      <c r="J849" s="3">
        <f>INDEX(Проверки!$F:$F, ROW())</f>
        <v/>
      </c>
      <c r="K849" s="3">
        <f>INDEX(Проверки!$D:$D, ROW())</f>
        <v/>
      </c>
      <c r="L849" s="3">
        <f>INDEX(Проверки!$G:$G, ROW())</f>
        <v/>
      </c>
    </row>
    <row r="850">
      <c r="A850" s="3" t="n"/>
      <c r="B850" s="4" t="n"/>
      <c r="C850" s="3" t="n"/>
      <c r="D850" s="4" t="n"/>
      <c r="E850" s="3" t="n"/>
      <c r="F850" s="3" t="n"/>
      <c r="G850" s="3" t="n"/>
      <c r="H850" s="4" t="n"/>
      <c r="I850" s="4" t="n"/>
      <c r="J850" s="3">
        <f>INDEX(Проверки!$F:$F, ROW())</f>
        <v/>
      </c>
      <c r="K850" s="3">
        <f>INDEX(Проверки!$D:$D, ROW())</f>
        <v/>
      </c>
      <c r="L850" s="3">
        <f>INDEX(Проверки!$G:$G, ROW())</f>
        <v/>
      </c>
    </row>
    <row r="851">
      <c r="A851" s="3" t="n"/>
      <c r="B851" s="4" t="n"/>
      <c r="C851" s="3" t="n"/>
      <c r="D851" s="4" t="n"/>
      <c r="E851" s="3" t="n"/>
      <c r="F851" s="3" t="n"/>
      <c r="G851" s="3" t="n"/>
      <c r="H851" s="4" t="n"/>
      <c r="I851" s="4" t="n"/>
      <c r="J851" s="3">
        <f>INDEX(Проверки!$F:$F, ROW())</f>
        <v/>
      </c>
      <c r="K851" s="3">
        <f>INDEX(Проверки!$D:$D, ROW())</f>
        <v/>
      </c>
      <c r="L851" s="3">
        <f>INDEX(Проверки!$G:$G, ROW())</f>
        <v/>
      </c>
    </row>
    <row r="852">
      <c r="A852" s="3" t="n"/>
      <c r="B852" s="4" t="n"/>
      <c r="C852" s="3" t="n"/>
      <c r="D852" s="4" t="n"/>
      <c r="E852" s="3" t="n"/>
      <c r="F852" s="3" t="n"/>
      <c r="G852" s="3" t="n"/>
      <c r="H852" s="4" t="n"/>
      <c r="I852" s="4" t="n"/>
      <c r="J852" s="3">
        <f>INDEX(Проверки!$F:$F, ROW())</f>
        <v/>
      </c>
      <c r="K852" s="3">
        <f>INDEX(Проверки!$D:$D, ROW())</f>
        <v/>
      </c>
      <c r="L852" s="3">
        <f>INDEX(Проверки!$G:$G, ROW())</f>
        <v/>
      </c>
    </row>
    <row r="853">
      <c r="A853" s="3" t="n"/>
      <c r="B853" s="4" t="n"/>
      <c r="C853" s="3" t="n"/>
      <c r="D853" s="4" t="n"/>
      <c r="E853" s="3" t="n"/>
      <c r="F853" s="3" t="n"/>
      <c r="G853" s="3" t="n"/>
      <c r="H853" s="4" t="n"/>
      <c r="I853" s="4" t="n"/>
      <c r="J853" s="3">
        <f>INDEX(Проверки!$F:$F, ROW())</f>
        <v/>
      </c>
      <c r="K853" s="3">
        <f>INDEX(Проверки!$D:$D, ROW())</f>
        <v/>
      </c>
      <c r="L853" s="3">
        <f>INDEX(Проверки!$G:$G, ROW())</f>
        <v/>
      </c>
    </row>
    <row r="854">
      <c r="A854" s="3" t="n"/>
      <c r="B854" s="4" t="n"/>
      <c r="C854" s="3" t="n"/>
      <c r="D854" s="4" t="n"/>
      <c r="E854" s="3" t="n"/>
      <c r="F854" s="3" t="n"/>
      <c r="G854" s="3" t="n"/>
      <c r="H854" s="4" t="n"/>
      <c r="I854" s="4" t="n"/>
      <c r="J854" s="3">
        <f>INDEX(Проверки!$F:$F, ROW())</f>
        <v/>
      </c>
      <c r="K854" s="3">
        <f>INDEX(Проверки!$D:$D, ROW())</f>
        <v/>
      </c>
      <c r="L854" s="3">
        <f>INDEX(Проверки!$G:$G, ROW())</f>
        <v/>
      </c>
    </row>
    <row r="855">
      <c r="A855" s="3" t="n"/>
      <c r="B855" s="4" t="n"/>
      <c r="C855" s="3" t="n"/>
      <c r="D855" s="4" t="n"/>
      <c r="E855" s="3" t="n"/>
      <c r="F855" s="3" t="n"/>
      <c r="G855" s="3" t="n"/>
      <c r="H855" s="4" t="n"/>
      <c r="I855" s="4" t="n"/>
      <c r="J855" s="3">
        <f>INDEX(Проверки!$F:$F, ROW())</f>
        <v/>
      </c>
      <c r="K855" s="3">
        <f>INDEX(Проверки!$D:$D, ROW())</f>
        <v/>
      </c>
      <c r="L855" s="3">
        <f>INDEX(Проверки!$G:$G, ROW())</f>
        <v/>
      </c>
    </row>
    <row r="856">
      <c r="A856" s="3" t="n"/>
      <c r="B856" s="4" t="n"/>
      <c r="C856" s="3" t="n"/>
      <c r="D856" s="4" t="n"/>
      <c r="E856" s="3" t="n"/>
      <c r="F856" s="3" t="n"/>
      <c r="G856" s="3" t="n"/>
      <c r="H856" s="4" t="n"/>
      <c r="I856" s="4" t="n"/>
      <c r="J856" s="3">
        <f>INDEX(Проверки!$F:$F, ROW())</f>
        <v/>
      </c>
      <c r="K856" s="3">
        <f>INDEX(Проверки!$D:$D, ROW())</f>
        <v/>
      </c>
      <c r="L856" s="3">
        <f>INDEX(Проверки!$G:$G, ROW())</f>
        <v/>
      </c>
    </row>
    <row r="857">
      <c r="A857" s="3" t="n"/>
      <c r="B857" s="4" t="n"/>
      <c r="C857" s="3" t="n"/>
      <c r="D857" s="4" t="n"/>
      <c r="E857" s="3" t="n"/>
      <c r="F857" s="3" t="n"/>
      <c r="G857" s="3" t="n"/>
      <c r="H857" s="4" t="n"/>
      <c r="I857" s="4" t="n"/>
      <c r="J857" s="3">
        <f>INDEX(Проверки!$F:$F, ROW())</f>
        <v/>
      </c>
      <c r="K857" s="3">
        <f>INDEX(Проверки!$D:$D, ROW())</f>
        <v/>
      </c>
      <c r="L857" s="3">
        <f>INDEX(Проверки!$G:$G, ROW())</f>
        <v/>
      </c>
    </row>
    <row r="858">
      <c r="A858" s="3" t="n"/>
      <c r="B858" s="4" t="n"/>
      <c r="C858" s="3" t="n"/>
      <c r="D858" s="4" t="n"/>
      <c r="E858" s="3" t="n"/>
      <c r="F858" s="3" t="n"/>
      <c r="G858" s="3" t="n"/>
      <c r="H858" s="4" t="n"/>
      <c r="I858" s="4" t="n"/>
      <c r="J858" s="3">
        <f>INDEX(Проверки!$F:$F, ROW())</f>
        <v/>
      </c>
      <c r="K858" s="3">
        <f>INDEX(Проверки!$D:$D, ROW())</f>
        <v/>
      </c>
      <c r="L858" s="3">
        <f>INDEX(Проверки!$G:$G, ROW())</f>
        <v/>
      </c>
    </row>
    <row r="859">
      <c r="A859" s="3" t="n"/>
      <c r="B859" s="4" t="n"/>
      <c r="C859" s="3" t="n"/>
      <c r="D859" s="4" t="n"/>
      <c r="E859" s="3" t="n"/>
      <c r="F859" s="3" t="n"/>
      <c r="G859" s="3" t="n"/>
      <c r="H859" s="4" t="n"/>
      <c r="I859" s="4" t="n"/>
      <c r="J859" s="3">
        <f>INDEX(Проверки!$F:$F, ROW())</f>
        <v/>
      </c>
      <c r="K859" s="3">
        <f>INDEX(Проверки!$D:$D, ROW())</f>
        <v/>
      </c>
      <c r="L859" s="3">
        <f>INDEX(Проверки!$G:$G, ROW())</f>
        <v/>
      </c>
    </row>
    <row r="860">
      <c r="A860" s="3" t="n"/>
      <c r="B860" s="4" t="n"/>
      <c r="C860" s="3" t="n"/>
      <c r="D860" s="4" t="n"/>
      <c r="E860" s="3" t="n"/>
      <c r="F860" s="3" t="n"/>
      <c r="G860" s="3" t="n"/>
      <c r="H860" s="4" t="n"/>
      <c r="I860" s="4" t="n"/>
      <c r="J860" s="3">
        <f>INDEX(Проверки!$F:$F, ROW())</f>
        <v/>
      </c>
      <c r="K860" s="3">
        <f>INDEX(Проверки!$D:$D, ROW())</f>
        <v/>
      </c>
      <c r="L860" s="3">
        <f>INDEX(Проверки!$G:$G, ROW())</f>
        <v/>
      </c>
    </row>
    <row r="861">
      <c r="A861" s="3" t="n"/>
      <c r="B861" s="4" t="n"/>
      <c r="C861" s="3" t="n"/>
      <c r="D861" s="4" t="n"/>
      <c r="E861" s="3" t="n"/>
      <c r="F861" s="3" t="n"/>
      <c r="G861" s="3" t="n"/>
      <c r="H861" s="4" t="n"/>
      <c r="I861" s="4" t="n"/>
      <c r="J861" s="3">
        <f>INDEX(Проверки!$F:$F, ROW())</f>
        <v/>
      </c>
      <c r="K861" s="3">
        <f>INDEX(Проверки!$D:$D, ROW())</f>
        <v/>
      </c>
      <c r="L861" s="3">
        <f>INDEX(Проверки!$G:$G, ROW())</f>
        <v/>
      </c>
    </row>
    <row r="862">
      <c r="A862" s="3" t="n"/>
      <c r="B862" s="4" t="n"/>
      <c r="C862" s="3" t="n"/>
      <c r="D862" s="4" t="n"/>
      <c r="E862" s="3" t="n"/>
      <c r="F862" s="3" t="n"/>
      <c r="G862" s="3" t="n"/>
      <c r="H862" s="4" t="n"/>
      <c r="I862" s="4" t="n"/>
      <c r="J862" s="3">
        <f>INDEX(Проверки!$F:$F, ROW())</f>
        <v/>
      </c>
      <c r="K862" s="3">
        <f>INDEX(Проверки!$D:$D, ROW())</f>
        <v/>
      </c>
      <c r="L862" s="3">
        <f>INDEX(Проверки!$G:$G, ROW())</f>
        <v/>
      </c>
    </row>
    <row r="863">
      <c r="A863" s="3" t="n"/>
      <c r="B863" s="4" t="n"/>
      <c r="C863" s="3" t="n"/>
      <c r="D863" s="4" t="n"/>
      <c r="E863" s="3" t="n"/>
      <c r="F863" s="3" t="n"/>
      <c r="G863" s="3" t="n"/>
      <c r="H863" s="4" t="n"/>
      <c r="I863" s="4" t="n"/>
      <c r="J863" s="3">
        <f>INDEX(Проверки!$F:$F, ROW())</f>
        <v/>
      </c>
      <c r="K863" s="3">
        <f>INDEX(Проверки!$D:$D, ROW())</f>
        <v/>
      </c>
      <c r="L863" s="3">
        <f>INDEX(Проверки!$G:$G, ROW())</f>
        <v/>
      </c>
    </row>
    <row r="864">
      <c r="A864" s="3" t="n"/>
      <c r="B864" s="4" t="n"/>
      <c r="C864" s="3" t="n"/>
      <c r="D864" s="4" t="n"/>
      <c r="E864" s="3" t="n"/>
      <c r="F864" s="3" t="n"/>
      <c r="G864" s="3" t="n"/>
      <c r="H864" s="4" t="n"/>
      <c r="I864" s="4" t="n"/>
      <c r="J864" s="3">
        <f>INDEX(Проверки!$F:$F, ROW())</f>
        <v/>
      </c>
      <c r="K864" s="3">
        <f>INDEX(Проверки!$D:$D, ROW())</f>
        <v/>
      </c>
      <c r="L864" s="3">
        <f>INDEX(Проверки!$G:$G, ROW())</f>
        <v/>
      </c>
    </row>
    <row r="865">
      <c r="A865" s="3" t="n"/>
      <c r="B865" s="4" t="n"/>
      <c r="C865" s="3" t="n"/>
      <c r="D865" s="4" t="n"/>
      <c r="E865" s="3" t="n"/>
      <c r="F865" s="3" t="n"/>
      <c r="G865" s="3" t="n"/>
      <c r="H865" s="4" t="n"/>
      <c r="I865" s="4" t="n"/>
      <c r="J865" s="3">
        <f>INDEX(Проверки!$F:$F, ROW())</f>
        <v/>
      </c>
      <c r="K865" s="3">
        <f>INDEX(Проверки!$D:$D, ROW())</f>
        <v/>
      </c>
      <c r="L865" s="3">
        <f>INDEX(Проверки!$G:$G, ROW())</f>
        <v/>
      </c>
    </row>
    <row r="866">
      <c r="A866" s="3" t="n"/>
      <c r="B866" s="4" t="n"/>
      <c r="C866" s="3" t="n"/>
      <c r="D866" s="4" t="n"/>
      <c r="E866" s="3" t="n"/>
      <c r="F866" s="3" t="n"/>
      <c r="G866" s="3" t="n"/>
      <c r="H866" s="4" t="n"/>
      <c r="I866" s="4" t="n"/>
      <c r="J866" s="3">
        <f>INDEX(Проверки!$F:$F, ROW())</f>
        <v/>
      </c>
      <c r="K866" s="3">
        <f>INDEX(Проверки!$D:$D, ROW())</f>
        <v/>
      </c>
      <c r="L866" s="3">
        <f>INDEX(Проверки!$G:$G, ROW())</f>
        <v/>
      </c>
    </row>
    <row r="867">
      <c r="A867" s="3" t="n"/>
      <c r="B867" s="4" t="n"/>
      <c r="C867" s="3" t="n"/>
      <c r="D867" s="4" t="n"/>
      <c r="E867" s="3" t="n"/>
      <c r="F867" s="3" t="n"/>
      <c r="G867" s="3" t="n"/>
      <c r="H867" s="4" t="n"/>
      <c r="I867" s="4" t="n"/>
      <c r="J867" s="3">
        <f>INDEX(Проверки!$F:$F, ROW())</f>
        <v/>
      </c>
      <c r="K867" s="3">
        <f>INDEX(Проверки!$D:$D, ROW())</f>
        <v/>
      </c>
      <c r="L867" s="3">
        <f>INDEX(Проверки!$G:$G, ROW())</f>
        <v/>
      </c>
    </row>
    <row r="868">
      <c r="A868" s="3" t="n"/>
      <c r="B868" s="4" t="n"/>
      <c r="C868" s="3" t="n"/>
      <c r="D868" s="4" t="n"/>
      <c r="E868" s="3" t="n"/>
      <c r="F868" s="3" t="n"/>
      <c r="G868" s="3" t="n"/>
      <c r="H868" s="4" t="n"/>
      <c r="I868" s="4" t="n"/>
      <c r="J868" s="3">
        <f>INDEX(Проверки!$F:$F, ROW())</f>
        <v/>
      </c>
      <c r="K868" s="3">
        <f>INDEX(Проверки!$D:$D, ROW())</f>
        <v/>
      </c>
      <c r="L868" s="3">
        <f>INDEX(Проверки!$G:$G, ROW())</f>
        <v/>
      </c>
    </row>
    <row r="869">
      <c r="A869" s="3" t="n"/>
      <c r="B869" s="4" t="n"/>
      <c r="C869" s="3" t="n"/>
      <c r="D869" s="4" t="n"/>
      <c r="E869" s="3" t="n"/>
      <c r="F869" s="3" t="n"/>
      <c r="G869" s="3" t="n"/>
      <c r="H869" s="4" t="n"/>
      <c r="I869" s="4" t="n"/>
      <c r="J869" s="3">
        <f>INDEX(Проверки!$F:$F, ROW())</f>
        <v/>
      </c>
      <c r="K869" s="3">
        <f>INDEX(Проверки!$D:$D, ROW())</f>
        <v/>
      </c>
      <c r="L869" s="3">
        <f>INDEX(Проверки!$G:$G, ROW())</f>
        <v/>
      </c>
    </row>
    <row r="870">
      <c r="A870" s="3" t="n"/>
      <c r="B870" s="4" t="n"/>
      <c r="C870" s="3" t="n"/>
      <c r="D870" s="4" t="n"/>
      <c r="E870" s="3" t="n"/>
      <c r="F870" s="3" t="n"/>
      <c r="G870" s="3" t="n"/>
      <c r="H870" s="4" t="n"/>
      <c r="I870" s="4" t="n"/>
      <c r="J870" s="3">
        <f>INDEX(Проверки!$F:$F, ROW())</f>
        <v/>
      </c>
      <c r="K870" s="3">
        <f>INDEX(Проверки!$D:$D, ROW())</f>
        <v/>
      </c>
      <c r="L870" s="3">
        <f>INDEX(Проверки!$G:$G, ROW())</f>
        <v/>
      </c>
    </row>
    <row r="871">
      <c r="A871" s="3" t="n"/>
      <c r="B871" s="4" t="n"/>
      <c r="C871" s="3" t="n"/>
      <c r="D871" s="4" t="n"/>
      <c r="E871" s="3" t="n"/>
      <c r="F871" s="3" t="n"/>
      <c r="G871" s="3" t="n"/>
      <c r="H871" s="4" t="n"/>
      <c r="I871" s="4" t="n"/>
      <c r="J871" s="3">
        <f>INDEX(Проверки!$F:$F, ROW())</f>
        <v/>
      </c>
      <c r="K871" s="3">
        <f>INDEX(Проверки!$D:$D, ROW())</f>
        <v/>
      </c>
      <c r="L871" s="3">
        <f>INDEX(Проверки!$G:$G, ROW())</f>
        <v/>
      </c>
    </row>
    <row r="872">
      <c r="A872" s="3" t="n"/>
      <c r="B872" s="4" t="n"/>
      <c r="C872" s="3" t="n"/>
      <c r="D872" s="4" t="n"/>
      <c r="E872" s="3" t="n"/>
      <c r="F872" s="3" t="n"/>
      <c r="G872" s="3" t="n"/>
      <c r="H872" s="4" t="n"/>
      <c r="I872" s="4" t="n"/>
      <c r="J872" s="3">
        <f>INDEX(Проверки!$F:$F, ROW())</f>
        <v/>
      </c>
      <c r="K872" s="3">
        <f>INDEX(Проверки!$D:$D, ROW())</f>
        <v/>
      </c>
      <c r="L872" s="3">
        <f>INDEX(Проверки!$G:$G, ROW())</f>
        <v/>
      </c>
    </row>
    <row r="873">
      <c r="A873" s="3" t="n"/>
      <c r="B873" s="4" t="n"/>
      <c r="C873" s="3" t="n"/>
      <c r="D873" s="4" t="n"/>
      <c r="E873" s="3" t="n"/>
      <c r="F873" s="3" t="n"/>
      <c r="G873" s="3" t="n"/>
      <c r="H873" s="4" t="n"/>
      <c r="I873" s="4" t="n"/>
      <c r="J873" s="3">
        <f>INDEX(Проверки!$F:$F, ROW())</f>
        <v/>
      </c>
      <c r="K873" s="3">
        <f>INDEX(Проверки!$D:$D, ROW())</f>
        <v/>
      </c>
      <c r="L873" s="3">
        <f>INDEX(Проверки!$G:$G, ROW())</f>
        <v/>
      </c>
    </row>
    <row r="874">
      <c r="A874" s="3" t="n"/>
      <c r="B874" s="4" t="n"/>
      <c r="C874" s="3" t="n"/>
      <c r="D874" s="4" t="n"/>
      <c r="E874" s="3" t="n"/>
      <c r="F874" s="3" t="n"/>
      <c r="G874" s="3" t="n"/>
      <c r="H874" s="4" t="n"/>
      <c r="I874" s="4" t="n"/>
      <c r="J874" s="3">
        <f>INDEX(Проверки!$F:$F, ROW())</f>
        <v/>
      </c>
      <c r="K874" s="3">
        <f>INDEX(Проверки!$D:$D, ROW())</f>
        <v/>
      </c>
      <c r="L874" s="3">
        <f>INDEX(Проверки!$G:$G, ROW())</f>
        <v/>
      </c>
    </row>
    <row r="875">
      <c r="A875" s="3" t="n"/>
      <c r="B875" s="4" t="n"/>
      <c r="C875" s="3" t="n"/>
      <c r="D875" s="4" t="n"/>
      <c r="E875" s="3" t="n"/>
      <c r="F875" s="3" t="n"/>
      <c r="G875" s="3" t="n"/>
      <c r="H875" s="4" t="n"/>
      <c r="I875" s="4" t="n"/>
      <c r="J875" s="3">
        <f>INDEX(Проверки!$F:$F, ROW())</f>
        <v/>
      </c>
      <c r="K875" s="3">
        <f>INDEX(Проверки!$D:$D, ROW())</f>
        <v/>
      </c>
      <c r="L875" s="3">
        <f>INDEX(Проверки!$G:$G, ROW())</f>
        <v/>
      </c>
    </row>
    <row r="876">
      <c r="A876" s="3" t="n"/>
      <c r="B876" s="4" t="n"/>
      <c r="C876" s="3" t="n"/>
      <c r="D876" s="4" t="n"/>
      <c r="E876" s="3" t="n"/>
      <c r="F876" s="3" t="n"/>
      <c r="G876" s="3" t="n"/>
      <c r="H876" s="4" t="n"/>
      <c r="I876" s="4" t="n"/>
      <c r="J876" s="3">
        <f>INDEX(Проверки!$F:$F, ROW())</f>
        <v/>
      </c>
      <c r="K876" s="3">
        <f>INDEX(Проверки!$D:$D, ROW())</f>
        <v/>
      </c>
      <c r="L876" s="3">
        <f>INDEX(Проверки!$G:$G, ROW())</f>
        <v/>
      </c>
    </row>
    <row r="877">
      <c r="A877" s="3" t="n"/>
      <c r="B877" s="4" t="n"/>
      <c r="C877" s="3" t="n"/>
      <c r="D877" s="4" t="n"/>
      <c r="E877" s="3" t="n"/>
      <c r="F877" s="3" t="n"/>
      <c r="G877" s="3" t="n"/>
      <c r="H877" s="4" t="n"/>
      <c r="I877" s="4" t="n"/>
      <c r="J877" s="3">
        <f>INDEX(Проверки!$F:$F, ROW())</f>
        <v/>
      </c>
      <c r="K877" s="3">
        <f>INDEX(Проверки!$D:$D, ROW())</f>
        <v/>
      </c>
      <c r="L877" s="3">
        <f>INDEX(Проверки!$G:$G, ROW())</f>
        <v/>
      </c>
    </row>
    <row r="878">
      <c r="A878" s="3" t="n"/>
      <c r="B878" s="4" t="n"/>
      <c r="C878" s="3" t="n"/>
      <c r="D878" s="4" t="n"/>
      <c r="E878" s="3" t="n"/>
      <c r="F878" s="3" t="n"/>
      <c r="G878" s="3" t="n"/>
      <c r="H878" s="4" t="n"/>
      <c r="I878" s="4" t="n"/>
      <c r="J878" s="3">
        <f>INDEX(Проверки!$F:$F, ROW())</f>
        <v/>
      </c>
      <c r="K878" s="3">
        <f>INDEX(Проверки!$D:$D, ROW())</f>
        <v/>
      </c>
      <c r="L878" s="3">
        <f>INDEX(Проверки!$G:$G, ROW())</f>
        <v/>
      </c>
    </row>
    <row r="879">
      <c r="A879" s="3" t="n"/>
      <c r="B879" s="4" t="n"/>
      <c r="C879" s="3" t="n"/>
      <c r="D879" s="4" t="n"/>
      <c r="E879" s="3" t="n"/>
      <c r="F879" s="3" t="n"/>
      <c r="G879" s="3" t="n"/>
      <c r="H879" s="4" t="n"/>
      <c r="I879" s="4" t="n"/>
      <c r="J879" s="3">
        <f>INDEX(Проверки!$F:$F, ROW())</f>
        <v/>
      </c>
      <c r="K879" s="3">
        <f>INDEX(Проверки!$D:$D, ROW())</f>
        <v/>
      </c>
      <c r="L879" s="3">
        <f>INDEX(Проверки!$G:$G, ROW())</f>
        <v/>
      </c>
    </row>
    <row r="880">
      <c r="A880" s="3" t="n"/>
      <c r="B880" s="4" t="n"/>
      <c r="C880" s="3" t="n"/>
      <c r="D880" s="4" t="n"/>
      <c r="E880" s="3" t="n"/>
      <c r="F880" s="3" t="n"/>
      <c r="G880" s="3" t="n"/>
      <c r="H880" s="4" t="n"/>
      <c r="I880" s="4" t="n"/>
      <c r="J880" s="3">
        <f>INDEX(Проверки!$F:$F, ROW())</f>
        <v/>
      </c>
      <c r="K880" s="3">
        <f>INDEX(Проверки!$D:$D, ROW())</f>
        <v/>
      </c>
      <c r="L880" s="3">
        <f>INDEX(Проверки!$G:$G, ROW())</f>
        <v/>
      </c>
    </row>
    <row r="881">
      <c r="A881" s="3" t="n"/>
      <c r="B881" s="4" t="n"/>
      <c r="C881" s="3" t="n"/>
      <c r="D881" s="4" t="n"/>
      <c r="E881" s="3" t="n"/>
      <c r="F881" s="3" t="n"/>
      <c r="G881" s="3" t="n"/>
      <c r="H881" s="4" t="n"/>
      <c r="I881" s="4" t="n"/>
      <c r="J881" s="3">
        <f>INDEX(Проверки!$F:$F, ROW())</f>
        <v/>
      </c>
      <c r="K881" s="3">
        <f>INDEX(Проверки!$D:$D, ROW())</f>
        <v/>
      </c>
      <c r="L881" s="3">
        <f>INDEX(Проверки!$G:$G, ROW())</f>
        <v/>
      </c>
    </row>
    <row r="882">
      <c r="A882" s="3" t="n"/>
      <c r="B882" s="4" t="n"/>
      <c r="C882" s="3" t="n"/>
      <c r="D882" s="4" t="n"/>
      <c r="E882" s="3" t="n"/>
      <c r="F882" s="3" t="n"/>
      <c r="G882" s="3" t="n"/>
      <c r="H882" s="4" t="n"/>
      <c r="I882" s="4" t="n"/>
      <c r="J882" s="3">
        <f>INDEX(Проверки!$F:$F, ROW())</f>
        <v/>
      </c>
      <c r="K882" s="3">
        <f>INDEX(Проверки!$D:$D, ROW())</f>
        <v/>
      </c>
      <c r="L882" s="3">
        <f>INDEX(Проверки!$G:$G, ROW())</f>
        <v/>
      </c>
    </row>
    <row r="883">
      <c r="A883" s="3" t="n"/>
      <c r="B883" s="4" t="n"/>
      <c r="C883" s="3" t="n"/>
      <c r="D883" s="4" t="n"/>
      <c r="E883" s="3" t="n"/>
      <c r="F883" s="3" t="n"/>
      <c r="G883" s="3" t="n"/>
      <c r="H883" s="4" t="n"/>
      <c r="I883" s="4" t="n"/>
      <c r="J883" s="3">
        <f>INDEX(Проверки!$F:$F, ROW())</f>
        <v/>
      </c>
      <c r="K883" s="3">
        <f>INDEX(Проверки!$D:$D, ROW())</f>
        <v/>
      </c>
      <c r="L883" s="3">
        <f>INDEX(Проверки!$G:$G, ROW())</f>
        <v/>
      </c>
    </row>
    <row r="884">
      <c r="A884" s="3" t="n"/>
      <c r="B884" s="4" t="n"/>
      <c r="C884" s="3" t="n"/>
      <c r="D884" s="4" t="n"/>
      <c r="E884" s="3" t="n"/>
      <c r="F884" s="3" t="n"/>
      <c r="G884" s="3" t="n"/>
      <c r="H884" s="4" t="n"/>
      <c r="I884" s="4" t="n"/>
      <c r="J884" s="3">
        <f>INDEX(Проверки!$F:$F, ROW())</f>
        <v/>
      </c>
      <c r="K884" s="3">
        <f>INDEX(Проверки!$D:$D, ROW())</f>
        <v/>
      </c>
      <c r="L884" s="3">
        <f>INDEX(Проверки!$G:$G, ROW())</f>
        <v/>
      </c>
    </row>
    <row r="885">
      <c r="A885" s="3" t="n"/>
      <c r="B885" s="4" t="n"/>
      <c r="C885" s="3" t="n"/>
      <c r="D885" s="4" t="n"/>
      <c r="E885" s="3" t="n"/>
      <c r="F885" s="3" t="n"/>
      <c r="G885" s="3" t="n"/>
      <c r="H885" s="4" t="n"/>
      <c r="I885" s="4" t="n"/>
      <c r="J885" s="3">
        <f>INDEX(Проверки!$F:$F, ROW())</f>
        <v/>
      </c>
      <c r="K885" s="3">
        <f>INDEX(Проверки!$D:$D, ROW())</f>
        <v/>
      </c>
      <c r="L885" s="3">
        <f>INDEX(Проверки!$G:$G, ROW())</f>
        <v/>
      </c>
    </row>
    <row r="886">
      <c r="A886" s="3" t="n"/>
      <c r="B886" s="4" t="n"/>
      <c r="C886" s="3" t="n"/>
      <c r="D886" s="4" t="n"/>
      <c r="E886" s="3" t="n"/>
      <c r="F886" s="3" t="n"/>
      <c r="G886" s="3" t="n"/>
      <c r="H886" s="4" t="n"/>
      <c r="I886" s="4" t="n"/>
      <c r="J886" s="3">
        <f>INDEX(Проверки!$F:$F, ROW())</f>
        <v/>
      </c>
      <c r="K886" s="3">
        <f>INDEX(Проверки!$D:$D, ROW())</f>
        <v/>
      </c>
      <c r="L886" s="3">
        <f>INDEX(Проверки!$G:$G, ROW())</f>
        <v/>
      </c>
    </row>
    <row r="887">
      <c r="A887" s="3" t="n"/>
      <c r="B887" s="4" t="n"/>
      <c r="C887" s="3" t="n"/>
      <c r="D887" s="4" t="n"/>
      <c r="E887" s="3" t="n"/>
      <c r="F887" s="3" t="n"/>
      <c r="G887" s="3" t="n"/>
      <c r="H887" s="4" t="n"/>
      <c r="I887" s="4" t="n"/>
      <c r="J887" s="3">
        <f>INDEX(Проверки!$F:$F, ROW())</f>
        <v/>
      </c>
      <c r="K887" s="3">
        <f>INDEX(Проверки!$D:$D, ROW())</f>
        <v/>
      </c>
      <c r="L887" s="3">
        <f>INDEX(Проверки!$G:$G, ROW())</f>
        <v/>
      </c>
    </row>
    <row r="888">
      <c r="A888" s="3" t="n"/>
      <c r="B888" s="4" t="n"/>
      <c r="C888" s="3" t="n"/>
      <c r="D888" s="4" t="n"/>
      <c r="E888" s="3" t="n"/>
      <c r="F888" s="3" t="n"/>
      <c r="G888" s="3" t="n"/>
      <c r="H888" s="4" t="n"/>
      <c r="I888" s="4" t="n"/>
      <c r="J888" s="3">
        <f>INDEX(Проверки!$F:$F, ROW())</f>
        <v/>
      </c>
      <c r="K888" s="3">
        <f>INDEX(Проверки!$D:$D, ROW())</f>
        <v/>
      </c>
      <c r="L888" s="3">
        <f>INDEX(Проверки!$G:$G, ROW())</f>
        <v/>
      </c>
    </row>
    <row r="889">
      <c r="A889" s="3" t="n"/>
      <c r="B889" s="4" t="n"/>
      <c r="C889" s="3" t="n"/>
      <c r="D889" s="4" t="n"/>
      <c r="E889" s="3" t="n"/>
      <c r="F889" s="3" t="n"/>
      <c r="G889" s="3" t="n"/>
      <c r="H889" s="4" t="n"/>
      <c r="I889" s="4" t="n"/>
      <c r="J889" s="3">
        <f>INDEX(Проверки!$F:$F, ROW())</f>
        <v/>
      </c>
      <c r="K889" s="3">
        <f>INDEX(Проверки!$D:$D, ROW())</f>
        <v/>
      </c>
      <c r="L889" s="3">
        <f>INDEX(Проверки!$G:$G, ROW())</f>
        <v/>
      </c>
    </row>
    <row r="890">
      <c r="A890" s="3" t="n"/>
      <c r="B890" s="4" t="n"/>
      <c r="C890" s="3" t="n"/>
      <c r="D890" s="4" t="n"/>
      <c r="E890" s="3" t="n"/>
      <c r="F890" s="3" t="n"/>
      <c r="G890" s="3" t="n"/>
      <c r="H890" s="4" t="n"/>
      <c r="I890" s="4" t="n"/>
      <c r="J890" s="3">
        <f>INDEX(Проверки!$F:$F, ROW())</f>
        <v/>
      </c>
      <c r="K890" s="3">
        <f>INDEX(Проверки!$D:$D, ROW())</f>
        <v/>
      </c>
      <c r="L890" s="3">
        <f>INDEX(Проверки!$G:$G, ROW())</f>
        <v/>
      </c>
    </row>
    <row r="891">
      <c r="A891" s="3" t="n"/>
      <c r="B891" s="4" t="n"/>
      <c r="C891" s="3" t="n"/>
      <c r="D891" s="4" t="n"/>
      <c r="E891" s="3" t="n"/>
      <c r="F891" s="3" t="n"/>
      <c r="G891" s="3" t="n"/>
      <c r="H891" s="4" t="n"/>
      <c r="I891" s="4" t="n"/>
      <c r="J891" s="3">
        <f>INDEX(Проверки!$F:$F, ROW())</f>
        <v/>
      </c>
      <c r="K891" s="3">
        <f>INDEX(Проверки!$D:$D, ROW())</f>
        <v/>
      </c>
      <c r="L891" s="3">
        <f>INDEX(Проверки!$G:$G, ROW())</f>
        <v/>
      </c>
    </row>
    <row r="892">
      <c r="A892" s="3" t="n"/>
      <c r="B892" s="4" t="n"/>
      <c r="C892" s="3" t="n"/>
      <c r="D892" s="4" t="n"/>
      <c r="E892" s="3" t="n"/>
      <c r="F892" s="3" t="n"/>
      <c r="G892" s="3" t="n"/>
      <c r="H892" s="4" t="n"/>
      <c r="I892" s="4" t="n"/>
      <c r="J892" s="3">
        <f>INDEX(Проверки!$F:$F, ROW())</f>
        <v/>
      </c>
      <c r="K892" s="3">
        <f>INDEX(Проверки!$D:$D, ROW())</f>
        <v/>
      </c>
      <c r="L892" s="3">
        <f>INDEX(Проверки!$G:$G, ROW())</f>
        <v/>
      </c>
    </row>
    <row r="893">
      <c r="A893" s="3" t="n"/>
      <c r="B893" s="4" t="n"/>
      <c r="C893" s="3" t="n"/>
      <c r="D893" s="4" t="n"/>
      <c r="E893" s="3" t="n"/>
      <c r="F893" s="3" t="n"/>
      <c r="G893" s="3" t="n"/>
      <c r="H893" s="4" t="n"/>
      <c r="I893" s="4" t="n"/>
      <c r="J893" s="3">
        <f>INDEX(Проверки!$F:$F, ROW())</f>
        <v/>
      </c>
      <c r="K893" s="3">
        <f>INDEX(Проверки!$D:$D, ROW())</f>
        <v/>
      </c>
      <c r="L893" s="3">
        <f>INDEX(Проверки!$G:$G, ROW())</f>
        <v/>
      </c>
    </row>
    <row r="894">
      <c r="A894" s="3" t="n"/>
      <c r="B894" s="4" t="n"/>
      <c r="C894" s="3" t="n"/>
      <c r="D894" s="4" t="n"/>
      <c r="E894" s="3" t="n"/>
      <c r="F894" s="3" t="n"/>
      <c r="G894" s="3" t="n"/>
      <c r="H894" s="4" t="n"/>
      <c r="I894" s="4" t="n"/>
      <c r="J894" s="3">
        <f>INDEX(Проверки!$F:$F, ROW())</f>
        <v/>
      </c>
      <c r="K894" s="3">
        <f>INDEX(Проверки!$D:$D, ROW())</f>
        <v/>
      </c>
      <c r="L894" s="3">
        <f>INDEX(Проверки!$G:$G, ROW())</f>
        <v/>
      </c>
    </row>
    <row r="895">
      <c r="A895" s="3" t="n"/>
      <c r="B895" s="4" t="n"/>
      <c r="C895" s="3" t="n"/>
      <c r="D895" s="4" t="n"/>
      <c r="E895" s="3" t="n"/>
      <c r="F895" s="3" t="n"/>
      <c r="G895" s="3" t="n"/>
      <c r="H895" s="4" t="n"/>
      <c r="I895" s="4" t="n"/>
      <c r="J895" s="3">
        <f>INDEX(Проверки!$F:$F, ROW())</f>
        <v/>
      </c>
      <c r="K895" s="3">
        <f>INDEX(Проверки!$D:$D, ROW())</f>
        <v/>
      </c>
      <c r="L895" s="3">
        <f>INDEX(Проверки!$G:$G, ROW())</f>
        <v/>
      </c>
    </row>
    <row r="896">
      <c r="A896" s="3" t="n"/>
      <c r="B896" s="4" t="n"/>
      <c r="C896" s="3" t="n"/>
      <c r="D896" s="4" t="n"/>
      <c r="E896" s="3" t="n"/>
      <c r="F896" s="3" t="n"/>
      <c r="G896" s="3" t="n"/>
      <c r="H896" s="4" t="n"/>
      <c r="I896" s="4" t="n"/>
      <c r="J896" s="3">
        <f>INDEX(Проверки!$F:$F, ROW())</f>
        <v/>
      </c>
      <c r="K896" s="3">
        <f>INDEX(Проверки!$D:$D, ROW())</f>
        <v/>
      </c>
      <c r="L896" s="3">
        <f>INDEX(Проверки!$G:$G, ROW())</f>
        <v/>
      </c>
    </row>
    <row r="897">
      <c r="A897" s="3" t="n"/>
      <c r="B897" s="4" t="n"/>
      <c r="C897" s="3" t="n"/>
      <c r="D897" s="4" t="n"/>
      <c r="E897" s="3" t="n"/>
      <c r="F897" s="3" t="n"/>
      <c r="G897" s="3" t="n"/>
      <c r="H897" s="4" t="n"/>
      <c r="I897" s="4" t="n"/>
      <c r="J897" s="3">
        <f>INDEX(Проверки!$F:$F, ROW())</f>
        <v/>
      </c>
      <c r="K897" s="3">
        <f>INDEX(Проверки!$D:$D, ROW())</f>
        <v/>
      </c>
      <c r="L897" s="3">
        <f>INDEX(Проверки!$G:$G, ROW())</f>
        <v/>
      </c>
    </row>
    <row r="898">
      <c r="A898" s="3" t="n"/>
      <c r="B898" s="4" t="n"/>
      <c r="C898" s="3" t="n"/>
      <c r="D898" s="4" t="n"/>
      <c r="E898" s="3" t="n"/>
      <c r="F898" s="3" t="n"/>
      <c r="G898" s="3" t="n"/>
      <c r="H898" s="4" t="n"/>
      <c r="I898" s="4" t="n"/>
      <c r="J898" s="3">
        <f>INDEX(Проверки!$F:$F, ROW())</f>
        <v/>
      </c>
      <c r="K898" s="3">
        <f>INDEX(Проверки!$D:$D, ROW())</f>
        <v/>
      </c>
      <c r="L898" s="3">
        <f>INDEX(Проверки!$G:$G, ROW())</f>
        <v/>
      </c>
    </row>
    <row r="899">
      <c r="A899" s="3" t="n"/>
      <c r="B899" s="4" t="n"/>
      <c r="C899" s="3" t="n"/>
      <c r="D899" s="4" t="n"/>
      <c r="E899" s="3" t="n"/>
      <c r="F899" s="3" t="n"/>
      <c r="G899" s="3" t="n"/>
      <c r="H899" s="4" t="n"/>
      <c r="I899" s="4" t="n"/>
      <c r="J899" s="3">
        <f>INDEX(Проверки!$F:$F, ROW())</f>
        <v/>
      </c>
      <c r="K899" s="3">
        <f>INDEX(Проверки!$D:$D, ROW())</f>
        <v/>
      </c>
      <c r="L899" s="3">
        <f>INDEX(Проверки!$G:$G, ROW())</f>
        <v/>
      </c>
    </row>
    <row r="900">
      <c r="A900" s="3" t="n"/>
      <c r="B900" s="4" t="n"/>
      <c r="C900" s="3" t="n"/>
      <c r="D900" s="4" t="n"/>
      <c r="E900" s="3" t="n"/>
      <c r="F900" s="3" t="n"/>
      <c r="G900" s="3" t="n"/>
      <c r="H900" s="4" t="n"/>
      <c r="I900" s="4" t="n"/>
      <c r="J900" s="3">
        <f>INDEX(Проверки!$F:$F, ROW())</f>
        <v/>
      </c>
      <c r="K900" s="3">
        <f>INDEX(Проверки!$D:$D, ROW())</f>
        <v/>
      </c>
      <c r="L900" s="3">
        <f>INDEX(Проверки!$G:$G, ROW())</f>
        <v/>
      </c>
    </row>
    <row r="901">
      <c r="A901" s="3" t="n"/>
      <c r="B901" s="4" t="n"/>
      <c r="C901" s="3" t="n"/>
      <c r="D901" s="4" t="n"/>
      <c r="E901" s="3" t="n"/>
      <c r="F901" s="3" t="n"/>
      <c r="G901" s="3" t="n"/>
      <c r="H901" s="4" t="n"/>
      <c r="I901" s="4" t="n"/>
      <c r="J901" s="3">
        <f>INDEX(Проверки!$F:$F, ROW())</f>
        <v/>
      </c>
      <c r="K901" s="3">
        <f>INDEX(Проверки!$D:$D, ROW())</f>
        <v/>
      </c>
      <c r="L901" s="3">
        <f>INDEX(Проверки!$G:$G, ROW())</f>
        <v/>
      </c>
    </row>
    <row r="902">
      <c r="A902" s="3" t="n"/>
      <c r="B902" s="4" t="n"/>
      <c r="C902" s="3" t="n"/>
      <c r="D902" s="4" t="n"/>
      <c r="E902" s="3" t="n"/>
      <c r="F902" s="3" t="n"/>
      <c r="G902" s="3" t="n"/>
      <c r="H902" s="4" t="n"/>
      <c r="I902" s="4" t="n"/>
      <c r="J902" s="3">
        <f>INDEX(Проверки!$F:$F, ROW())</f>
        <v/>
      </c>
      <c r="K902" s="3">
        <f>INDEX(Проверки!$D:$D, ROW())</f>
        <v/>
      </c>
      <c r="L902" s="3">
        <f>INDEX(Проверки!$G:$G, ROW())</f>
        <v/>
      </c>
    </row>
    <row r="903">
      <c r="A903" s="3" t="n"/>
      <c r="B903" s="4" t="n"/>
      <c r="C903" s="3" t="n"/>
      <c r="D903" s="4" t="n"/>
      <c r="E903" s="3" t="n"/>
      <c r="F903" s="3" t="n"/>
      <c r="G903" s="3" t="n"/>
      <c r="H903" s="4" t="n"/>
      <c r="I903" s="4" t="n"/>
      <c r="J903" s="3">
        <f>INDEX(Проверки!$F:$F, ROW())</f>
        <v/>
      </c>
      <c r="K903" s="3">
        <f>INDEX(Проверки!$D:$D, ROW())</f>
        <v/>
      </c>
      <c r="L903" s="3">
        <f>INDEX(Проверки!$G:$G, ROW())</f>
        <v/>
      </c>
    </row>
    <row r="904">
      <c r="A904" s="3" t="n"/>
      <c r="B904" s="4" t="n"/>
      <c r="C904" s="3" t="n"/>
      <c r="D904" s="4" t="n"/>
      <c r="E904" s="3" t="n"/>
      <c r="F904" s="3" t="n"/>
      <c r="G904" s="3" t="n"/>
      <c r="H904" s="4" t="n"/>
      <c r="I904" s="4" t="n"/>
      <c r="J904" s="3">
        <f>INDEX(Проверки!$F:$F, ROW())</f>
        <v/>
      </c>
      <c r="K904" s="3">
        <f>INDEX(Проверки!$D:$D, ROW())</f>
        <v/>
      </c>
      <c r="L904" s="3">
        <f>INDEX(Проверки!$G:$G, ROW())</f>
        <v/>
      </c>
    </row>
    <row r="905">
      <c r="A905" s="3" t="n"/>
      <c r="B905" s="4" t="n"/>
      <c r="C905" s="3" t="n"/>
      <c r="D905" s="4" t="n"/>
      <c r="E905" s="3" t="n"/>
      <c r="F905" s="3" t="n"/>
      <c r="G905" s="3" t="n"/>
      <c r="H905" s="4" t="n"/>
      <c r="I905" s="4" t="n"/>
      <c r="J905" s="3">
        <f>INDEX(Проверки!$F:$F, ROW())</f>
        <v/>
      </c>
      <c r="K905" s="3">
        <f>INDEX(Проверки!$D:$D, ROW())</f>
        <v/>
      </c>
      <c r="L905" s="3">
        <f>INDEX(Проверки!$G:$G, ROW())</f>
        <v/>
      </c>
    </row>
    <row r="906">
      <c r="A906" s="3" t="n"/>
      <c r="B906" s="4" t="n"/>
      <c r="C906" s="3" t="n"/>
      <c r="D906" s="4" t="n"/>
      <c r="E906" s="3" t="n"/>
      <c r="F906" s="3" t="n"/>
      <c r="G906" s="3" t="n"/>
      <c r="H906" s="4" t="n"/>
      <c r="I906" s="4" t="n"/>
      <c r="J906" s="3">
        <f>INDEX(Проверки!$F:$F, ROW())</f>
        <v/>
      </c>
      <c r="K906" s="3">
        <f>INDEX(Проверки!$D:$D, ROW())</f>
        <v/>
      </c>
      <c r="L906" s="3">
        <f>INDEX(Проверки!$G:$G, ROW())</f>
        <v/>
      </c>
    </row>
    <row r="907">
      <c r="A907" s="3" t="n"/>
      <c r="B907" s="4" t="n"/>
      <c r="C907" s="3" t="n"/>
      <c r="D907" s="4" t="n"/>
      <c r="E907" s="3" t="n"/>
      <c r="F907" s="3" t="n"/>
      <c r="G907" s="3" t="n"/>
      <c r="H907" s="4" t="n"/>
      <c r="I907" s="4" t="n"/>
      <c r="J907" s="3">
        <f>INDEX(Проверки!$F:$F, ROW())</f>
        <v/>
      </c>
      <c r="K907" s="3">
        <f>INDEX(Проверки!$D:$D, ROW())</f>
        <v/>
      </c>
      <c r="L907" s="3">
        <f>INDEX(Проверки!$G:$G, ROW())</f>
        <v/>
      </c>
    </row>
    <row r="908">
      <c r="A908" s="3" t="n"/>
      <c r="B908" s="4" t="n"/>
      <c r="C908" s="3" t="n"/>
      <c r="D908" s="4" t="n"/>
      <c r="E908" s="3" t="n"/>
      <c r="F908" s="3" t="n"/>
      <c r="G908" s="3" t="n"/>
      <c r="H908" s="4" t="n"/>
      <c r="I908" s="4" t="n"/>
      <c r="J908" s="3">
        <f>INDEX(Проверки!$F:$F, ROW())</f>
        <v/>
      </c>
      <c r="K908" s="3">
        <f>INDEX(Проверки!$D:$D, ROW())</f>
        <v/>
      </c>
      <c r="L908" s="3">
        <f>INDEX(Проверки!$G:$G, ROW())</f>
        <v/>
      </c>
    </row>
    <row r="909">
      <c r="A909" s="3" t="n"/>
      <c r="B909" s="4" t="n"/>
      <c r="C909" s="3" t="n"/>
      <c r="D909" s="4" t="n"/>
      <c r="E909" s="3" t="n"/>
      <c r="F909" s="3" t="n"/>
      <c r="G909" s="3" t="n"/>
      <c r="H909" s="4" t="n"/>
      <c r="I909" s="4" t="n"/>
      <c r="J909" s="3">
        <f>INDEX(Проверки!$F:$F, ROW())</f>
        <v/>
      </c>
      <c r="K909" s="3">
        <f>INDEX(Проверки!$D:$D, ROW())</f>
        <v/>
      </c>
      <c r="L909" s="3">
        <f>INDEX(Проверки!$G:$G, ROW())</f>
        <v/>
      </c>
    </row>
    <row r="910">
      <c r="A910" s="3" t="n"/>
      <c r="B910" s="4" t="n"/>
      <c r="C910" s="3" t="n"/>
      <c r="D910" s="4" t="n"/>
      <c r="E910" s="3" t="n"/>
      <c r="F910" s="3" t="n"/>
      <c r="G910" s="3" t="n"/>
      <c r="H910" s="4" t="n"/>
      <c r="I910" s="4" t="n"/>
      <c r="J910" s="3">
        <f>INDEX(Проверки!$F:$F, ROW())</f>
        <v/>
      </c>
      <c r="K910" s="3">
        <f>INDEX(Проверки!$D:$D, ROW())</f>
        <v/>
      </c>
      <c r="L910" s="3">
        <f>INDEX(Проверки!$G:$G, ROW())</f>
        <v/>
      </c>
    </row>
    <row r="911">
      <c r="A911" s="3" t="n"/>
      <c r="B911" s="4" t="n"/>
      <c r="C911" s="3" t="n"/>
      <c r="D911" s="4" t="n"/>
      <c r="E911" s="3" t="n"/>
      <c r="F911" s="3" t="n"/>
      <c r="G911" s="3" t="n"/>
      <c r="H911" s="4" t="n"/>
      <c r="I911" s="4" t="n"/>
      <c r="J911" s="3">
        <f>INDEX(Проверки!$F:$F, ROW())</f>
        <v/>
      </c>
      <c r="K911" s="3">
        <f>INDEX(Проверки!$D:$D, ROW())</f>
        <v/>
      </c>
      <c r="L911" s="3">
        <f>INDEX(Проверки!$G:$G, ROW())</f>
        <v/>
      </c>
    </row>
    <row r="912">
      <c r="A912" s="3" t="n"/>
      <c r="B912" s="4" t="n"/>
      <c r="C912" s="3" t="n"/>
      <c r="D912" s="4" t="n"/>
      <c r="E912" s="3" t="n"/>
      <c r="F912" s="3" t="n"/>
      <c r="G912" s="3" t="n"/>
      <c r="H912" s="4" t="n"/>
      <c r="I912" s="4" t="n"/>
      <c r="J912" s="3">
        <f>INDEX(Проверки!$F:$F, ROW())</f>
        <v/>
      </c>
      <c r="K912" s="3">
        <f>INDEX(Проверки!$D:$D, ROW())</f>
        <v/>
      </c>
      <c r="L912" s="3">
        <f>INDEX(Проверки!$G:$G, ROW())</f>
        <v/>
      </c>
    </row>
    <row r="913">
      <c r="A913" s="3" t="n"/>
      <c r="B913" s="4" t="n"/>
      <c r="C913" s="3" t="n"/>
      <c r="D913" s="4" t="n"/>
      <c r="E913" s="3" t="n"/>
      <c r="F913" s="3" t="n"/>
      <c r="G913" s="3" t="n"/>
      <c r="H913" s="4" t="n"/>
      <c r="I913" s="4" t="n"/>
      <c r="J913" s="3">
        <f>INDEX(Проверки!$F:$F, ROW())</f>
        <v/>
      </c>
      <c r="K913" s="3">
        <f>INDEX(Проверки!$D:$D, ROW())</f>
        <v/>
      </c>
      <c r="L913" s="3">
        <f>INDEX(Проверки!$G:$G, ROW())</f>
        <v/>
      </c>
    </row>
    <row r="914">
      <c r="A914" s="3" t="n"/>
      <c r="B914" s="4" t="n"/>
      <c r="C914" s="3" t="n"/>
      <c r="D914" s="4" t="n"/>
      <c r="E914" s="3" t="n"/>
      <c r="F914" s="3" t="n"/>
      <c r="G914" s="3" t="n"/>
      <c r="H914" s="4" t="n"/>
      <c r="I914" s="4" t="n"/>
      <c r="J914" s="3">
        <f>INDEX(Проверки!$F:$F, ROW())</f>
        <v/>
      </c>
      <c r="K914" s="3">
        <f>INDEX(Проверки!$D:$D, ROW())</f>
        <v/>
      </c>
      <c r="L914" s="3">
        <f>INDEX(Проверки!$G:$G, ROW())</f>
        <v/>
      </c>
    </row>
    <row r="915">
      <c r="A915" s="3" t="n"/>
      <c r="B915" s="4" t="n"/>
      <c r="C915" s="3" t="n"/>
      <c r="D915" s="4" t="n"/>
      <c r="E915" s="3" t="n"/>
      <c r="F915" s="3" t="n"/>
      <c r="G915" s="3" t="n"/>
      <c r="H915" s="4" t="n"/>
      <c r="I915" s="4" t="n"/>
      <c r="J915" s="3">
        <f>INDEX(Проверки!$F:$F, ROW())</f>
        <v/>
      </c>
      <c r="K915" s="3">
        <f>INDEX(Проверки!$D:$D, ROW())</f>
        <v/>
      </c>
      <c r="L915" s="3">
        <f>INDEX(Проверки!$G:$G, ROW())</f>
        <v/>
      </c>
    </row>
    <row r="916">
      <c r="A916" s="3" t="n"/>
      <c r="B916" s="4" t="n"/>
      <c r="C916" s="3" t="n"/>
      <c r="D916" s="4" t="n"/>
      <c r="E916" s="3" t="n"/>
      <c r="F916" s="3" t="n"/>
      <c r="G916" s="3" t="n"/>
      <c r="H916" s="4" t="n"/>
      <c r="I916" s="4" t="n"/>
      <c r="J916" s="3">
        <f>INDEX(Проверки!$F:$F, ROW())</f>
        <v/>
      </c>
      <c r="K916" s="3">
        <f>INDEX(Проверки!$D:$D, ROW())</f>
        <v/>
      </c>
      <c r="L916" s="3">
        <f>INDEX(Проверки!$G:$G, ROW())</f>
        <v/>
      </c>
    </row>
    <row r="917">
      <c r="A917" s="3" t="n"/>
      <c r="B917" s="4" t="n"/>
      <c r="C917" s="3" t="n"/>
      <c r="D917" s="4" t="n"/>
      <c r="E917" s="3" t="n"/>
      <c r="F917" s="3" t="n"/>
      <c r="G917" s="3" t="n"/>
      <c r="H917" s="4" t="n"/>
      <c r="I917" s="4" t="n"/>
      <c r="J917" s="3">
        <f>INDEX(Проверки!$F:$F, ROW())</f>
        <v/>
      </c>
      <c r="K917" s="3">
        <f>INDEX(Проверки!$D:$D, ROW())</f>
        <v/>
      </c>
      <c r="L917" s="3">
        <f>INDEX(Проверки!$G:$G, ROW())</f>
        <v/>
      </c>
    </row>
    <row r="918">
      <c r="A918" s="3" t="n"/>
      <c r="B918" s="4" t="n"/>
      <c r="C918" s="3" t="n"/>
      <c r="D918" s="4" t="n"/>
      <c r="E918" s="3" t="n"/>
      <c r="F918" s="3" t="n"/>
      <c r="G918" s="3" t="n"/>
      <c r="H918" s="4" t="n"/>
      <c r="I918" s="4" t="n"/>
      <c r="J918" s="3">
        <f>INDEX(Проверки!$F:$F, ROW())</f>
        <v/>
      </c>
      <c r="K918" s="3">
        <f>INDEX(Проверки!$D:$D, ROW())</f>
        <v/>
      </c>
      <c r="L918" s="3">
        <f>INDEX(Проверки!$G:$G, ROW())</f>
        <v/>
      </c>
    </row>
    <row r="919">
      <c r="A919" s="3" t="n"/>
      <c r="B919" s="4" t="n"/>
      <c r="C919" s="3" t="n"/>
      <c r="D919" s="4" t="n"/>
      <c r="E919" s="3" t="n"/>
      <c r="F919" s="3" t="n"/>
      <c r="G919" s="3" t="n"/>
      <c r="H919" s="4" t="n"/>
      <c r="I919" s="4" t="n"/>
      <c r="J919" s="3">
        <f>INDEX(Проверки!$F:$F, ROW())</f>
        <v/>
      </c>
      <c r="K919" s="3">
        <f>INDEX(Проверки!$D:$D, ROW())</f>
        <v/>
      </c>
      <c r="L919" s="3">
        <f>INDEX(Проверки!$G:$G, ROW())</f>
        <v/>
      </c>
    </row>
    <row r="920">
      <c r="A920" s="3" t="n"/>
      <c r="B920" s="4" t="n"/>
      <c r="C920" s="3" t="n"/>
      <c r="D920" s="4" t="n"/>
      <c r="E920" s="3" t="n"/>
      <c r="F920" s="3" t="n"/>
      <c r="G920" s="3" t="n"/>
      <c r="H920" s="4" t="n"/>
      <c r="I920" s="4" t="n"/>
      <c r="J920" s="3">
        <f>INDEX(Проверки!$F:$F, ROW())</f>
        <v/>
      </c>
      <c r="K920" s="3">
        <f>INDEX(Проверки!$D:$D, ROW())</f>
        <v/>
      </c>
      <c r="L920" s="3">
        <f>INDEX(Проверки!$G:$G, ROW())</f>
        <v/>
      </c>
    </row>
    <row r="921">
      <c r="A921" s="3" t="n"/>
      <c r="B921" s="4" t="n"/>
      <c r="C921" s="3" t="n"/>
      <c r="D921" s="4" t="n"/>
      <c r="E921" s="3" t="n"/>
      <c r="F921" s="3" t="n"/>
      <c r="G921" s="3" t="n"/>
      <c r="H921" s="4" t="n"/>
      <c r="I921" s="4" t="n"/>
      <c r="J921" s="3">
        <f>INDEX(Проверки!$F:$F, ROW())</f>
        <v/>
      </c>
      <c r="K921" s="3">
        <f>INDEX(Проверки!$D:$D, ROW())</f>
        <v/>
      </c>
      <c r="L921" s="3">
        <f>INDEX(Проверки!$G:$G, ROW())</f>
        <v/>
      </c>
    </row>
    <row r="922">
      <c r="A922" s="3" t="n"/>
      <c r="B922" s="4" t="n"/>
      <c r="C922" s="3" t="n"/>
      <c r="D922" s="4" t="n"/>
      <c r="E922" s="3" t="n"/>
      <c r="F922" s="3" t="n"/>
      <c r="G922" s="3" t="n"/>
      <c r="H922" s="4" t="n"/>
      <c r="I922" s="4" t="n"/>
      <c r="J922" s="3">
        <f>INDEX(Проверки!$F:$F, ROW())</f>
        <v/>
      </c>
      <c r="K922" s="3">
        <f>INDEX(Проверки!$D:$D, ROW())</f>
        <v/>
      </c>
      <c r="L922" s="3">
        <f>INDEX(Проверки!$G:$G, ROW())</f>
        <v/>
      </c>
    </row>
    <row r="923">
      <c r="A923" s="3" t="n"/>
      <c r="B923" s="4" t="n"/>
      <c r="C923" s="3" t="n"/>
      <c r="D923" s="4" t="n"/>
      <c r="E923" s="3" t="n"/>
      <c r="F923" s="3" t="n"/>
      <c r="G923" s="3" t="n"/>
      <c r="H923" s="4" t="n"/>
      <c r="I923" s="4" t="n"/>
      <c r="J923" s="3">
        <f>INDEX(Проверки!$F:$F, ROW())</f>
        <v/>
      </c>
      <c r="K923" s="3">
        <f>INDEX(Проверки!$D:$D, ROW())</f>
        <v/>
      </c>
      <c r="L923" s="3">
        <f>INDEX(Проверки!$G:$G, ROW())</f>
        <v/>
      </c>
    </row>
    <row r="924">
      <c r="A924" s="3" t="n"/>
      <c r="B924" s="4" t="n"/>
      <c r="C924" s="3" t="n"/>
      <c r="D924" s="4" t="n"/>
      <c r="E924" s="3" t="n"/>
      <c r="F924" s="3" t="n"/>
      <c r="G924" s="3" t="n"/>
      <c r="H924" s="4" t="n"/>
      <c r="I924" s="4" t="n"/>
      <c r="J924" s="3">
        <f>INDEX(Проверки!$F:$F, ROW())</f>
        <v/>
      </c>
      <c r="K924" s="3">
        <f>INDEX(Проверки!$D:$D, ROW())</f>
        <v/>
      </c>
      <c r="L924" s="3">
        <f>INDEX(Проверки!$G:$G, ROW())</f>
        <v/>
      </c>
    </row>
    <row r="925">
      <c r="A925" s="3" t="n"/>
      <c r="B925" s="4" t="n"/>
      <c r="C925" s="3" t="n"/>
      <c r="D925" s="4" t="n"/>
      <c r="E925" s="3" t="n"/>
      <c r="F925" s="3" t="n"/>
      <c r="G925" s="3" t="n"/>
      <c r="H925" s="4" t="n"/>
      <c r="I925" s="4" t="n"/>
      <c r="J925" s="3">
        <f>INDEX(Проверки!$F:$F, ROW())</f>
        <v/>
      </c>
      <c r="K925" s="3">
        <f>INDEX(Проверки!$D:$D, ROW())</f>
        <v/>
      </c>
      <c r="L925" s="3">
        <f>INDEX(Проверки!$G:$G, ROW())</f>
        <v/>
      </c>
    </row>
    <row r="926">
      <c r="A926" s="3" t="n"/>
      <c r="B926" s="4" t="n"/>
      <c r="C926" s="3" t="n"/>
      <c r="D926" s="4" t="n"/>
      <c r="E926" s="3" t="n"/>
      <c r="F926" s="3" t="n"/>
      <c r="G926" s="3" t="n"/>
      <c r="H926" s="4" t="n"/>
      <c r="I926" s="4" t="n"/>
      <c r="J926" s="3">
        <f>INDEX(Проверки!$F:$F, ROW())</f>
        <v/>
      </c>
      <c r="K926" s="3">
        <f>INDEX(Проверки!$D:$D, ROW())</f>
        <v/>
      </c>
      <c r="L926" s="3">
        <f>INDEX(Проверки!$G:$G, ROW())</f>
        <v/>
      </c>
    </row>
    <row r="927">
      <c r="A927" s="3" t="n"/>
      <c r="B927" s="4" t="n"/>
      <c r="C927" s="3" t="n"/>
      <c r="D927" s="4" t="n"/>
      <c r="E927" s="3" t="n"/>
      <c r="F927" s="3" t="n"/>
      <c r="G927" s="3" t="n"/>
      <c r="H927" s="4" t="n"/>
      <c r="I927" s="4" t="n"/>
      <c r="J927" s="3">
        <f>INDEX(Проверки!$F:$F, ROW())</f>
        <v/>
      </c>
      <c r="K927" s="3">
        <f>INDEX(Проверки!$D:$D, ROW())</f>
        <v/>
      </c>
      <c r="L927" s="3">
        <f>INDEX(Проверки!$G:$G, ROW())</f>
        <v/>
      </c>
    </row>
    <row r="928">
      <c r="A928" s="3" t="n"/>
      <c r="B928" s="4" t="n"/>
      <c r="C928" s="3" t="n"/>
      <c r="D928" s="4" t="n"/>
      <c r="E928" s="3" t="n"/>
      <c r="F928" s="3" t="n"/>
      <c r="G928" s="3" t="n"/>
      <c r="H928" s="4" t="n"/>
      <c r="I928" s="4" t="n"/>
      <c r="J928" s="3">
        <f>INDEX(Проверки!$F:$F, ROW())</f>
        <v/>
      </c>
      <c r="K928" s="3">
        <f>INDEX(Проверки!$D:$D, ROW())</f>
        <v/>
      </c>
      <c r="L928" s="3">
        <f>INDEX(Проверки!$G:$G, ROW())</f>
        <v/>
      </c>
    </row>
    <row r="929">
      <c r="A929" s="3" t="n"/>
      <c r="B929" s="4" t="n"/>
      <c r="C929" s="3" t="n"/>
      <c r="D929" s="4" t="n"/>
      <c r="E929" s="3" t="n"/>
      <c r="F929" s="3" t="n"/>
      <c r="G929" s="3" t="n"/>
      <c r="H929" s="4" t="n"/>
      <c r="I929" s="4" t="n"/>
      <c r="J929" s="3">
        <f>INDEX(Проверки!$F:$F, ROW())</f>
        <v/>
      </c>
      <c r="K929" s="3">
        <f>INDEX(Проверки!$D:$D, ROW())</f>
        <v/>
      </c>
      <c r="L929" s="3">
        <f>INDEX(Проверки!$G:$G, ROW())</f>
        <v/>
      </c>
    </row>
    <row r="930">
      <c r="A930" s="3" t="n"/>
      <c r="B930" s="4" t="n"/>
      <c r="C930" s="3" t="n"/>
      <c r="D930" s="4" t="n"/>
      <c r="E930" s="3" t="n"/>
      <c r="F930" s="3" t="n"/>
      <c r="G930" s="3" t="n"/>
      <c r="H930" s="4" t="n"/>
      <c r="I930" s="4" t="n"/>
      <c r="J930" s="3">
        <f>INDEX(Проверки!$F:$F, ROW())</f>
        <v/>
      </c>
      <c r="K930" s="3">
        <f>INDEX(Проверки!$D:$D, ROW())</f>
        <v/>
      </c>
      <c r="L930" s="3">
        <f>INDEX(Проверки!$G:$G, ROW())</f>
        <v/>
      </c>
    </row>
    <row r="931">
      <c r="A931" s="3" t="n"/>
      <c r="B931" s="4" t="n"/>
      <c r="C931" s="3" t="n"/>
      <c r="D931" s="4" t="n"/>
      <c r="E931" s="3" t="n"/>
      <c r="F931" s="3" t="n"/>
      <c r="G931" s="3" t="n"/>
      <c r="H931" s="4" t="n"/>
      <c r="I931" s="4" t="n"/>
      <c r="J931" s="3">
        <f>INDEX(Проверки!$F:$F, ROW())</f>
        <v/>
      </c>
      <c r="K931" s="3">
        <f>INDEX(Проверки!$D:$D, ROW())</f>
        <v/>
      </c>
      <c r="L931" s="3">
        <f>INDEX(Проверки!$G:$G, ROW())</f>
        <v/>
      </c>
    </row>
    <row r="932">
      <c r="A932" s="3" t="n"/>
      <c r="B932" s="4" t="n"/>
      <c r="C932" s="3" t="n"/>
      <c r="D932" s="4" t="n"/>
      <c r="E932" s="3" t="n"/>
      <c r="F932" s="3" t="n"/>
      <c r="G932" s="3" t="n"/>
      <c r="H932" s="4" t="n"/>
      <c r="I932" s="4" t="n"/>
      <c r="J932" s="3">
        <f>INDEX(Проверки!$F:$F, ROW())</f>
        <v/>
      </c>
      <c r="K932" s="3">
        <f>INDEX(Проверки!$D:$D, ROW())</f>
        <v/>
      </c>
      <c r="L932" s="3">
        <f>INDEX(Проверки!$G:$G, ROW())</f>
        <v/>
      </c>
    </row>
    <row r="933">
      <c r="A933" s="3" t="n"/>
      <c r="B933" s="4" t="n"/>
      <c r="C933" s="3" t="n"/>
      <c r="D933" s="4" t="n"/>
      <c r="E933" s="3" t="n"/>
      <c r="F933" s="3" t="n"/>
      <c r="G933" s="3" t="n"/>
      <c r="H933" s="4" t="n"/>
      <c r="I933" s="4" t="n"/>
      <c r="J933" s="3">
        <f>INDEX(Проверки!$F:$F, ROW())</f>
        <v/>
      </c>
      <c r="K933" s="3">
        <f>INDEX(Проверки!$D:$D, ROW())</f>
        <v/>
      </c>
      <c r="L933" s="3">
        <f>INDEX(Проверки!$G:$G, ROW())</f>
        <v/>
      </c>
    </row>
    <row r="934">
      <c r="A934" s="3" t="n"/>
      <c r="B934" s="4" t="n"/>
      <c r="C934" s="3" t="n"/>
      <c r="D934" s="4" t="n"/>
      <c r="E934" s="3" t="n"/>
      <c r="F934" s="3" t="n"/>
      <c r="G934" s="3" t="n"/>
      <c r="H934" s="4" t="n"/>
      <c r="I934" s="4" t="n"/>
      <c r="J934" s="3">
        <f>INDEX(Проверки!$F:$F, ROW())</f>
        <v/>
      </c>
      <c r="K934" s="3">
        <f>INDEX(Проверки!$D:$D, ROW())</f>
        <v/>
      </c>
      <c r="L934" s="3">
        <f>INDEX(Проверки!$G:$G, ROW())</f>
        <v/>
      </c>
    </row>
    <row r="935">
      <c r="A935" s="3" t="n"/>
      <c r="B935" s="4" t="n"/>
      <c r="C935" s="3" t="n"/>
      <c r="D935" s="4" t="n"/>
      <c r="E935" s="3" t="n"/>
      <c r="F935" s="3" t="n"/>
      <c r="G935" s="3" t="n"/>
      <c r="H935" s="4" t="n"/>
      <c r="I935" s="4" t="n"/>
      <c r="J935" s="3">
        <f>INDEX(Проверки!$F:$F, ROW())</f>
        <v/>
      </c>
      <c r="K935" s="3">
        <f>INDEX(Проверки!$D:$D, ROW())</f>
        <v/>
      </c>
      <c r="L935" s="3">
        <f>INDEX(Проверки!$G:$G, ROW())</f>
        <v/>
      </c>
    </row>
    <row r="936">
      <c r="A936" s="3" t="n"/>
      <c r="B936" s="4" t="n"/>
      <c r="C936" s="3" t="n"/>
      <c r="D936" s="4" t="n"/>
      <c r="E936" s="3" t="n"/>
      <c r="F936" s="3" t="n"/>
      <c r="G936" s="3" t="n"/>
      <c r="H936" s="4" t="n"/>
      <c r="I936" s="4" t="n"/>
      <c r="J936" s="3">
        <f>INDEX(Проверки!$F:$F, ROW())</f>
        <v/>
      </c>
      <c r="K936" s="3">
        <f>INDEX(Проверки!$D:$D, ROW())</f>
        <v/>
      </c>
      <c r="L936" s="3">
        <f>INDEX(Проверки!$G:$G, ROW())</f>
        <v/>
      </c>
    </row>
    <row r="937">
      <c r="A937" s="3" t="n"/>
      <c r="B937" s="4" t="n"/>
      <c r="C937" s="3" t="n"/>
      <c r="D937" s="4" t="n"/>
      <c r="E937" s="3" t="n"/>
      <c r="F937" s="3" t="n"/>
      <c r="G937" s="3" t="n"/>
      <c r="H937" s="4" t="n"/>
      <c r="I937" s="4" t="n"/>
      <c r="J937" s="3">
        <f>INDEX(Проверки!$F:$F, ROW())</f>
        <v/>
      </c>
      <c r="K937" s="3">
        <f>INDEX(Проверки!$D:$D, ROW())</f>
        <v/>
      </c>
      <c r="L937" s="3">
        <f>INDEX(Проверки!$G:$G, ROW())</f>
        <v/>
      </c>
    </row>
    <row r="938">
      <c r="A938" s="3" t="n"/>
      <c r="B938" s="4" t="n"/>
      <c r="C938" s="3" t="n"/>
      <c r="D938" s="4" t="n"/>
      <c r="E938" s="3" t="n"/>
      <c r="F938" s="3" t="n"/>
      <c r="G938" s="3" t="n"/>
      <c r="H938" s="4" t="n"/>
      <c r="I938" s="4" t="n"/>
      <c r="J938" s="3">
        <f>INDEX(Проверки!$F:$F, ROW())</f>
        <v/>
      </c>
      <c r="K938" s="3">
        <f>INDEX(Проверки!$D:$D, ROW())</f>
        <v/>
      </c>
      <c r="L938" s="3">
        <f>INDEX(Проверки!$G:$G, ROW())</f>
        <v/>
      </c>
    </row>
    <row r="939">
      <c r="A939" s="3" t="n"/>
      <c r="B939" s="4" t="n"/>
      <c r="C939" s="3" t="n"/>
      <c r="D939" s="4" t="n"/>
      <c r="E939" s="3" t="n"/>
      <c r="F939" s="3" t="n"/>
      <c r="G939" s="3" t="n"/>
      <c r="H939" s="4" t="n"/>
      <c r="I939" s="4" t="n"/>
      <c r="J939" s="3">
        <f>INDEX(Проверки!$F:$F, ROW())</f>
        <v/>
      </c>
      <c r="K939" s="3">
        <f>INDEX(Проверки!$D:$D, ROW())</f>
        <v/>
      </c>
      <c r="L939" s="3">
        <f>INDEX(Проверки!$G:$G, ROW())</f>
        <v/>
      </c>
    </row>
    <row r="940">
      <c r="A940" s="3" t="n"/>
      <c r="B940" s="4" t="n"/>
      <c r="C940" s="3" t="n"/>
      <c r="D940" s="4" t="n"/>
      <c r="E940" s="3" t="n"/>
      <c r="F940" s="3" t="n"/>
      <c r="G940" s="3" t="n"/>
      <c r="H940" s="4" t="n"/>
      <c r="I940" s="4" t="n"/>
      <c r="J940" s="3">
        <f>INDEX(Проверки!$F:$F, ROW())</f>
        <v/>
      </c>
      <c r="K940" s="3">
        <f>INDEX(Проверки!$D:$D, ROW())</f>
        <v/>
      </c>
      <c r="L940" s="3">
        <f>INDEX(Проверки!$G:$G, ROW())</f>
        <v/>
      </c>
    </row>
    <row r="941">
      <c r="A941" s="3" t="n"/>
      <c r="B941" s="4" t="n"/>
      <c r="C941" s="3" t="n"/>
      <c r="D941" s="4" t="n"/>
      <c r="E941" s="3" t="n"/>
      <c r="F941" s="3" t="n"/>
      <c r="G941" s="3" t="n"/>
      <c r="H941" s="4" t="n"/>
      <c r="I941" s="4" t="n"/>
      <c r="J941" s="3">
        <f>INDEX(Проверки!$F:$F, ROW())</f>
        <v/>
      </c>
      <c r="K941" s="3">
        <f>INDEX(Проверки!$D:$D, ROW())</f>
        <v/>
      </c>
      <c r="L941" s="3">
        <f>INDEX(Проверки!$G:$G, ROW())</f>
        <v/>
      </c>
    </row>
    <row r="942">
      <c r="A942" s="3" t="n"/>
      <c r="B942" s="4" t="n"/>
      <c r="C942" s="3" t="n"/>
      <c r="D942" s="4" t="n"/>
      <c r="E942" s="3" t="n"/>
      <c r="F942" s="3" t="n"/>
      <c r="G942" s="3" t="n"/>
      <c r="H942" s="4" t="n"/>
      <c r="I942" s="4" t="n"/>
      <c r="J942" s="3">
        <f>INDEX(Проверки!$F:$F, ROW())</f>
        <v/>
      </c>
      <c r="K942" s="3">
        <f>INDEX(Проверки!$D:$D, ROW())</f>
        <v/>
      </c>
      <c r="L942" s="3">
        <f>INDEX(Проверки!$G:$G, ROW())</f>
        <v/>
      </c>
    </row>
    <row r="943">
      <c r="A943" s="3" t="n"/>
      <c r="B943" s="4" t="n"/>
      <c r="C943" s="3" t="n"/>
      <c r="D943" s="4" t="n"/>
      <c r="E943" s="3" t="n"/>
      <c r="F943" s="3" t="n"/>
      <c r="G943" s="3" t="n"/>
      <c r="H943" s="4" t="n"/>
      <c r="I943" s="4" t="n"/>
      <c r="J943" s="3">
        <f>INDEX(Проверки!$F:$F, ROW())</f>
        <v/>
      </c>
      <c r="K943" s="3">
        <f>INDEX(Проверки!$D:$D, ROW())</f>
        <v/>
      </c>
      <c r="L943" s="3">
        <f>INDEX(Проверки!$G:$G, ROW())</f>
        <v/>
      </c>
    </row>
    <row r="944">
      <c r="A944" s="3" t="n"/>
      <c r="B944" s="4" t="n"/>
      <c r="C944" s="3" t="n"/>
      <c r="D944" s="4" t="n"/>
      <c r="E944" s="3" t="n"/>
      <c r="F944" s="3" t="n"/>
      <c r="G944" s="3" t="n"/>
      <c r="H944" s="4" t="n"/>
      <c r="I944" s="4" t="n"/>
      <c r="J944" s="3">
        <f>INDEX(Проверки!$F:$F, ROW())</f>
        <v/>
      </c>
      <c r="K944" s="3">
        <f>INDEX(Проверки!$D:$D, ROW())</f>
        <v/>
      </c>
      <c r="L944" s="3">
        <f>INDEX(Проверки!$G:$G, ROW())</f>
        <v/>
      </c>
    </row>
    <row r="945">
      <c r="A945" s="3" t="n"/>
      <c r="B945" s="4" t="n"/>
      <c r="C945" s="3" t="n"/>
      <c r="D945" s="4" t="n"/>
      <c r="E945" s="3" t="n"/>
      <c r="F945" s="3" t="n"/>
      <c r="G945" s="3" t="n"/>
      <c r="H945" s="4" t="n"/>
      <c r="I945" s="4" t="n"/>
      <c r="J945" s="3">
        <f>INDEX(Проверки!$F:$F, ROW())</f>
        <v/>
      </c>
      <c r="K945" s="3">
        <f>INDEX(Проверки!$D:$D, ROW())</f>
        <v/>
      </c>
      <c r="L945" s="3">
        <f>INDEX(Проверки!$G:$G, ROW())</f>
        <v/>
      </c>
    </row>
    <row r="946">
      <c r="A946" s="3" t="n"/>
      <c r="B946" s="4" t="n"/>
      <c r="C946" s="3" t="n"/>
      <c r="D946" s="4" t="n"/>
      <c r="E946" s="3" t="n"/>
      <c r="F946" s="3" t="n"/>
      <c r="G946" s="3" t="n"/>
      <c r="H946" s="4" t="n"/>
      <c r="I946" s="4" t="n"/>
      <c r="J946" s="3">
        <f>INDEX(Проверки!$F:$F, ROW())</f>
        <v/>
      </c>
      <c r="K946" s="3">
        <f>INDEX(Проверки!$D:$D, ROW())</f>
        <v/>
      </c>
      <c r="L946" s="3">
        <f>INDEX(Проверки!$G:$G, ROW())</f>
        <v/>
      </c>
    </row>
    <row r="947">
      <c r="A947" s="3" t="n"/>
      <c r="B947" s="4" t="n"/>
      <c r="C947" s="3" t="n"/>
      <c r="D947" s="4" t="n"/>
      <c r="E947" s="3" t="n"/>
      <c r="F947" s="3" t="n"/>
      <c r="G947" s="3" t="n"/>
      <c r="H947" s="4" t="n"/>
      <c r="I947" s="4" t="n"/>
      <c r="J947" s="3">
        <f>INDEX(Проверки!$F:$F, ROW())</f>
        <v/>
      </c>
      <c r="K947" s="3">
        <f>INDEX(Проверки!$D:$D, ROW())</f>
        <v/>
      </c>
      <c r="L947" s="3">
        <f>INDEX(Проверки!$G:$G, ROW())</f>
        <v/>
      </c>
    </row>
    <row r="948">
      <c r="A948" s="3" t="n"/>
      <c r="B948" s="4" t="n"/>
      <c r="C948" s="3" t="n"/>
      <c r="D948" s="4" t="n"/>
      <c r="E948" s="3" t="n"/>
      <c r="F948" s="3" t="n"/>
      <c r="G948" s="3" t="n"/>
      <c r="H948" s="4" t="n"/>
      <c r="I948" s="4" t="n"/>
      <c r="J948" s="3">
        <f>INDEX(Проверки!$F:$F, ROW())</f>
        <v/>
      </c>
      <c r="K948" s="3">
        <f>INDEX(Проверки!$D:$D, ROW())</f>
        <v/>
      </c>
      <c r="L948" s="3">
        <f>INDEX(Проверки!$G:$G, ROW())</f>
        <v/>
      </c>
    </row>
    <row r="949">
      <c r="A949" s="3" t="n"/>
      <c r="B949" s="4" t="n"/>
      <c r="C949" s="3" t="n"/>
      <c r="D949" s="4" t="n"/>
      <c r="E949" s="3" t="n"/>
      <c r="F949" s="3" t="n"/>
      <c r="G949" s="3" t="n"/>
      <c r="H949" s="4" t="n"/>
      <c r="I949" s="4" t="n"/>
      <c r="J949" s="3">
        <f>INDEX(Проверки!$F:$F, ROW())</f>
        <v/>
      </c>
      <c r="K949" s="3">
        <f>INDEX(Проверки!$D:$D, ROW())</f>
        <v/>
      </c>
      <c r="L949" s="3">
        <f>INDEX(Проверки!$G:$G, ROW())</f>
        <v/>
      </c>
    </row>
    <row r="950">
      <c r="A950" s="3" t="n"/>
      <c r="B950" s="4" t="n"/>
      <c r="C950" s="3" t="n"/>
      <c r="D950" s="4" t="n"/>
      <c r="E950" s="3" t="n"/>
      <c r="F950" s="3" t="n"/>
      <c r="G950" s="3" t="n"/>
      <c r="H950" s="4" t="n"/>
      <c r="I950" s="4" t="n"/>
      <c r="J950" s="3">
        <f>INDEX(Проверки!$F:$F, ROW())</f>
        <v/>
      </c>
      <c r="K950" s="3">
        <f>INDEX(Проверки!$D:$D, ROW())</f>
        <v/>
      </c>
      <c r="L950" s="3">
        <f>INDEX(Проверки!$G:$G, ROW())</f>
        <v/>
      </c>
    </row>
    <row r="951">
      <c r="A951" s="3" t="n"/>
      <c r="B951" s="4" t="n"/>
      <c r="C951" s="3" t="n"/>
      <c r="D951" s="4" t="n"/>
      <c r="E951" s="3" t="n"/>
      <c r="F951" s="3" t="n"/>
      <c r="G951" s="3" t="n"/>
      <c r="H951" s="4" t="n"/>
      <c r="I951" s="4" t="n"/>
      <c r="J951" s="3">
        <f>INDEX(Проверки!$F:$F, ROW())</f>
        <v/>
      </c>
      <c r="K951" s="3">
        <f>INDEX(Проверки!$D:$D, ROW())</f>
        <v/>
      </c>
      <c r="L951" s="3">
        <f>INDEX(Проверки!$G:$G, ROW())</f>
        <v/>
      </c>
    </row>
    <row r="952">
      <c r="A952" s="3" t="n"/>
      <c r="B952" s="4" t="n"/>
      <c r="C952" s="3" t="n"/>
      <c r="D952" s="4" t="n"/>
      <c r="E952" s="3" t="n"/>
      <c r="F952" s="3" t="n"/>
      <c r="G952" s="3" t="n"/>
      <c r="H952" s="4" t="n"/>
      <c r="I952" s="4" t="n"/>
      <c r="J952" s="3">
        <f>INDEX(Проверки!$F:$F, ROW())</f>
        <v/>
      </c>
      <c r="K952" s="3">
        <f>INDEX(Проверки!$D:$D, ROW())</f>
        <v/>
      </c>
      <c r="L952" s="3">
        <f>INDEX(Проверки!$G:$G, ROW())</f>
        <v/>
      </c>
    </row>
    <row r="953">
      <c r="A953" s="3" t="n"/>
      <c r="B953" s="4" t="n"/>
      <c r="C953" s="3" t="n"/>
      <c r="D953" s="4" t="n"/>
      <c r="E953" s="3" t="n"/>
      <c r="F953" s="3" t="n"/>
      <c r="G953" s="3" t="n"/>
      <c r="H953" s="4" t="n"/>
      <c r="I953" s="4" t="n"/>
      <c r="J953" s="3">
        <f>INDEX(Проверки!$F:$F, ROW())</f>
        <v/>
      </c>
      <c r="K953" s="3">
        <f>INDEX(Проверки!$D:$D, ROW())</f>
        <v/>
      </c>
      <c r="L953" s="3">
        <f>INDEX(Проверки!$G:$G, ROW())</f>
        <v/>
      </c>
    </row>
    <row r="954">
      <c r="A954" s="3" t="n"/>
      <c r="B954" s="4" t="n"/>
      <c r="C954" s="3" t="n"/>
      <c r="D954" s="4" t="n"/>
      <c r="E954" s="3" t="n"/>
      <c r="F954" s="3" t="n"/>
      <c r="G954" s="3" t="n"/>
      <c r="H954" s="4" t="n"/>
      <c r="I954" s="4" t="n"/>
      <c r="J954" s="3">
        <f>INDEX(Проверки!$F:$F, ROW())</f>
        <v/>
      </c>
      <c r="K954" s="3">
        <f>INDEX(Проверки!$D:$D, ROW())</f>
        <v/>
      </c>
      <c r="L954" s="3">
        <f>INDEX(Проверки!$G:$G, ROW())</f>
        <v/>
      </c>
    </row>
    <row r="955">
      <c r="A955" s="3" t="n"/>
      <c r="B955" s="4" t="n"/>
      <c r="C955" s="3" t="n"/>
      <c r="D955" s="4" t="n"/>
      <c r="E955" s="3" t="n"/>
      <c r="F955" s="3" t="n"/>
      <c r="G955" s="3" t="n"/>
      <c r="H955" s="4" t="n"/>
      <c r="I955" s="4" t="n"/>
      <c r="J955" s="3">
        <f>INDEX(Проверки!$F:$F, ROW())</f>
        <v/>
      </c>
      <c r="K955" s="3">
        <f>INDEX(Проверки!$D:$D, ROW())</f>
        <v/>
      </c>
      <c r="L955" s="3">
        <f>INDEX(Проверки!$G:$G, ROW())</f>
        <v/>
      </c>
    </row>
    <row r="956">
      <c r="A956" s="3" t="n"/>
      <c r="B956" s="4" t="n"/>
      <c r="C956" s="3" t="n"/>
      <c r="D956" s="4" t="n"/>
      <c r="E956" s="3" t="n"/>
      <c r="F956" s="3" t="n"/>
      <c r="G956" s="3" t="n"/>
      <c r="H956" s="4" t="n"/>
      <c r="I956" s="4" t="n"/>
      <c r="J956" s="3">
        <f>INDEX(Проверки!$F:$F, ROW())</f>
        <v/>
      </c>
      <c r="K956" s="3">
        <f>INDEX(Проверки!$D:$D, ROW())</f>
        <v/>
      </c>
      <c r="L956" s="3">
        <f>INDEX(Проверки!$G:$G, ROW())</f>
        <v/>
      </c>
    </row>
    <row r="957">
      <c r="A957" s="3" t="n"/>
      <c r="B957" s="4" t="n"/>
      <c r="C957" s="3" t="n"/>
      <c r="D957" s="4" t="n"/>
      <c r="E957" s="3" t="n"/>
      <c r="F957" s="3" t="n"/>
      <c r="G957" s="3" t="n"/>
      <c r="H957" s="4" t="n"/>
      <c r="I957" s="4" t="n"/>
      <c r="J957" s="3">
        <f>INDEX(Проверки!$F:$F, ROW())</f>
        <v/>
      </c>
      <c r="K957" s="3">
        <f>INDEX(Проверки!$D:$D, ROW())</f>
        <v/>
      </c>
      <c r="L957" s="3">
        <f>INDEX(Проверки!$G:$G, ROW())</f>
        <v/>
      </c>
    </row>
    <row r="958">
      <c r="A958" s="3" t="n"/>
      <c r="B958" s="4" t="n"/>
      <c r="C958" s="3" t="n"/>
      <c r="D958" s="4" t="n"/>
      <c r="E958" s="3" t="n"/>
      <c r="F958" s="3" t="n"/>
      <c r="G958" s="3" t="n"/>
      <c r="H958" s="4" t="n"/>
      <c r="I958" s="4" t="n"/>
      <c r="J958" s="3">
        <f>INDEX(Проверки!$F:$F, ROW())</f>
        <v/>
      </c>
      <c r="K958" s="3">
        <f>INDEX(Проверки!$D:$D, ROW())</f>
        <v/>
      </c>
      <c r="L958" s="3">
        <f>INDEX(Проверки!$G:$G, ROW())</f>
        <v/>
      </c>
    </row>
    <row r="959">
      <c r="A959" s="3" t="n"/>
      <c r="B959" s="4" t="n"/>
      <c r="C959" s="3" t="n"/>
      <c r="D959" s="4" t="n"/>
      <c r="E959" s="3" t="n"/>
      <c r="F959" s="3" t="n"/>
      <c r="G959" s="3" t="n"/>
      <c r="H959" s="4" t="n"/>
      <c r="I959" s="4" t="n"/>
      <c r="J959" s="3">
        <f>INDEX(Проверки!$F:$F, ROW())</f>
        <v/>
      </c>
      <c r="K959" s="3">
        <f>INDEX(Проверки!$D:$D, ROW())</f>
        <v/>
      </c>
      <c r="L959" s="3">
        <f>INDEX(Проверки!$G:$G, ROW())</f>
        <v/>
      </c>
    </row>
    <row r="960">
      <c r="A960" s="3" t="n"/>
      <c r="B960" s="4" t="n"/>
      <c r="C960" s="3" t="n"/>
      <c r="D960" s="4" t="n"/>
      <c r="E960" s="3" t="n"/>
      <c r="F960" s="3" t="n"/>
      <c r="G960" s="3" t="n"/>
      <c r="H960" s="4" t="n"/>
      <c r="I960" s="4" t="n"/>
      <c r="J960" s="3">
        <f>INDEX(Проверки!$F:$F, ROW())</f>
        <v/>
      </c>
      <c r="K960" s="3">
        <f>INDEX(Проверки!$D:$D, ROW())</f>
        <v/>
      </c>
      <c r="L960" s="3">
        <f>INDEX(Проверки!$G:$G, ROW())</f>
        <v/>
      </c>
    </row>
    <row r="961">
      <c r="A961" s="3" t="n"/>
      <c r="B961" s="4" t="n"/>
      <c r="C961" s="3" t="n"/>
      <c r="D961" s="4" t="n"/>
      <c r="E961" s="3" t="n"/>
      <c r="F961" s="3" t="n"/>
      <c r="G961" s="3" t="n"/>
      <c r="H961" s="4" t="n"/>
      <c r="I961" s="4" t="n"/>
      <c r="J961" s="3">
        <f>INDEX(Проверки!$F:$F, ROW())</f>
        <v/>
      </c>
      <c r="K961" s="3">
        <f>INDEX(Проверки!$D:$D, ROW())</f>
        <v/>
      </c>
      <c r="L961" s="3">
        <f>INDEX(Проверки!$G:$G, ROW())</f>
        <v/>
      </c>
    </row>
    <row r="962">
      <c r="A962" s="3" t="n"/>
      <c r="B962" s="4" t="n"/>
      <c r="C962" s="3" t="n"/>
      <c r="D962" s="4" t="n"/>
      <c r="E962" s="3" t="n"/>
      <c r="F962" s="3" t="n"/>
      <c r="G962" s="3" t="n"/>
      <c r="H962" s="4" t="n"/>
      <c r="I962" s="4" t="n"/>
      <c r="J962" s="3">
        <f>INDEX(Проверки!$F:$F, ROW())</f>
        <v/>
      </c>
      <c r="K962" s="3">
        <f>INDEX(Проверки!$D:$D, ROW())</f>
        <v/>
      </c>
      <c r="L962" s="3">
        <f>INDEX(Проверки!$G:$G, ROW())</f>
        <v/>
      </c>
    </row>
    <row r="963">
      <c r="A963" s="3" t="n"/>
      <c r="B963" s="4" t="n"/>
      <c r="C963" s="3" t="n"/>
      <c r="D963" s="4" t="n"/>
      <c r="E963" s="3" t="n"/>
      <c r="F963" s="3" t="n"/>
      <c r="G963" s="3" t="n"/>
      <c r="H963" s="4" t="n"/>
      <c r="I963" s="4" t="n"/>
      <c r="J963" s="3">
        <f>INDEX(Проверки!$F:$F, ROW())</f>
        <v/>
      </c>
      <c r="K963" s="3">
        <f>INDEX(Проверки!$D:$D, ROW())</f>
        <v/>
      </c>
      <c r="L963" s="3">
        <f>INDEX(Проверки!$G:$G, ROW())</f>
        <v/>
      </c>
    </row>
    <row r="964">
      <c r="A964" s="3" t="n"/>
      <c r="B964" s="4" t="n"/>
      <c r="C964" s="3" t="n"/>
      <c r="D964" s="4" t="n"/>
      <c r="E964" s="3" t="n"/>
      <c r="F964" s="3" t="n"/>
      <c r="G964" s="3" t="n"/>
      <c r="H964" s="4" t="n"/>
      <c r="I964" s="4" t="n"/>
      <c r="J964" s="3">
        <f>INDEX(Проверки!$F:$F, ROW())</f>
        <v/>
      </c>
      <c r="K964" s="3">
        <f>INDEX(Проверки!$D:$D, ROW())</f>
        <v/>
      </c>
      <c r="L964" s="3">
        <f>INDEX(Проверки!$G:$G, ROW())</f>
        <v/>
      </c>
    </row>
    <row r="965">
      <c r="A965" s="3" t="n"/>
      <c r="B965" s="4" t="n"/>
      <c r="C965" s="3" t="n"/>
      <c r="D965" s="4" t="n"/>
      <c r="E965" s="3" t="n"/>
      <c r="F965" s="3" t="n"/>
      <c r="G965" s="3" t="n"/>
      <c r="H965" s="4" t="n"/>
      <c r="I965" s="4" t="n"/>
      <c r="J965" s="3">
        <f>INDEX(Проверки!$F:$F, ROW())</f>
        <v/>
      </c>
      <c r="K965" s="3">
        <f>INDEX(Проверки!$D:$D, ROW())</f>
        <v/>
      </c>
      <c r="L965" s="3">
        <f>INDEX(Проверки!$G:$G, ROW())</f>
        <v/>
      </c>
    </row>
    <row r="966">
      <c r="A966" s="3" t="n"/>
      <c r="B966" s="4" t="n"/>
      <c r="C966" s="3" t="n"/>
      <c r="D966" s="4" t="n"/>
      <c r="E966" s="3" t="n"/>
      <c r="F966" s="3" t="n"/>
      <c r="G966" s="3" t="n"/>
      <c r="H966" s="4" t="n"/>
      <c r="I966" s="4" t="n"/>
      <c r="J966" s="3">
        <f>INDEX(Проверки!$F:$F, ROW())</f>
        <v/>
      </c>
      <c r="K966" s="3">
        <f>INDEX(Проверки!$D:$D, ROW())</f>
        <v/>
      </c>
      <c r="L966" s="3">
        <f>INDEX(Проверки!$G:$G, ROW())</f>
        <v/>
      </c>
    </row>
    <row r="967">
      <c r="A967" s="3" t="n"/>
      <c r="B967" s="4" t="n"/>
      <c r="C967" s="3" t="n"/>
      <c r="D967" s="4" t="n"/>
      <c r="E967" s="3" t="n"/>
      <c r="F967" s="3" t="n"/>
      <c r="G967" s="3" t="n"/>
      <c r="H967" s="4" t="n"/>
      <c r="I967" s="4" t="n"/>
      <c r="J967" s="3">
        <f>INDEX(Проверки!$F:$F, ROW())</f>
        <v/>
      </c>
      <c r="K967" s="3">
        <f>INDEX(Проверки!$D:$D, ROW())</f>
        <v/>
      </c>
      <c r="L967" s="3">
        <f>INDEX(Проверки!$G:$G, ROW())</f>
        <v/>
      </c>
    </row>
    <row r="968">
      <c r="A968" s="3" t="n"/>
      <c r="B968" s="4" t="n"/>
      <c r="C968" s="3" t="n"/>
      <c r="D968" s="4" t="n"/>
      <c r="E968" s="3" t="n"/>
      <c r="F968" s="3" t="n"/>
      <c r="G968" s="3" t="n"/>
      <c r="H968" s="4" t="n"/>
      <c r="I968" s="4" t="n"/>
      <c r="J968" s="3">
        <f>INDEX(Проверки!$F:$F, ROW())</f>
        <v/>
      </c>
      <c r="K968" s="3">
        <f>INDEX(Проверки!$D:$D, ROW())</f>
        <v/>
      </c>
      <c r="L968" s="3">
        <f>INDEX(Проверки!$G:$G, ROW())</f>
        <v/>
      </c>
    </row>
    <row r="969">
      <c r="A969" s="3" t="n"/>
      <c r="B969" s="4" t="n"/>
      <c r="C969" s="3" t="n"/>
      <c r="D969" s="4" t="n"/>
      <c r="E969" s="3" t="n"/>
      <c r="F969" s="3" t="n"/>
      <c r="G969" s="3" t="n"/>
      <c r="H969" s="4" t="n"/>
      <c r="I969" s="4" t="n"/>
      <c r="J969" s="3">
        <f>INDEX(Проверки!$F:$F, ROW())</f>
        <v/>
      </c>
      <c r="K969" s="3">
        <f>INDEX(Проверки!$D:$D, ROW())</f>
        <v/>
      </c>
      <c r="L969" s="3">
        <f>INDEX(Проверки!$G:$G, ROW())</f>
        <v/>
      </c>
    </row>
    <row r="970">
      <c r="A970" s="3" t="n"/>
      <c r="B970" s="4" t="n"/>
      <c r="C970" s="3" t="n"/>
      <c r="D970" s="4" t="n"/>
      <c r="E970" s="3" t="n"/>
      <c r="F970" s="3" t="n"/>
      <c r="G970" s="3" t="n"/>
      <c r="H970" s="4" t="n"/>
      <c r="I970" s="4" t="n"/>
      <c r="J970" s="3">
        <f>INDEX(Проверки!$F:$F, ROW())</f>
        <v/>
      </c>
      <c r="K970" s="3">
        <f>INDEX(Проверки!$D:$D, ROW())</f>
        <v/>
      </c>
      <c r="L970" s="3">
        <f>INDEX(Проверки!$G:$G, ROW())</f>
        <v/>
      </c>
    </row>
    <row r="971">
      <c r="A971" s="3" t="n"/>
      <c r="B971" s="4" t="n"/>
      <c r="C971" s="3" t="n"/>
      <c r="D971" s="4" t="n"/>
      <c r="E971" s="3" t="n"/>
      <c r="F971" s="3" t="n"/>
      <c r="G971" s="3" t="n"/>
      <c r="H971" s="4" t="n"/>
      <c r="I971" s="4" t="n"/>
      <c r="J971" s="3">
        <f>INDEX(Проверки!$F:$F, ROW())</f>
        <v/>
      </c>
      <c r="K971" s="3">
        <f>INDEX(Проверки!$D:$D, ROW())</f>
        <v/>
      </c>
      <c r="L971" s="3">
        <f>INDEX(Проверки!$G:$G, ROW())</f>
        <v/>
      </c>
    </row>
    <row r="972">
      <c r="A972" s="3" t="n"/>
      <c r="B972" s="4" t="n"/>
      <c r="C972" s="3" t="n"/>
      <c r="D972" s="4" t="n"/>
      <c r="E972" s="3" t="n"/>
      <c r="F972" s="3" t="n"/>
      <c r="G972" s="3" t="n"/>
      <c r="H972" s="4" t="n"/>
      <c r="I972" s="4" t="n"/>
      <c r="J972" s="3">
        <f>INDEX(Проверки!$F:$F, ROW())</f>
        <v/>
      </c>
      <c r="K972" s="3">
        <f>INDEX(Проверки!$D:$D, ROW())</f>
        <v/>
      </c>
      <c r="L972" s="3">
        <f>INDEX(Проверки!$G:$G, ROW())</f>
        <v/>
      </c>
    </row>
    <row r="973">
      <c r="A973" s="3" t="n"/>
      <c r="B973" s="4" t="n"/>
      <c r="C973" s="3" t="n"/>
      <c r="D973" s="4" t="n"/>
      <c r="E973" s="3" t="n"/>
      <c r="F973" s="3" t="n"/>
      <c r="G973" s="3" t="n"/>
      <c r="H973" s="4" t="n"/>
      <c r="I973" s="4" t="n"/>
      <c r="J973" s="3">
        <f>INDEX(Проверки!$F:$F, ROW())</f>
        <v/>
      </c>
      <c r="K973" s="3">
        <f>INDEX(Проверки!$D:$D, ROW())</f>
        <v/>
      </c>
      <c r="L973" s="3">
        <f>INDEX(Проверки!$G:$G, ROW())</f>
        <v/>
      </c>
    </row>
    <row r="974">
      <c r="A974" s="3" t="n"/>
      <c r="B974" s="4" t="n"/>
      <c r="C974" s="3" t="n"/>
      <c r="D974" s="4" t="n"/>
      <c r="E974" s="3" t="n"/>
      <c r="F974" s="3" t="n"/>
      <c r="G974" s="3" t="n"/>
      <c r="H974" s="4" t="n"/>
      <c r="I974" s="4" t="n"/>
      <c r="J974" s="3">
        <f>INDEX(Проверки!$F:$F, ROW())</f>
        <v/>
      </c>
      <c r="K974" s="3">
        <f>INDEX(Проверки!$D:$D, ROW())</f>
        <v/>
      </c>
      <c r="L974" s="3">
        <f>INDEX(Проверки!$G:$G, ROW())</f>
        <v/>
      </c>
    </row>
    <row r="975">
      <c r="A975" s="3" t="n"/>
      <c r="B975" s="4" t="n"/>
      <c r="C975" s="3" t="n"/>
      <c r="D975" s="4" t="n"/>
      <c r="E975" s="3" t="n"/>
      <c r="F975" s="3" t="n"/>
      <c r="G975" s="3" t="n"/>
      <c r="H975" s="4" t="n"/>
      <c r="I975" s="4" t="n"/>
      <c r="J975" s="3">
        <f>INDEX(Проверки!$F:$F, ROW())</f>
        <v/>
      </c>
      <c r="K975" s="3">
        <f>INDEX(Проверки!$D:$D, ROW())</f>
        <v/>
      </c>
      <c r="L975" s="3">
        <f>INDEX(Проверки!$G:$G, ROW())</f>
        <v/>
      </c>
    </row>
    <row r="976">
      <c r="A976" s="3" t="n"/>
      <c r="B976" s="4" t="n"/>
      <c r="C976" s="3" t="n"/>
      <c r="D976" s="4" t="n"/>
      <c r="E976" s="3" t="n"/>
      <c r="F976" s="3" t="n"/>
      <c r="G976" s="3" t="n"/>
      <c r="H976" s="4" t="n"/>
      <c r="I976" s="4" t="n"/>
      <c r="J976" s="3">
        <f>INDEX(Проверки!$F:$F, ROW())</f>
        <v/>
      </c>
      <c r="K976" s="3">
        <f>INDEX(Проверки!$D:$D, ROW())</f>
        <v/>
      </c>
      <c r="L976" s="3">
        <f>INDEX(Проверки!$G:$G, ROW())</f>
        <v/>
      </c>
    </row>
    <row r="977">
      <c r="A977" s="3" t="n"/>
      <c r="B977" s="4" t="n"/>
      <c r="C977" s="3" t="n"/>
      <c r="D977" s="4" t="n"/>
      <c r="E977" s="3" t="n"/>
      <c r="F977" s="3" t="n"/>
      <c r="G977" s="3" t="n"/>
      <c r="H977" s="4" t="n"/>
      <c r="I977" s="4" t="n"/>
      <c r="J977" s="3">
        <f>INDEX(Проверки!$F:$F, ROW())</f>
        <v/>
      </c>
      <c r="K977" s="3">
        <f>INDEX(Проверки!$D:$D, ROW())</f>
        <v/>
      </c>
      <c r="L977" s="3">
        <f>INDEX(Проверки!$G:$G, ROW())</f>
        <v/>
      </c>
    </row>
    <row r="978">
      <c r="A978" s="3" t="n"/>
      <c r="B978" s="4" t="n"/>
      <c r="C978" s="3" t="n"/>
      <c r="D978" s="4" t="n"/>
      <c r="E978" s="3" t="n"/>
      <c r="F978" s="3" t="n"/>
      <c r="G978" s="3" t="n"/>
      <c r="H978" s="4" t="n"/>
      <c r="I978" s="4" t="n"/>
      <c r="J978" s="3">
        <f>INDEX(Проверки!$F:$F, ROW())</f>
        <v/>
      </c>
      <c r="K978" s="3">
        <f>INDEX(Проверки!$D:$D, ROW())</f>
        <v/>
      </c>
      <c r="L978" s="3">
        <f>INDEX(Проверки!$G:$G, ROW())</f>
        <v/>
      </c>
    </row>
    <row r="979">
      <c r="A979" s="3" t="n"/>
      <c r="B979" s="4" t="n"/>
      <c r="C979" s="3" t="n"/>
      <c r="D979" s="4" t="n"/>
      <c r="E979" s="3" t="n"/>
      <c r="F979" s="3" t="n"/>
      <c r="G979" s="3" t="n"/>
      <c r="H979" s="4" t="n"/>
      <c r="I979" s="4" t="n"/>
      <c r="J979" s="3">
        <f>INDEX(Проверки!$F:$F, ROW())</f>
        <v/>
      </c>
      <c r="K979" s="3">
        <f>INDEX(Проверки!$D:$D, ROW())</f>
        <v/>
      </c>
      <c r="L979" s="3">
        <f>INDEX(Проверки!$G:$G, ROW())</f>
        <v/>
      </c>
    </row>
    <row r="980">
      <c r="A980" s="3" t="n"/>
      <c r="B980" s="4" t="n"/>
      <c r="C980" s="3" t="n"/>
      <c r="D980" s="4" t="n"/>
      <c r="E980" s="3" t="n"/>
      <c r="F980" s="3" t="n"/>
      <c r="G980" s="3" t="n"/>
      <c r="H980" s="4" t="n"/>
      <c r="I980" s="4" t="n"/>
      <c r="J980" s="3">
        <f>INDEX(Проверки!$F:$F, ROW())</f>
        <v/>
      </c>
      <c r="K980" s="3">
        <f>INDEX(Проверки!$D:$D, ROW())</f>
        <v/>
      </c>
      <c r="L980" s="3">
        <f>INDEX(Проверки!$G:$G, ROW())</f>
        <v/>
      </c>
    </row>
    <row r="981">
      <c r="A981" s="3" t="n"/>
      <c r="B981" s="4" t="n"/>
      <c r="C981" s="3" t="n"/>
      <c r="D981" s="4" t="n"/>
      <c r="E981" s="3" t="n"/>
      <c r="F981" s="3" t="n"/>
      <c r="G981" s="3" t="n"/>
      <c r="H981" s="4" t="n"/>
      <c r="I981" s="4" t="n"/>
      <c r="J981" s="3">
        <f>INDEX(Проверки!$F:$F, ROW())</f>
        <v/>
      </c>
      <c r="K981" s="3">
        <f>INDEX(Проверки!$D:$D, ROW())</f>
        <v/>
      </c>
      <c r="L981" s="3">
        <f>INDEX(Проверки!$G:$G, ROW())</f>
        <v/>
      </c>
    </row>
    <row r="982">
      <c r="A982" s="3" t="n"/>
      <c r="B982" s="4" t="n"/>
      <c r="C982" s="3" t="n"/>
      <c r="D982" s="4" t="n"/>
      <c r="E982" s="3" t="n"/>
      <c r="F982" s="3" t="n"/>
      <c r="G982" s="3" t="n"/>
      <c r="H982" s="4" t="n"/>
      <c r="I982" s="4" t="n"/>
      <c r="J982" s="3">
        <f>INDEX(Проверки!$F:$F, ROW())</f>
        <v/>
      </c>
      <c r="K982" s="3">
        <f>INDEX(Проверки!$D:$D, ROW())</f>
        <v/>
      </c>
      <c r="L982" s="3">
        <f>INDEX(Проверки!$G:$G, ROW())</f>
        <v/>
      </c>
    </row>
    <row r="983">
      <c r="A983" s="3" t="n"/>
      <c r="B983" s="4" t="n"/>
      <c r="C983" s="3" t="n"/>
      <c r="D983" s="4" t="n"/>
      <c r="E983" s="3" t="n"/>
      <c r="F983" s="3" t="n"/>
      <c r="G983" s="3" t="n"/>
      <c r="H983" s="4" t="n"/>
      <c r="I983" s="4" t="n"/>
      <c r="J983" s="3">
        <f>INDEX(Проверки!$F:$F, ROW())</f>
        <v/>
      </c>
      <c r="K983" s="3">
        <f>INDEX(Проверки!$D:$D, ROW())</f>
        <v/>
      </c>
      <c r="L983" s="3">
        <f>INDEX(Проверки!$G:$G, ROW())</f>
        <v/>
      </c>
    </row>
    <row r="984">
      <c r="A984" s="3" t="n"/>
      <c r="B984" s="4" t="n"/>
      <c r="C984" s="3" t="n"/>
      <c r="D984" s="4" t="n"/>
      <c r="E984" s="3" t="n"/>
      <c r="F984" s="3" t="n"/>
      <c r="G984" s="3" t="n"/>
      <c r="H984" s="4" t="n"/>
      <c r="I984" s="4" t="n"/>
      <c r="J984" s="3">
        <f>INDEX(Проверки!$F:$F, ROW())</f>
        <v/>
      </c>
      <c r="K984" s="3">
        <f>INDEX(Проверки!$D:$D, ROW())</f>
        <v/>
      </c>
      <c r="L984" s="3">
        <f>INDEX(Проверки!$G:$G, ROW())</f>
        <v/>
      </c>
    </row>
    <row r="985">
      <c r="A985" s="3" t="n"/>
      <c r="B985" s="4" t="n"/>
      <c r="C985" s="3" t="n"/>
      <c r="D985" s="4" t="n"/>
      <c r="E985" s="3" t="n"/>
      <c r="F985" s="3" t="n"/>
      <c r="G985" s="3" t="n"/>
      <c r="H985" s="4" t="n"/>
      <c r="I985" s="4" t="n"/>
      <c r="J985" s="3">
        <f>INDEX(Проверки!$F:$F, ROW())</f>
        <v/>
      </c>
      <c r="K985" s="3">
        <f>INDEX(Проверки!$D:$D, ROW())</f>
        <v/>
      </c>
      <c r="L985" s="3">
        <f>INDEX(Проверки!$G:$G, ROW())</f>
        <v/>
      </c>
    </row>
    <row r="986">
      <c r="A986" s="3" t="n"/>
      <c r="B986" s="4" t="n"/>
      <c r="C986" s="3" t="n"/>
      <c r="D986" s="4" t="n"/>
      <c r="E986" s="3" t="n"/>
      <c r="F986" s="3" t="n"/>
      <c r="G986" s="3" t="n"/>
      <c r="H986" s="4" t="n"/>
      <c r="I986" s="4" t="n"/>
      <c r="J986" s="3">
        <f>INDEX(Проверки!$F:$F, ROW())</f>
        <v/>
      </c>
      <c r="K986" s="3">
        <f>INDEX(Проверки!$D:$D, ROW())</f>
        <v/>
      </c>
      <c r="L986" s="3">
        <f>INDEX(Проверки!$G:$G, ROW())</f>
        <v/>
      </c>
    </row>
    <row r="987">
      <c r="A987" s="3" t="n"/>
      <c r="B987" s="4" t="n"/>
      <c r="C987" s="3" t="n"/>
      <c r="D987" s="4" t="n"/>
      <c r="E987" s="3" t="n"/>
      <c r="F987" s="3" t="n"/>
      <c r="G987" s="3" t="n"/>
      <c r="H987" s="4" t="n"/>
      <c r="I987" s="4" t="n"/>
      <c r="J987" s="3">
        <f>INDEX(Проверки!$F:$F, ROW())</f>
        <v/>
      </c>
      <c r="K987" s="3">
        <f>INDEX(Проверки!$D:$D, ROW())</f>
        <v/>
      </c>
      <c r="L987" s="3">
        <f>INDEX(Проверки!$G:$G, ROW())</f>
        <v/>
      </c>
    </row>
    <row r="988">
      <c r="A988" s="3" t="n"/>
      <c r="B988" s="4" t="n"/>
      <c r="C988" s="3" t="n"/>
      <c r="D988" s="4" t="n"/>
      <c r="E988" s="3" t="n"/>
      <c r="F988" s="3" t="n"/>
      <c r="G988" s="3" t="n"/>
      <c r="H988" s="4" t="n"/>
      <c r="I988" s="4" t="n"/>
      <c r="J988" s="3">
        <f>INDEX(Проверки!$F:$F, ROW())</f>
        <v/>
      </c>
      <c r="K988" s="3">
        <f>INDEX(Проверки!$D:$D, ROW())</f>
        <v/>
      </c>
      <c r="L988" s="3">
        <f>INDEX(Проверки!$G:$G, ROW())</f>
        <v/>
      </c>
    </row>
    <row r="989">
      <c r="A989" s="3" t="n"/>
      <c r="B989" s="4" t="n"/>
      <c r="C989" s="3" t="n"/>
      <c r="D989" s="4" t="n"/>
      <c r="E989" s="3" t="n"/>
      <c r="F989" s="3" t="n"/>
      <c r="G989" s="3" t="n"/>
      <c r="H989" s="4" t="n"/>
      <c r="I989" s="4" t="n"/>
      <c r="J989" s="3">
        <f>INDEX(Проверки!$F:$F, ROW())</f>
        <v/>
      </c>
      <c r="K989" s="3">
        <f>INDEX(Проверки!$D:$D, ROW())</f>
        <v/>
      </c>
      <c r="L989" s="3">
        <f>INDEX(Проверки!$G:$G, ROW())</f>
        <v/>
      </c>
    </row>
    <row r="990">
      <c r="A990" s="3" t="n"/>
      <c r="B990" s="4" t="n"/>
      <c r="C990" s="3" t="n"/>
      <c r="D990" s="4" t="n"/>
      <c r="E990" s="3" t="n"/>
      <c r="F990" s="3" t="n"/>
      <c r="G990" s="3" t="n"/>
      <c r="H990" s="4" t="n"/>
      <c r="I990" s="4" t="n"/>
      <c r="J990" s="3">
        <f>INDEX(Проверки!$F:$F, ROW())</f>
        <v/>
      </c>
      <c r="K990" s="3">
        <f>INDEX(Проверки!$D:$D, ROW())</f>
        <v/>
      </c>
      <c r="L990" s="3">
        <f>INDEX(Проверки!$G:$G, ROW())</f>
        <v/>
      </c>
    </row>
    <row r="991">
      <c r="A991" s="3" t="n"/>
      <c r="B991" s="4" t="n"/>
      <c r="C991" s="3" t="n"/>
      <c r="D991" s="4" t="n"/>
      <c r="E991" s="3" t="n"/>
      <c r="F991" s="3" t="n"/>
      <c r="G991" s="3" t="n"/>
      <c r="H991" s="4" t="n"/>
      <c r="I991" s="4" t="n"/>
      <c r="J991" s="3">
        <f>INDEX(Проверки!$F:$F, ROW())</f>
        <v/>
      </c>
      <c r="K991" s="3">
        <f>INDEX(Проверки!$D:$D, ROW())</f>
        <v/>
      </c>
      <c r="L991" s="3">
        <f>INDEX(Проверки!$G:$G, ROW())</f>
        <v/>
      </c>
    </row>
    <row r="992">
      <c r="A992" s="3" t="n"/>
      <c r="B992" s="4" t="n"/>
      <c r="C992" s="3" t="n"/>
      <c r="D992" s="4" t="n"/>
      <c r="E992" s="3" t="n"/>
      <c r="F992" s="3" t="n"/>
      <c r="G992" s="3" t="n"/>
      <c r="H992" s="4" t="n"/>
      <c r="I992" s="4" t="n"/>
      <c r="J992" s="3">
        <f>INDEX(Проверки!$F:$F, ROW())</f>
        <v/>
      </c>
      <c r="K992" s="3">
        <f>INDEX(Проверки!$D:$D, ROW())</f>
        <v/>
      </c>
      <c r="L992" s="3">
        <f>INDEX(Проверки!$G:$G, ROW())</f>
        <v/>
      </c>
    </row>
    <row r="993">
      <c r="A993" s="3" t="n"/>
      <c r="B993" s="4" t="n"/>
      <c r="C993" s="3" t="n"/>
      <c r="D993" s="4" t="n"/>
      <c r="E993" s="3" t="n"/>
      <c r="F993" s="3" t="n"/>
      <c r="G993" s="3" t="n"/>
      <c r="H993" s="4" t="n"/>
      <c r="I993" s="4" t="n"/>
      <c r="J993" s="3">
        <f>INDEX(Проверки!$F:$F, ROW())</f>
        <v/>
      </c>
      <c r="K993" s="3">
        <f>INDEX(Проверки!$D:$D, ROW())</f>
        <v/>
      </c>
      <c r="L993" s="3">
        <f>INDEX(Проверки!$G:$G, ROW())</f>
        <v/>
      </c>
    </row>
    <row r="994">
      <c r="A994" s="3" t="n"/>
      <c r="B994" s="4" t="n"/>
      <c r="C994" s="3" t="n"/>
      <c r="D994" s="4" t="n"/>
      <c r="E994" s="3" t="n"/>
      <c r="F994" s="3" t="n"/>
      <c r="G994" s="3" t="n"/>
      <c r="H994" s="4" t="n"/>
      <c r="I994" s="4" t="n"/>
      <c r="J994" s="3">
        <f>INDEX(Проверки!$F:$F, ROW())</f>
        <v/>
      </c>
      <c r="K994" s="3">
        <f>INDEX(Проверки!$D:$D, ROW())</f>
        <v/>
      </c>
      <c r="L994" s="3">
        <f>INDEX(Проверки!$G:$G, ROW())</f>
        <v/>
      </c>
    </row>
    <row r="995">
      <c r="A995" s="3" t="n"/>
      <c r="B995" s="4" t="n"/>
      <c r="C995" s="3" t="n"/>
      <c r="D995" s="4" t="n"/>
      <c r="E995" s="3" t="n"/>
      <c r="F995" s="3" t="n"/>
      <c r="G995" s="3" t="n"/>
      <c r="H995" s="4" t="n"/>
      <c r="I995" s="4" t="n"/>
      <c r="J995" s="3">
        <f>INDEX(Проверки!$F:$F, ROW())</f>
        <v/>
      </c>
      <c r="K995" s="3">
        <f>INDEX(Проверки!$D:$D, ROW())</f>
        <v/>
      </c>
      <c r="L995" s="3">
        <f>INDEX(Проверки!$G:$G, ROW())</f>
        <v/>
      </c>
    </row>
    <row r="996">
      <c r="A996" s="3" t="n"/>
      <c r="B996" s="4" t="n"/>
      <c r="C996" s="3" t="n"/>
      <c r="D996" s="4" t="n"/>
      <c r="E996" s="3" t="n"/>
      <c r="F996" s="3" t="n"/>
      <c r="G996" s="3" t="n"/>
      <c r="H996" s="4" t="n"/>
      <c r="I996" s="4" t="n"/>
      <c r="J996" s="3">
        <f>INDEX(Проверки!$F:$F, ROW())</f>
        <v/>
      </c>
      <c r="K996" s="3">
        <f>INDEX(Проверки!$D:$D, ROW())</f>
        <v/>
      </c>
      <c r="L996" s="3">
        <f>INDEX(Проверки!$G:$G, ROW())</f>
        <v/>
      </c>
    </row>
    <row r="997">
      <c r="A997" s="3" t="n"/>
      <c r="B997" s="4" t="n"/>
      <c r="C997" s="3" t="n"/>
      <c r="D997" s="4" t="n"/>
      <c r="E997" s="3" t="n"/>
      <c r="F997" s="3" t="n"/>
      <c r="G997" s="3" t="n"/>
      <c r="H997" s="4" t="n"/>
      <c r="I997" s="4" t="n"/>
      <c r="J997" s="3">
        <f>INDEX(Проверки!$F:$F, ROW())</f>
        <v/>
      </c>
      <c r="K997" s="3">
        <f>INDEX(Проверки!$D:$D, ROW())</f>
        <v/>
      </c>
      <c r="L997" s="3">
        <f>INDEX(Проверки!$G:$G, ROW())</f>
        <v/>
      </c>
    </row>
    <row r="998">
      <c r="A998" s="3" t="n"/>
      <c r="B998" s="4" t="n"/>
      <c r="C998" s="3" t="n"/>
      <c r="D998" s="4" t="n"/>
      <c r="E998" s="3" t="n"/>
      <c r="F998" s="3" t="n"/>
      <c r="G998" s="3" t="n"/>
      <c r="H998" s="4" t="n"/>
      <c r="I998" s="4" t="n"/>
      <c r="J998" s="3">
        <f>INDEX(Проверки!$F:$F, ROW())</f>
        <v/>
      </c>
      <c r="K998" s="3">
        <f>INDEX(Проверки!$D:$D, ROW())</f>
        <v/>
      </c>
      <c r="L998" s="3">
        <f>INDEX(Проверки!$G:$G, ROW())</f>
        <v/>
      </c>
    </row>
    <row r="999">
      <c r="A999" s="3" t="n"/>
      <c r="B999" s="4" t="n"/>
      <c r="C999" s="3" t="n"/>
      <c r="D999" s="4" t="n"/>
      <c r="E999" s="3" t="n"/>
      <c r="F999" s="3" t="n"/>
      <c r="G999" s="3" t="n"/>
      <c r="H999" s="4" t="n"/>
      <c r="I999" s="4" t="n"/>
      <c r="J999" s="3">
        <f>INDEX(Проверки!$F:$F, ROW())</f>
        <v/>
      </c>
      <c r="K999" s="3">
        <f>INDEX(Проверки!$D:$D, ROW())</f>
        <v/>
      </c>
      <c r="L999" s="3">
        <f>INDEX(Проверки!$G:$G, ROW())</f>
        <v/>
      </c>
    </row>
    <row r="1000">
      <c r="A1000" s="3" t="n"/>
      <c r="B1000" s="4" t="n"/>
      <c r="C1000" s="3" t="n"/>
      <c r="D1000" s="4" t="n"/>
      <c r="E1000" s="3" t="n"/>
      <c r="F1000" s="3" t="n"/>
      <c r="G1000" s="3" t="n"/>
      <c r="H1000" s="4" t="n"/>
      <c r="I1000" s="4" t="n"/>
      <c r="J1000" s="3">
        <f>INDEX(Проверки!$F:$F, ROW())</f>
        <v/>
      </c>
      <c r="K1000" s="3">
        <f>INDEX(Проверки!$D:$D, ROW())</f>
        <v/>
      </c>
      <c r="L1000" s="3">
        <f>INDEX(Проверки!$G:$G, ROW())</f>
        <v/>
      </c>
    </row>
  </sheetData>
  <mergeCells count="1">
    <mergeCell ref="A1:L1"/>
  </mergeCells>
  <conditionalFormatting sqref="G5:G1000">
    <cfRule type="expression" priority="1" dxfId="0">
      <formula>$G5="Удовлетворительно"</formula>
    </cfRule>
    <cfRule type="expression" priority="2" dxfId="1">
      <formula>$G5="Неудовлетворительно"</formula>
    </cfRule>
  </conditionalFormatting>
  <conditionalFormatting sqref="J5:J1000">
    <cfRule type="expression" priority="3" dxfId="2">
      <formula>$J5=" "</formula>
    </cfRule>
    <cfRule type="expression" priority="4" dxfId="0">
      <formula>$J5="OK"</formula>
    </cfRule>
    <cfRule type="expression" priority="5" dxfId="1">
      <formula>AND($J5&lt;&gt;"", $J5&lt;&gt;"OK", $J5&lt;&gt;" ")</formula>
    </cfRule>
  </conditionalFormatting>
  <conditionalFormatting sqref="K5:K1000">
    <cfRule type="expression" priority="6" dxfId="2">
      <formula>$K5=" "</formula>
    </cfRule>
    <cfRule type="expression" priority="7" dxfId="0">
      <formula>$K5="OK"</formula>
    </cfRule>
    <cfRule type="expression" priority="8" dxfId="1">
      <formula>AND($K5&lt;&gt;"", $K5&lt;&gt;"OK", $K5&lt;&gt;" ")</formula>
    </cfRule>
  </conditionalFormatting>
  <conditionalFormatting sqref="L5:L1000">
    <cfRule type="expression" priority="9" dxfId="2">
      <formula>$L5=" "</formula>
    </cfRule>
    <cfRule type="expression" priority="10" dxfId="0">
      <formula>$L5="OK"</formula>
    </cfRule>
    <cfRule type="expression" priority="11" dxfId="1">
      <formula>AND($L5&lt;&gt;"", $L5&lt;&gt;"OK", $L5&lt;&gt;" ")</formula>
    </cfRule>
  </conditionalFormatting>
  <dataValidations count="3">
    <dataValidation sqref="I2" showDropDown="0" showInputMessage="0" showErrorMessage="0" allowBlank="0" type="list">
      <formula1>"Мелиоратор,Профбезопасность"</formula1>
    </dataValidation>
    <dataValidation sqref="F5:F1000" showDropDown="0" showInputMessage="0" showErrorMessage="0" allowBlank="0" type="list">
      <formula1>=Программы!$C$2:$C$29</formula1>
    </dataValidation>
    <dataValidation sqref="G5:G1000" showDropDown="0" showInputMessage="0" showErrorMessage="0" allowBlank="0" type="list">
      <formula1>"Удовлетворительно,Неудовлетворительно"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Вывод</t>
        </is>
      </c>
    </row>
    <row r="2">
      <c r="A2" t="inlineStr">
        <is>
          <t>1</t>
        </is>
      </c>
      <c r="B2" t="inlineStr">
        <is>
          <t>Оказание первой помощи пострадавшим</t>
        </is>
      </c>
      <c r="C2" t="inlineStr">
        <is>
          <t>1. Оказание первой помощи пострадавшим</t>
        </is>
      </c>
    </row>
    <row r="3">
      <c r="A3" t="inlineStr">
        <is>
          <t>2</t>
        </is>
      </c>
      <c r="B3" t="inlineStr">
        <is>
          <t>Использование (применение) средств индивидуальной защиты</t>
        </is>
      </c>
      <c r="C3" t="inlineStr">
        <is>
          <t>2. Использование (применение) средств индивидуальной защиты</t>
        </is>
      </c>
    </row>
    <row r="4">
      <c r="A4" t="inlineStr">
        <is>
          <t>3</t>
        </is>
      </c>
      <c r="B4" t="inlineStr">
        <is>
          <t>Общие вопросы охраны труда и функционирования системы управления охраной труда</t>
        </is>
      </c>
      <c r="C4" t="inlineStr">
        <is>
          <t>3. Общие вопросы охраны труда и функционирования системы управления охраной труда</t>
        </is>
      </c>
    </row>
    <row r="5">
      <c r="A5" t="inlineStr">
        <is>
          <t>4</t>
        </is>
      </c>
      <c r="B5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C5" t="inlineStr">
        <is>
          <t>4. 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</row>
    <row r="6">
      <c r="A6" t="inlineStr">
        <is>
          <t>6</t>
        </is>
      </c>
      <c r="B6" t="inlineStr">
        <is>
          <t>Безопасные методы и приемы выполнения земляных работ</t>
        </is>
      </c>
      <c r="C6" t="inlineStr">
        <is>
          <t>6. Безопасные методы и приемы выполнения земляных работ</t>
        </is>
      </c>
    </row>
    <row r="7">
      <c r="A7" t="inlineStr">
        <is>
          <t>7</t>
        </is>
      </c>
      <c r="B7" t="inlineStr">
        <is>
          <t>Безопасные методы и приемы выполнения ремонтных, монтажных и демонтажных работ зданий и сооружений</t>
        </is>
      </c>
      <c r="C7" t="inlineStr">
        <is>
          <t>7. Безопасные методы и приемы выполнения ремонтных, монтажных и демонтажных работ зданий и сооружений</t>
        </is>
      </c>
    </row>
    <row r="8">
      <c r="A8" t="inlineStr">
        <is>
          <t>8</t>
        </is>
      </c>
      <c r="B8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C8" t="inlineStr">
        <is>
          <t>8. 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</row>
    <row r="9">
      <c r="A9" t="inlineStr">
        <is>
          <t>9</t>
        </is>
      </c>
      <c r="B9" t="inlineStr">
        <is>
          <t>Безопасные методы и приемы выполнения работ на высоте</t>
        </is>
      </c>
      <c r="C9" t="inlineStr">
        <is>
          <t>9. Безопасные методы и приемы выполнения работ на высоте</t>
        </is>
      </c>
    </row>
    <row r="10">
      <c r="A10" t="inlineStr">
        <is>
          <t>10</t>
        </is>
      </c>
      <c r="B10" t="inlineStr">
        <is>
          <t>Безопасные методы и приемы выполнения пожароопасных работ</t>
        </is>
      </c>
      <c r="C10" t="inlineStr">
        <is>
          <t>10. Безопасные методы и приемы выполнения пожароопасных работ</t>
        </is>
      </c>
    </row>
    <row r="11">
      <c r="A11" t="inlineStr">
        <is>
          <t>11</t>
        </is>
      </c>
      <c r="B11" t="inlineStr">
        <is>
          <t>Безопасные методы и приемы выполнения работ в ограниченных и замкнутых пространствах (ОЗП)</t>
        </is>
      </c>
      <c r="C11" t="inlineStr">
        <is>
          <t>11. Безопасные методы и приемы выполнения работ в ограниченных и замкнутых пространствах (ОЗП)</t>
        </is>
      </c>
    </row>
    <row r="12">
      <c r="A12" t="inlineStr">
        <is>
          <t>12</t>
        </is>
      </c>
      <c r="B12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C12" t="inlineStr">
        <is>
          <t>12. Безопасные методы и приемы выполнения строительных работ, в том числе: - окрасочные работы - электросварочные и газосварочные работы</t>
        </is>
      </c>
    </row>
    <row r="13">
      <c r="A13" t="inlineStr">
        <is>
          <t>13</t>
        </is>
      </c>
      <c r="B13" t="inlineStr">
        <is>
          <t>Безопасные методы и приемы выполнения работ, связанных с опасностью воздействия сильнодействующих и ядовитых веществ</t>
        </is>
      </c>
      <c r="C13" t="inlineStr">
        <is>
          <t>13. Безопасные методы и приемы выполнения работ, связанных с опасностью воздействия сильнодействующих и ядовитых веществ</t>
        </is>
      </c>
    </row>
    <row r="14">
      <c r="A14" t="inlineStr">
        <is>
          <t>14</t>
        </is>
      </c>
      <c r="B14" t="inlineStr">
        <is>
          <t>Безопасные методы и приемы выполнения газоопасных работ</t>
        </is>
      </c>
      <c r="C14" t="inlineStr">
        <is>
          <t>14. Безопасные методы и приемы выполнения газоопасных работ</t>
        </is>
      </c>
    </row>
    <row r="15">
      <c r="A15" t="inlineStr">
        <is>
          <t>15</t>
        </is>
      </c>
      <c r="B15" t="inlineStr">
        <is>
          <t>Безопасные методы и приемы выполнения огневых работ</t>
        </is>
      </c>
      <c r="C15" t="inlineStr">
        <is>
          <t>15. Безопасные методы и приемы выполнения огневых работ</t>
        </is>
      </c>
    </row>
    <row r="16">
      <c r="A16" t="inlineStr">
        <is>
          <t>16</t>
        </is>
      </c>
      <c r="B16" t="inlineStr">
        <is>
          <t>Безопасные методы и приемы выполнения работ, связанные с эксплуатацией подъемных сооружений</t>
        </is>
      </c>
      <c r="C16" t="inlineStr">
        <is>
          <t>16. Безопасные методы и приемы выполнения работ, связанные с эксплуатацией подъемных сооружений</t>
        </is>
      </c>
    </row>
    <row r="17">
      <c r="A17" t="inlineStr">
        <is>
          <t>17</t>
        </is>
      </c>
      <c r="B17" t="inlineStr">
        <is>
          <t>Безопасные методы и приемы выполнения работ, связанные с эксплуатацией тепловых энергоустановок</t>
        </is>
      </c>
      <c r="C17" t="inlineStr">
        <is>
          <t>17. Безопасные методы и приемы выполнения работ, связанные с эксплуатацией тепловых энергоустановок</t>
        </is>
      </c>
    </row>
    <row r="18">
      <c r="A18" t="inlineStr">
        <is>
          <t>18</t>
        </is>
      </c>
      <c r="B18" t="inlineStr">
        <is>
          <t>Безопасные методы и приемы выполнения работ в электроустановках</t>
        </is>
      </c>
      <c r="C18" t="inlineStr">
        <is>
          <t>18. Безопасные методы и приемы выполнения работ в электроустановках</t>
        </is>
      </c>
    </row>
    <row r="19">
      <c r="A19" t="inlineStr">
        <is>
          <t>19</t>
        </is>
      </c>
      <c r="B19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C19" t="inlineStr">
        <is>
          <t>19. Безопасные методы и приемы выполнения работ, связанные с эксплуатацией сосудов, работающих под избыточным давлением</t>
        </is>
      </c>
    </row>
    <row r="20">
      <c r="A20" t="inlineStr">
        <is>
          <t>20</t>
        </is>
      </c>
      <c r="B20" t="inlineStr">
        <is>
          <t>Безопасные методы и приемы обращения с животными</t>
        </is>
      </c>
      <c r="C20" t="inlineStr">
        <is>
          <t>20. Безопасные методы и приемы обращения с животными</t>
        </is>
      </c>
    </row>
    <row r="21">
      <c r="A21" t="inlineStr">
        <is>
          <t>21</t>
        </is>
      </c>
      <c r="B21" t="inlineStr">
        <is>
          <t>Безопасные методы и приемы при выполнении водолазных работ</t>
        </is>
      </c>
      <c r="C21" t="inlineStr">
        <is>
          <t>21. Безопасные методы и приемы при выполнении водолазных работ</t>
        </is>
      </c>
    </row>
    <row r="22">
      <c r="A22" t="inlineStr">
        <is>
          <t>22</t>
        </is>
      </c>
      <c r="B22" t="inlineStr">
        <is>
          <t>Безопасные методы и приемы работ по поиску, идентификации, обезвреживанию и уничтожению взрывоопасных предметов</t>
        </is>
      </c>
      <c r="C22" t="inlineStr">
        <is>
          <t>22. Безопасные методы и приемы работ по поиску, идентификации, обезвреживанию и уничтожению взрывоопасных предметов</t>
        </is>
      </c>
    </row>
    <row r="23">
      <c r="A23" t="inlineStr">
        <is>
          <t>23</t>
        </is>
      </c>
      <c r="B23" t="inlineStr">
        <is>
          <t>Безопасные методы и приемы работ в непосредственной близости от полотна или проезжей части эксплуатируемых автомобильных и железных дорог</t>
        </is>
      </c>
      <c r="C23" t="inlineStr">
        <is>
          <t>23. Безопасные методы и приемы работ в непосредственной близости от полотна или проезжей части эксплуатируемых автомобильных и железных дорог</t>
        </is>
      </c>
    </row>
    <row r="24">
      <c r="A24" t="inlineStr">
        <is>
          <t>24</t>
        </is>
      </c>
      <c r="B24" t="inlineStr">
        <is>
          <t>Безопасные методы и приемы работ, на участках с патогенным заражением почвы</t>
        </is>
      </c>
      <c r="C24" t="inlineStr">
        <is>
          <t>24. Безопасные методы и приемы работ, на участках с патогенным заражением почвы</t>
        </is>
      </c>
    </row>
    <row r="25">
      <c r="A25" t="inlineStr">
        <is>
          <t>25</t>
        </is>
      </c>
      <c r="B25" t="inlineStr">
        <is>
          <t>Безопасные методы и приемы работ по валке леса в особо опасных условиях</t>
        </is>
      </c>
      <c r="C25" t="inlineStr">
        <is>
          <t>25. Безопасные методы и приемы работ по валке леса в особо опасных условиях</t>
        </is>
      </c>
    </row>
    <row r="26">
      <c r="A26" t="inlineStr">
        <is>
          <t>26</t>
        </is>
      </c>
      <c r="B26" t="inlineStr">
        <is>
          <t>Безопасные методы и приемы работ по перемещению тяжеловесных и крупногабаритных грузов при отсутствии машин соответствующей грузоподъемности и разборке покосившихся и опасных (неправильно уложенных) штабелей круглых лесоматериалов</t>
        </is>
      </c>
      <c r="C26" t="inlineStr">
        <is>
          <t>26. Безопасные методы и приемы работ по перемещению тяжеловесных и крупногабаритных грузов при отсутствии машин соответствующей грузоподъемности и разборке покосившихся и опасных (неправильно уложенных) штабелей круглых лесоматериалов</t>
        </is>
      </c>
    </row>
    <row r="27">
      <c r="A27" t="inlineStr">
        <is>
          <t>27</t>
        </is>
      </c>
      <c r="B27" t="inlineStr">
        <is>
          <t>Безопасные методы и приемы работ с радиоактивными веществами и источниками ионизирующих излучений</t>
        </is>
      </c>
      <c r="C27" t="inlineStr">
        <is>
          <t>27. Безопасные методы и приемы работ с радиоактивными веществами и источниками ионизирующих излучений</t>
        </is>
      </c>
    </row>
    <row r="28">
      <c r="A28" t="inlineStr">
        <is>
          <t>28</t>
        </is>
      </c>
      <c r="B28" t="inlineStr">
        <is>
          <t>Безопасные методы и приемы работ с ручным инструментом, в том числе с пиротехническим</t>
        </is>
      </c>
      <c r="C28" t="inlineStr">
        <is>
          <t>28. Безопасные методы и приемы работ с ручным инструментом, в том числе с пиротехническим</t>
        </is>
      </c>
    </row>
    <row r="29">
      <c r="A29" t="inlineStr">
        <is>
          <t>29</t>
        </is>
      </c>
      <c r="B29" t="inlineStr">
        <is>
          <t>Безопасные методы и приемы работ в театрах</t>
        </is>
      </c>
      <c r="C29" t="inlineStr">
        <is>
          <t>29. Безопасные методы и приемы работ в театрах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Организация</t>
        </is>
      </c>
      <c r="B1" t="inlineStr">
        <is>
          <t>ИНН</t>
        </is>
      </c>
    </row>
    <row r="2">
      <c r="A2" t="inlineStr">
        <is>
          <t>ЧУДПО УК "Мелиоратор"</t>
        </is>
      </c>
      <c r="B2" t="inlineStr">
        <is>
          <t>7627011928</t>
        </is>
      </c>
    </row>
    <row r="3">
      <c r="A3" t="inlineStr">
        <is>
          <t>ЧУ ДПО ИПК "Профессиональная Безопасность"</t>
        </is>
      </c>
      <c r="B3" t="inlineStr">
        <is>
          <t>7604104171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I1000"/>
  <sheetViews>
    <sheetView workbookViewId="0">
      <selection activeCell="A1" sqref="A1"/>
    </sheetView>
  </sheetViews>
  <sheetFormatPr baseColWidth="8" defaultRowHeight="15"/>
  <sheetData>
    <row r="5">
      <c r="A5">
        <f>SUBSTITUTE(SUBSTITUTE(SUBSTITUTE(SUBSTITUTE(TRIM(INDEX(Реестр!$B:$B,ROW())),CHAR(160),""),CHAR(9),""),CHAR(10),""),CHAR(13),"")</f>
        <v/>
      </c>
      <c r="B5">
        <f>SUBSTITUTE(SUBSTITUTE(SUBSTITUTE(SUBSTITUTE(SUBSTITUTE(SUBSTITUTE(SUBSTITUTE(TRIM(INDEX(Реестр!$D:$D, ROW())), "-", ""), " ", ""), CHAR(160), ""), CHAR(9), ""), CHAR(10), ""), CHAR(13), ""), CHAR(32), "")</f>
        <v/>
      </c>
      <c r="C5">
        <f>INDEX(Реестр!$H:$H, ROW())</f>
        <v/>
      </c>
      <c r="D5">
        <f>IF(OR(ISBLANK(INDEX(Реестр!$B:$B, ROW())), INDEX(Реестр!$B:$B, ROW())=""), " ", IF(IFERROR(ISNUMBER(--A5),FALSE), IF(LEN(A5)=10, IF(MOD(MOD(H5,11),10)=--RIGHT(A5,1), "OK", "ОШИБКА"), IF(LEN(A5)=12, IF(AND(MOD(MOD(H5,11),10)=--MID(A5,11,1), MOD(MOD(I5,11),10)=--RIGHT(A5,1)), "OK", "ОШИБКА"), "ДЛИНА (10 или 12)")), "НЕ ЦИФРЫ"))</f>
        <v/>
      </c>
      <c r="E5">
        <f>MID(B5,1,1)*9+MID(B5,2,1)*8+MID(B5,3,1)*7+MID(B5,4,1)*6+MID(B5,5,1)*5+MID(B5,6,1)*4+MID(B5,7,1)*3+MID(B5,8,1)*2+MID(B5,9,1)</f>
        <v/>
      </c>
      <c r="F5">
        <f>IF(B5="", " ", IF(LEN(B5)&lt;&gt;11, "ДЛИНА", IF(NOT(ISNUMBER(--B5)), "НЕ ЦИФРЫ", IF(LEFT(B5,9)*1&lt;=1001998, "OK", IF(RIGHT(B5,2)*1=IF(MOD(E5,101)&gt;=100,0,MOD(E5,101)),"OK","ОШИБКА")))))</f>
        <v/>
      </c>
      <c r="G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">
        <f>IF(LEN(TRIM(A5))=10, --MID(A5,1,1)*2+--MID(A5,2,1)*4+--MID(A5,3,1)*10+--MID(A5,4,1)*3+--MID(A5,5,1)*5+--MID(A5,6,1)*9+--MID(A5,7,1)*4+--MID(A5,8,1)*6+--MID(A5,9,1)*8, IF(LEN(TRIM(A5))=12, --MID(A5,1,1)*7+--MID(A5,2,1)*2+--MID(A5,3,1)*4+--MID(A5,4,1)*10+--MID(A5,5,1)*3+--MID(A5,6,1)*5+--MID(A5,7,1)*9+--MID(A5,8,1)*4+--MID(A5,9,1)*6+--MID(A5,10,1)*8, ""))</f>
        <v/>
      </c>
      <c r="I5">
        <f>IF(LEN(TRIM(A5))=12, --MID(A5,1,1)*3+--MID(A5,2,1)*7+--MID(A5,3,1)*2+--MID(A5,4,1)*4+--MID(A5,5,1)*10+--MID(A5,6,1)*3+--MID(A5,7,1)*5+--MID(A5,8,1)*9+--MID(A5,9,1)*4+--MID(A5,10,1)*6+--MID(A5,11,1)*8, "")</f>
        <v/>
      </c>
    </row>
    <row r="6">
      <c r="A6">
        <f>SUBSTITUTE(SUBSTITUTE(SUBSTITUTE(SUBSTITUTE(TRIM(INDEX(Реестр!$B:$B,ROW())),CHAR(160),""),CHAR(9),""),CHAR(10),""),CHAR(13),"")</f>
        <v/>
      </c>
      <c r="B6">
        <f>SUBSTITUTE(SUBSTITUTE(SUBSTITUTE(SUBSTITUTE(SUBSTITUTE(SUBSTITUTE(SUBSTITUTE(TRIM(INDEX(Реестр!$D:$D, ROW())), "-", ""), " ", ""), CHAR(160), ""), CHAR(9), ""), CHAR(10), ""), CHAR(13), ""), CHAR(32), "")</f>
        <v/>
      </c>
      <c r="C6">
        <f>INDEX(Реестр!$H:$H, ROW())</f>
        <v/>
      </c>
      <c r="D6">
        <f>IF(OR(ISBLANK(INDEX(Реестр!$B:$B, ROW())), INDEX(Реестр!$B:$B, ROW())=""), " ", IF(IFERROR(ISNUMBER(--A6),FALSE), IF(LEN(A6)=10, IF(MOD(MOD(H6,11),10)=--RIGHT(A6,1), "OK", "ОШИБКА"), IF(LEN(A6)=12, IF(AND(MOD(MOD(H6,11),10)=--MID(A6,11,1), MOD(MOD(I6,11),10)=--RIGHT(A6,1)), "OK", "ОШИБКА"), "ДЛИНА (10 или 12)")), "НЕ ЦИФРЫ"))</f>
        <v/>
      </c>
      <c r="E6">
        <f>MID(B6,1,1)*9+MID(B6,2,1)*8+MID(B6,3,1)*7+MID(B6,4,1)*6+MID(B6,5,1)*5+MID(B6,6,1)*4+MID(B6,7,1)*3+MID(B6,8,1)*2+MID(B6,9,1)</f>
        <v/>
      </c>
      <c r="F6">
        <f>IF(B6="", " ", IF(LEN(B6)&lt;&gt;11, "ДЛИНА", IF(NOT(ISNUMBER(--B6)), "НЕ ЦИФРЫ", IF(LEFT(B6,9)*1&lt;=1001998, "OK", IF(RIGHT(B6,2)*1=IF(MOD(E6,101)&gt;=100,0,MOD(E6,101)),"OK","ОШИБКА")))))</f>
        <v/>
      </c>
      <c r="G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">
        <f>IF(LEN(TRIM(A6))=10, --MID(A6,1,1)*2+--MID(A6,2,1)*4+--MID(A6,3,1)*10+--MID(A6,4,1)*3+--MID(A6,5,1)*5+--MID(A6,6,1)*9+--MID(A6,7,1)*4+--MID(A6,8,1)*6+--MID(A6,9,1)*8, IF(LEN(TRIM(A6))=12, --MID(A6,1,1)*7+--MID(A6,2,1)*2+--MID(A6,3,1)*4+--MID(A6,4,1)*10+--MID(A6,5,1)*3+--MID(A6,6,1)*5+--MID(A6,7,1)*9+--MID(A6,8,1)*4+--MID(A6,9,1)*6+--MID(A6,10,1)*8, ""))</f>
        <v/>
      </c>
      <c r="I6">
        <f>IF(LEN(TRIM(A6))=12, --MID(A6,1,1)*3+--MID(A6,2,1)*7+--MID(A6,3,1)*2+--MID(A6,4,1)*4+--MID(A6,5,1)*10+--MID(A6,6,1)*3+--MID(A6,7,1)*5+--MID(A6,8,1)*9+--MID(A6,9,1)*4+--MID(A6,10,1)*6+--MID(A6,11,1)*8, "")</f>
        <v/>
      </c>
    </row>
    <row r="7">
      <c r="A7">
        <f>SUBSTITUTE(SUBSTITUTE(SUBSTITUTE(SUBSTITUTE(TRIM(INDEX(Реестр!$B:$B,ROW())),CHAR(160),""),CHAR(9),""),CHAR(10),""),CHAR(13),"")</f>
        <v/>
      </c>
      <c r="B7">
        <f>SUBSTITUTE(SUBSTITUTE(SUBSTITUTE(SUBSTITUTE(SUBSTITUTE(SUBSTITUTE(SUBSTITUTE(TRIM(INDEX(Реестр!$D:$D, ROW())), "-", ""), " ", ""), CHAR(160), ""), CHAR(9), ""), CHAR(10), ""), CHAR(13), ""), CHAR(32), "")</f>
        <v/>
      </c>
      <c r="C7">
        <f>INDEX(Реестр!$H:$H, ROW())</f>
        <v/>
      </c>
      <c r="D7">
        <f>IF(OR(ISBLANK(INDEX(Реестр!$B:$B, ROW())), INDEX(Реестр!$B:$B, ROW())=""), " ", IF(IFERROR(ISNUMBER(--A7),FALSE), IF(LEN(A7)=10, IF(MOD(MOD(H7,11),10)=--RIGHT(A7,1), "OK", "ОШИБКА"), IF(LEN(A7)=12, IF(AND(MOD(MOD(H7,11),10)=--MID(A7,11,1), MOD(MOD(I7,11),10)=--RIGHT(A7,1)), "OK", "ОШИБКА"), "ДЛИНА (10 или 12)")), "НЕ ЦИФРЫ"))</f>
        <v/>
      </c>
      <c r="E7">
        <f>MID(B7,1,1)*9+MID(B7,2,1)*8+MID(B7,3,1)*7+MID(B7,4,1)*6+MID(B7,5,1)*5+MID(B7,6,1)*4+MID(B7,7,1)*3+MID(B7,8,1)*2+MID(B7,9,1)</f>
        <v/>
      </c>
      <c r="F7">
        <f>IF(B7="", " ", IF(LEN(B7)&lt;&gt;11, "ДЛИНА", IF(NOT(ISNUMBER(--B7)), "НЕ ЦИФРЫ", IF(LEFT(B7,9)*1&lt;=1001998, "OK", IF(RIGHT(B7,2)*1=IF(MOD(E7,101)&gt;=100,0,MOD(E7,101)),"OK","ОШИБКА")))))</f>
        <v/>
      </c>
      <c r="G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">
        <f>IF(LEN(TRIM(A7))=10, --MID(A7,1,1)*2+--MID(A7,2,1)*4+--MID(A7,3,1)*10+--MID(A7,4,1)*3+--MID(A7,5,1)*5+--MID(A7,6,1)*9+--MID(A7,7,1)*4+--MID(A7,8,1)*6+--MID(A7,9,1)*8, IF(LEN(TRIM(A7))=12, --MID(A7,1,1)*7+--MID(A7,2,1)*2+--MID(A7,3,1)*4+--MID(A7,4,1)*10+--MID(A7,5,1)*3+--MID(A7,6,1)*5+--MID(A7,7,1)*9+--MID(A7,8,1)*4+--MID(A7,9,1)*6+--MID(A7,10,1)*8, ""))</f>
        <v/>
      </c>
      <c r="I7">
        <f>IF(LEN(TRIM(A7))=12, --MID(A7,1,1)*3+--MID(A7,2,1)*7+--MID(A7,3,1)*2+--MID(A7,4,1)*4+--MID(A7,5,1)*10+--MID(A7,6,1)*3+--MID(A7,7,1)*5+--MID(A7,8,1)*9+--MID(A7,9,1)*4+--MID(A7,10,1)*6+--MID(A7,11,1)*8, "")</f>
        <v/>
      </c>
    </row>
    <row r="8">
      <c r="A8">
        <f>SUBSTITUTE(SUBSTITUTE(SUBSTITUTE(SUBSTITUTE(TRIM(INDEX(Реестр!$B:$B,ROW())),CHAR(160),""),CHAR(9),""),CHAR(10),""),CHAR(13),"")</f>
        <v/>
      </c>
      <c r="B8">
        <f>SUBSTITUTE(SUBSTITUTE(SUBSTITUTE(SUBSTITUTE(SUBSTITUTE(SUBSTITUTE(SUBSTITUTE(TRIM(INDEX(Реестр!$D:$D, ROW())), "-", ""), " ", ""), CHAR(160), ""), CHAR(9), ""), CHAR(10), ""), CHAR(13), ""), CHAR(32), "")</f>
        <v/>
      </c>
      <c r="C8">
        <f>INDEX(Реестр!$H:$H, ROW())</f>
        <v/>
      </c>
      <c r="D8">
        <f>IF(OR(ISBLANK(INDEX(Реестр!$B:$B, ROW())), INDEX(Реестр!$B:$B, ROW())=""), " ", IF(IFERROR(ISNUMBER(--A8),FALSE), IF(LEN(A8)=10, IF(MOD(MOD(H8,11),10)=--RIGHT(A8,1), "OK", "ОШИБКА"), IF(LEN(A8)=12, IF(AND(MOD(MOD(H8,11),10)=--MID(A8,11,1), MOD(MOD(I8,11),10)=--RIGHT(A8,1)), "OK", "ОШИБКА"), "ДЛИНА (10 или 12)")), "НЕ ЦИФРЫ"))</f>
        <v/>
      </c>
      <c r="E8">
        <f>MID(B8,1,1)*9+MID(B8,2,1)*8+MID(B8,3,1)*7+MID(B8,4,1)*6+MID(B8,5,1)*5+MID(B8,6,1)*4+MID(B8,7,1)*3+MID(B8,8,1)*2+MID(B8,9,1)</f>
        <v/>
      </c>
      <c r="F8">
        <f>IF(B8="", " ", IF(LEN(B8)&lt;&gt;11, "ДЛИНА", IF(NOT(ISNUMBER(--B8)), "НЕ ЦИФРЫ", IF(LEFT(B8,9)*1&lt;=1001998, "OK", IF(RIGHT(B8,2)*1=IF(MOD(E8,101)&gt;=100,0,MOD(E8,101)),"OK","ОШИБКА")))))</f>
        <v/>
      </c>
      <c r="G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">
        <f>IF(LEN(TRIM(A8))=10, --MID(A8,1,1)*2+--MID(A8,2,1)*4+--MID(A8,3,1)*10+--MID(A8,4,1)*3+--MID(A8,5,1)*5+--MID(A8,6,1)*9+--MID(A8,7,1)*4+--MID(A8,8,1)*6+--MID(A8,9,1)*8, IF(LEN(TRIM(A8))=12, --MID(A8,1,1)*7+--MID(A8,2,1)*2+--MID(A8,3,1)*4+--MID(A8,4,1)*10+--MID(A8,5,1)*3+--MID(A8,6,1)*5+--MID(A8,7,1)*9+--MID(A8,8,1)*4+--MID(A8,9,1)*6+--MID(A8,10,1)*8, ""))</f>
        <v/>
      </c>
      <c r="I8">
        <f>IF(LEN(TRIM(A8))=12, --MID(A8,1,1)*3+--MID(A8,2,1)*7+--MID(A8,3,1)*2+--MID(A8,4,1)*4+--MID(A8,5,1)*10+--MID(A8,6,1)*3+--MID(A8,7,1)*5+--MID(A8,8,1)*9+--MID(A8,9,1)*4+--MID(A8,10,1)*6+--MID(A8,11,1)*8, "")</f>
        <v/>
      </c>
    </row>
    <row r="9">
      <c r="A9">
        <f>SUBSTITUTE(SUBSTITUTE(SUBSTITUTE(SUBSTITUTE(TRIM(INDEX(Реестр!$B:$B,ROW())),CHAR(160),""),CHAR(9),""),CHAR(10),""),CHAR(13),"")</f>
        <v/>
      </c>
      <c r="B9">
        <f>SUBSTITUTE(SUBSTITUTE(SUBSTITUTE(SUBSTITUTE(SUBSTITUTE(SUBSTITUTE(SUBSTITUTE(TRIM(INDEX(Реестр!$D:$D, ROW())), "-", ""), " ", ""), CHAR(160), ""), CHAR(9), ""), CHAR(10), ""), CHAR(13), ""), CHAR(32), "")</f>
        <v/>
      </c>
      <c r="C9">
        <f>INDEX(Реестр!$H:$H, ROW())</f>
        <v/>
      </c>
      <c r="D9">
        <f>IF(OR(ISBLANK(INDEX(Реестр!$B:$B, ROW())), INDEX(Реестр!$B:$B, ROW())=""), " ", IF(IFERROR(ISNUMBER(--A9),FALSE), IF(LEN(A9)=10, IF(MOD(MOD(H9,11),10)=--RIGHT(A9,1), "OK", "ОШИБКА"), IF(LEN(A9)=12, IF(AND(MOD(MOD(H9,11),10)=--MID(A9,11,1), MOD(MOD(I9,11),10)=--RIGHT(A9,1)), "OK", "ОШИБКА"), "ДЛИНА (10 или 12)")), "НЕ ЦИФРЫ"))</f>
        <v/>
      </c>
      <c r="E9">
        <f>MID(B9,1,1)*9+MID(B9,2,1)*8+MID(B9,3,1)*7+MID(B9,4,1)*6+MID(B9,5,1)*5+MID(B9,6,1)*4+MID(B9,7,1)*3+MID(B9,8,1)*2+MID(B9,9,1)</f>
        <v/>
      </c>
      <c r="F9">
        <f>IF(B9="", " ", IF(LEN(B9)&lt;&gt;11, "ДЛИНА", IF(NOT(ISNUMBER(--B9)), "НЕ ЦИФРЫ", IF(LEFT(B9,9)*1&lt;=1001998, "OK", IF(RIGHT(B9,2)*1=IF(MOD(E9,101)&gt;=100,0,MOD(E9,101)),"OK","ОШИБКА")))))</f>
        <v/>
      </c>
      <c r="G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">
        <f>IF(LEN(TRIM(A9))=10, --MID(A9,1,1)*2+--MID(A9,2,1)*4+--MID(A9,3,1)*10+--MID(A9,4,1)*3+--MID(A9,5,1)*5+--MID(A9,6,1)*9+--MID(A9,7,1)*4+--MID(A9,8,1)*6+--MID(A9,9,1)*8, IF(LEN(TRIM(A9))=12, --MID(A9,1,1)*7+--MID(A9,2,1)*2+--MID(A9,3,1)*4+--MID(A9,4,1)*10+--MID(A9,5,1)*3+--MID(A9,6,1)*5+--MID(A9,7,1)*9+--MID(A9,8,1)*4+--MID(A9,9,1)*6+--MID(A9,10,1)*8, ""))</f>
        <v/>
      </c>
      <c r="I9">
        <f>IF(LEN(TRIM(A9))=12, --MID(A9,1,1)*3+--MID(A9,2,1)*7+--MID(A9,3,1)*2+--MID(A9,4,1)*4+--MID(A9,5,1)*10+--MID(A9,6,1)*3+--MID(A9,7,1)*5+--MID(A9,8,1)*9+--MID(A9,9,1)*4+--MID(A9,10,1)*6+--MID(A9,11,1)*8, "")</f>
        <v/>
      </c>
    </row>
    <row r="10">
      <c r="A10">
        <f>SUBSTITUTE(SUBSTITUTE(SUBSTITUTE(SUBSTITUTE(TRIM(INDEX(Реестр!$B:$B,ROW())),CHAR(160),""),CHAR(9),""),CHAR(10),""),CHAR(13),"")</f>
        <v/>
      </c>
      <c r="B10">
        <f>SUBSTITUTE(SUBSTITUTE(SUBSTITUTE(SUBSTITUTE(SUBSTITUTE(SUBSTITUTE(SUBSTITUTE(TRIM(INDEX(Реестр!$D:$D, ROW())), "-", ""), " ", ""), CHAR(160), ""), CHAR(9), ""), CHAR(10), ""), CHAR(13), ""), CHAR(32), "")</f>
        <v/>
      </c>
      <c r="C10">
        <f>INDEX(Реестр!$H:$H, ROW())</f>
        <v/>
      </c>
      <c r="D10">
        <f>IF(OR(ISBLANK(INDEX(Реестр!$B:$B, ROW())), INDEX(Реестр!$B:$B, ROW())=""), " ", IF(IFERROR(ISNUMBER(--A10),FALSE), IF(LEN(A10)=10, IF(MOD(MOD(H10,11),10)=--RIGHT(A10,1), "OK", "ОШИБКА"), IF(LEN(A10)=12, IF(AND(MOD(MOD(H10,11),10)=--MID(A10,11,1), MOD(MOD(I10,11),10)=--RIGHT(A10,1)), "OK", "ОШИБКА"), "ДЛИНА (10 или 12)")), "НЕ ЦИФРЫ"))</f>
        <v/>
      </c>
      <c r="E10">
        <f>MID(B10,1,1)*9+MID(B10,2,1)*8+MID(B10,3,1)*7+MID(B10,4,1)*6+MID(B10,5,1)*5+MID(B10,6,1)*4+MID(B10,7,1)*3+MID(B10,8,1)*2+MID(B10,9,1)</f>
        <v/>
      </c>
      <c r="F10">
        <f>IF(B10="", " ", IF(LEN(B10)&lt;&gt;11, "ДЛИНА", IF(NOT(ISNUMBER(--B10)), "НЕ ЦИФРЫ", IF(LEFT(B10,9)*1&lt;=1001998, "OK", IF(RIGHT(B10,2)*1=IF(MOD(E10,101)&gt;=100,0,MOD(E10,101)),"OK","ОШИБКА")))))</f>
        <v/>
      </c>
      <c r="G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">
        <f>IF(LEN(TRIM(A10))=10, --MID(A10,1,1)*2+--MID(A10,2,1)*4+--MID(A10,3,1)*10+--MID(A10,4,1)*3+--MID(A10,5,1)*5+--MID(A10,6,1)*9+--MID(A10,7,1)*4+--MID(A10,8,1)*6+--MID(A10,9,1)*8, IF(LEN(TRIM(A10))=12, --MID(A10,1,1)*7+--MID(A10,2,1)*2+--MID(A10,3,1)*4+--MID(A10,4,1)*10+--MID(A10,5,1)*3+--MID(A10,6,1)*5+--MID(A10,7,1)*9+--MID(A10,8,1)*4+--MID(A10,9,1)*6+--MID(A10,10,1)*8, ""))</f>
        <v/>
      </c>
      <c r="I10">
        <f>IF(LEN(TRIM(A10))=12, --MID(A10,1,1)*3+--MID(A10,2,1)*7+--MID(A10,3,1)*2+--MID(A10,4,1)*4+--MID(A10,5,1)*10+--MID(A10,6,1)*3+--MID(A10,7,1)*5+--MID(A10,8,1)*9+--MID(A10,9,1)*4+--MID(A10,10,1)*6+--MID(A10,11,1)*8, "")</f>
        <v/>
      </c>
    </row>
    <row r="11">
      <c r="A11">
        <f>SUBSTITUTE(SUBSTITUTE(SUBSTITUTE(SUBSTITUTE(TRIM(INDEX(Реестр!$B:$B,ROW())),CHAR(160),""),CHAR(9),""),CHAR(10),""),CHAR(13),"")</f>
        <v/>
      </c>
      <c r="B11">
        <f>SUBSTITUTE(SUBSTITUTE(SUBSTITUTE(SUBSTITUTE(SUBSTITUTE(SUBSTITUTE(SUBSTITUTE(TRIM(INDEX(Реестр!$D:$D, ROW())), "-", ""), " ", ""), CHAR(160), ""), CHAR(9), ""), CHAR(10), ""), CHAR(13), ""), CHAR(32), "")</f>
        <v/>
      </c>
      <c r="C11">
        <f>INDEX(Реестр!$H:$H, ROW())</f>
        <v/>
      </c>
      <c r="D11">
        <f>IF(OR(ISBLANK(INDEX(Реестр!$B:$B, ROW())), INDEX(Реестр!$B:$B, ROW())=""), " ", IF(IFERROR(ISNUMBER(--A11),FALSE), IF(LEN(A11)=10, IF(MOD(MOD(H11,11),10)=--RIGHT(A11,1), "OK", "ОШИБКА"), IF(LEN(A11)=12, IF(AND(MOD(MOD(H11,11),10)=--MID(A11,11,1), MOD(MOD(I11,11),10)=--RIGHT(A11,1)), "OK", "ОШИБКА"), "ДЛИНА (10 или 12)")), "НЕ ЦИФРЫ"))</f>
        <v/>
      </c>
      <c r="E11">
        <f>MID(B11,1,1)*9+MID(B11,2,1)*8+MID(B11,3,1)*7+MID(B11,4,1)*6+MID(B11,5,1)*5+MID(B11,6,1)*4+MID(B11,7,1)*3+MID(B11,8,1)*2+MID(B11,9,1)</f>
        <v/>
      </c>
      <c r="F11">
        <f>IF(B11="", " ", IF(LEN(B11)&lt;&gt;11, "ДЛИНА", IF(NOT(ISNUMBER(--B11)), "НЕ ЦИФРЫ", IF(LEFT(B11,9)*1&lt;=1001998, "OK", IF(RIGHT(B11,2)*1=IF(MOD(E11,101)&gt;=100,0,MOD(E11,101)),"OK","ОШИБКА")))))</f>
        <v/>
      </c>
      <c r="G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">
        <f>IF(LEN(TRIM(A11))=10, --MID(A11,1,1)*2+--MID(A11,2,1)*4+--MID(A11,3,1)*10+--MID(A11,4,1)*3+--MID(A11,5,1)*5+--MID(A11,6,1)*9+--MID(A11,7,1)*4+--MID(A11,8,1)*6+--MID(A11,9,1)*8, IF(LEN(TRIM(A11))=12, --MID(A11,1,1)*7+--MID(A11,2,1)*2+--MID(A11,3,1)*4+--MID(A11,4,1)*10+--MID(A11,5,1)*3+--MID(A11,6,1)*5+--MID(A11,7,1)*9+--MID(A11,8,1)*4+--MID(A11,9,1)*6+--MID(A11,10,1)*8, ""))</f>
        <v/>
      </c>
      <c r="I11">
        <f>IF(LEN(TRIM(A11))=12, --MID(A11,1,1)*3+--MID(A11,2,1)*7+--MID(A11,3,1)*2+--MID(A11,4,1)*4+--MID(A11,5,1)*10+--MID(A11,6,1)*3+--MID(A11,7,1)*5+--MID(A11,8,1)*9+--MID(A11,9,1)*4+--MID(A11,10,1)*6+--MID(A11,11,1)*8, "")</f>
        <v/>
      </c>
    </row>
    <row r="12">
      <c r="A12">
        <f>SUBSTITUTE(SUBSTITUTE(SUBSTITUTE(SUBSTITUTE(TRIM(INDEX(Реестр!$B:$B,ROW())),CHAR(160),""),CHAR(9),""),CHAR(10),""),CHAR(13),"")</f>
        <v/>
      </c>
      <c r="B12">
        <f>SUBSTITUTE(SUBSTITUTE(SUBSTITUTE(SUBSTITUTE(SUBSTITUTE(SUBSTITUTE(SUBSTITUTE(TRIM(INDEX(Реестр!$D:$D, ROW())), "-", ""), " ", ""), CHAR(160), ""), CHAR(9), ""), CHAR(10), ""), CHAR(13), ""), CHAR(32), "")</f>
        <v/>
      </c>
      <c r="C12">
        <f>INDEX(Реестр!$H:$H, ROW())</f>
        <v/>
      </c>
      <c r="D12">
        <f>IF(OR(ISBLANK(INDEX(Реестр!$B:$B, ROW())), INDEX(Реестр!$B:$B, ROW())=""), " ", IF(IFERROR(ISNUMBER(--A12),FALSE), IF(LEN(A12)=10, IF(MOD(MOD(H12,11),10)=--RIGHT(A12,1), "OK", "ОШИБКА"), IF(LEN(A12)=12, IF(AND(MOD(MOD(H12,11),10)=--MID(A12,11,1), MOD(MOD(I12,11),10)=--RIGHT(A12,1)), "OK", "ОШИБКА"), "ДЛИНА (10 или 12)")), "НЕ ЦИФРЫ"))</f>
        <v/>
      </c>
      <c r="E12">
        <f>MID(B12,1,1)*9+MID(B12,2,1)*8+MID(B12,3,1)*7+MID(B12,4,1)*6+MID(B12,5,1)*5+MID(B12,6,1)*4+MID(B12,7,1)*3+MID(B12,8,1)*2+MID(B12,9,1)</f>
        <v/>
      </c>
      <c r="F12">
        <f>IF(B12="", " ", IF(LEN(B12)&lt;&gt;11, "ДЛИНА", IF(NOT(ISNUMBER(--B12)), "НЕ ЦИФРЫ", IF(LEFT(B12,9)*1&lt;=1001998, "OK", IF(RIGHT(B12,2)*1=IF(MOD(E12,101)&gt;=100,0,MOD(E12,101)),"OK","ОШИБКА")))))</f>
        <v/>
      </c>
      <c r="G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">
        <f>IF(LEN(TRIM(A12))=10, --MID(A12,1,1)*2+--MID(A12,2,1)*4+--MID(A12,3,1)*10+--MID(A12,4,1)*3+--MID(A12,5,1)*5+--MID(A12,6,1)*9+--MID(A12,7,1)*4+--MID(A12,8,1)*6+--MID(A12,9,1)*8, IF(LEN(TRIM(A12))=12, --MID(A12,1,1)*7+--MID(A12,2,1)*2+--MID(A12,3,1)*4+--MID(A12,4,1)*10+--MID(A12,5,1)*3+--MID(A12,6,1)*5+--MID(A12,7,1)*9+--MID(A12,8,1)*4+--MID(A12,9,1)*6+--MID(A12,10,1)*8, ""))</f>
        <v/>
      </c>
      <c r="I12">
        <f>IF(LEN(TRIM(A12))=12, --MID(A12,1,1)*3+--MID(A12,2,1)*7+--MID(A12,3,1)*2+--MID(A12,4,1)*4+--MID(A12,5,1)*10+--MID(A12,6,1)*3+--MID(A12,7,1)*5+--MID(A12,8,1)*9+--MID(A12,9,1)*4+--MID(A12,10,1)*6+--MID(A12,11,1)*8, "")</f>
        <v/>
      </c>
    </row>
    <row r="13">
      <c r="A13">
        <f>SUBSTITUTE(SUBSTITUTE(SUBSTITUTE(SUBSTITUTE(TRIM(INDEX(Реестр!$B:$B,ROW())),CHAR(160),""),CHAR(9),""),CHAR(10),""),CHAR(13),"")</f>
        <v/>
      </c>
      <c r="B13">
        <f>SUBSTITUTE(SUBSTITUTE(SUBSTITUTE(SUBSTITUTE(SUBSTITUTE(SUBSTITUTE(SUBSTITUTE(TRIM(INDEX(Реестр!$D:$D, ROW())), "-", ""), " ", ""), CHAR(160), ""), CHAR(9), ""), CHAR(10), ""), CHAR(13), ""), CHAR(32), "")</f>
        <v/>
      </c>
      <c r="C13">
        <f>INDEX(Реестр!$H:$H, ROW())</f>
        <v/>
      </c>
      <c r="D13">
        <f>IF(OR(ISBLANK(INDEX(Реестр!$B:$B, ROW())), INDEX(Реестр!$B:$B, ROW())=""), " ", IF(IFERROR(ISNUMBER(--A13),FALSE), IF(LEN(A13)=10, IF(MOD(MOD(H13,11),10)=--RIGHT(A13,1), "OK", "ОШИБКА"), IF(LEN(A13)=12, IF(AND(MOD(MOD(H13,11),10)=--MID(A13,11,1), MOD(MOD(I13,11),10)=--RIGHT(A13,1)), "OK", "ОШИБКА"), "ДЛИНА (10 или 12)")), "НЕ ЦИФРЫ"))</f>
        <v/>
      </c>
      <c r="E13">
        <f>MID(B13,1,1)*9+MID(B13,2,1)*8+MID(B13,3,1)*7+MID(B13,4,1)*6+MID(B13,5,1)*5+MID(B13,6,1)*4+MID(B13,7,1)*3+MID(B13,8,1)*2+MID(B13,9,1)</f>
        <v/>
      </c>
      <c r="F13">
        <f>IF(B13="", " ", IF(LEN(B13)&lt;&gt;11, "ДЛИНА", IF(NOT(ISNUMBER(--B13)), "НЕ ЦИФРЫ", IF(LEFT(B13,9)*1&lt;=1001998, "OK", IF(RIGHT(B13,2)*1=IF(MOD(E13,101)&gt;=100,0,MOD(E13,101)),"OK","ОШИБКА")))))</f>
        <v/>
      </c>
      <c r="G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">
        <f>IF(LEN(TRIM(A13))=10, --MID(A13,1,1)*2+--MID(A13,2,1)*4+--MID(A13,3,1)*10+--MID(A13,4,1)*3+--MID(A13,5,1)*5+--MID(A13,6,1)*9+--MID(A13,7,1)*4+--MID(A13,8,1)*6+--MID(A13,9,1)*8, IF(LEN(TRIM(A13))=12, --MID(A13,1,1)*7+--MID(A13,2,1)*2+--MID(A13,3,1)*4+--MID(A13,4,1)*10+--MID(A13,5,1)*3+--MID(A13,6,1)*5+--MID(A13,7,1)*9+--MID(A13,8,1)*4+--MID(A13,9,1)*6+--MID(A13,10,1)*8, ""))</f>
        <v/>
      </c>
      <c r="I13">
        <f>IF(LEN(TRIM(A13))=12, --MID(A13,1,1)*3+--MID(A13,2,1)*7+--MID(A13,3,1)*2+--MID(A13,4,1)*4+--MID(A13,5,1)*10+--MID(A13,6,1)*3+--MID(A13,7,1)*5+--MID(A13,8,1)*9+--MID(A13,9,1)*4+--MID(A13,10,1)*6+--MID(A13,11,1)*8, "")</f>
        <v/>
      </c>
    </row>
    <row r="14">
      <c r="A14">
        <f>SUBSTITUTE(SUBSTITUTE(SUBSTITUTE(SUBSTITUTE(TRIM(INDEX(Реестр!$B:$B,ROW())),CHAR(160),""),CHAR(9),""),CHAR(10),""),CHAR(13),"")</f>
        <v/>
      </c>
      <c r="B14">
        <f>SUBSTITUTE(SUBSTITUTE(SUBSTITUTE(SUBSTITUTE(SUBSTITUTE(SUBSTITUTE(SUBSTITUTE(TRIM(INDEX(Реестр!$D:$D, ROW())), "-", ""), " ", ""), CHAR(160), ""), CHAR(9), ""), CHAR(10), ""), CHAR(13), ""), CHAR(32), "")</f>
        <v/>
      </c>
      <c r="C14">
        <f>INDEX(Реестр!$H:$H, ROW())</f>
        <v/>
      </c>
      <c r="D14">
        <f>IF(OR(ISBLANK(INDEX(Реестр!$B:$B, ROW())), INDEX(Реестр!$B:$B, ROW())=""), " ", IF(IFERROR(ISNUMBER(--A14),FALSE), IF(LEN(A14)=10, IF(MOD(MOD(H14,11),10)=--RIGHT(A14,1), "OK", "ОШИБКА"), IF(LEN(A14)=12, IF(AND(MOD(MOD(H14,11),10)=--MID(A14,11,1), MOD(MOD(I14,11),10)=--RIGHT(A14,1)), "OK", "ОШИБКА"), "ДЛИНА (10 или 12)")), "НЕ ЦИФРЫ"))</f>
        <v/>
      </c>
      <c r="E14">
        <f>MID(B14,1,1)*9+MID(B14,2,1)*8+MID(B14,3,1)*7+MID(B14,4,1)*6+MID(B14,5,1)*5+MID(B14,6,1)*4+MID(B14,7,1)*3+MID(B14,8,1)*2+MID(B14,9,1)</f>
        <v/>
      </c>
      <c r="F14">
        <f>IF(B14="", " ", IF(LEN(B14)&lt;&gt;11, "ДЛИНА", IF(NOT(ISNUMBER(--B14)), "НЕ ЦИФРЫ", IF(LEFT(B14,9)*1&lt;=1001998, "OK", IF(RIGHT(B14,2)*1=IF(MOD(E14,101)&gt;=100,0,MOD(E14,101)),"OK","ОШИБКА")))))</f>
        <v/>
      </c>
      <c r="G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">
        <f>IF(LEN(TRIM(A14))=10, --MID(A14,1,1)*2+--MID(A14,2,1)*4+--MID(A14,3,1)*10+--MID(A14,4,1)*3+--MID(A14,5,1)*5+--MID(A14,6,1)*9+--MID(A14,7,1)*4+--MID(A14,8,1)*6+--MID(A14,9,1)*8, IF(LEN(TRIM(A14))=12, --MID(A14,1,1)*7+--MID(A14,2,1)*2+--MID(A14,3,1)*4+--MID(A14,4,1)*10+--MID(A14,5,1)*3+--MID(A14,6,1)*5+--MID(A14,7,1)*9+--MID(A14,8,1)*4+--MID(A14,9,1)*6+--MID(A14,10,1)*8, ""))</f>
        <v/>
      </c>
      <c r="I14">
        <f>IF(LEN(TRIM(A14))=12, --MID(A14,1,1)*3+--MID(A14,2,1)*7+--MID(A14,3,1)*2+--MID(A14,4,1)*4+--MID(A14,5,1)*10+--MID(A14,6,1)*3+--MID(A14,7,1)*5+--MID(A14,8,1)*9+--MID(A14,9,1)*4+--MID(A14,10,1)*6+--MID(A14,11,1)*8, "")</f>
        <v/>
      </c>
    </row>
    <row r="15">
      <c r="A15">
        <f>SUBSTITUTE(SUBSTITUTE(SUBSTITUTE(SUBSTITUTE(TRIM(INDEX(Реестр!$B:$B,ROW())),CHAR(160),""),CHAR(9),""),CHAR(10),""),CHAR(13),"")</f>
        <v/>
      </c>
      <c r="B15">
        <f>SUBSTITUTE(SUBSTITUTE(SUBSTITUTE(SUBSTITUTE(SUBSTITUTE(SUBSTITUTE(SUBSTITUTE(TRIM(INDEX(Реестр!$D:$D, ROW())), "-", ""), " ", ""), CHAR(160), ""), CHAR(9), ""), CHAR(10), ""), CHAR(13), ""), CHAR(32), "")</f>
        <v/>
      </c>
      <c r="C15">
        <f>INDEX(Реестр!$H:$H, ROW())</f>
        <v/>
      </c>
      <c r="D15">
        <f>IF(OR(ISBLANK(INDEX(Реестр!$B:$B, ROW())), INDEX(Реестр!$B:$B, ROW())=""), " ", IF(IFERROR(ISNUMBER(--A15),FALSE), IF(LEN(A15)=10, IF(MOD(MOD(H15,11),10)=--RIGHT(A15,1), "OK", "ОШИБКА"), IF(LEN(A15)=12, IF(AND(MOD(MOD(H15,11),10)=--MID(A15,11,1), MOD(MOD(I15,11),10)=--RIGHT(A15,1)), "OK", "ОШИБКА"), "ДЛИНА (10 или 12)")), "НЕ ЦИФРЫ"))</f>
        <v/>
      </c>
      <c r="E15">
        <f>MID(B15,1,1)*9+MID(B15,2,1)*8+MID(B15,3,1)*7+MID(B15,4,1)*6+MID(B15,5,1)*5+MID(B15,6,1)*4+MID(B15,7,1)*3+MID(B15,8,1)*2+MID(B15,9,1)</f>
        <v/>
      </c>
      <c r="F15">
        <f>IF(B15="", " ", IF(LEN(B15)&lt;&gt;11, "ДЛИНА", IF(NOT(ISNUMBER(--B15)), "НЕ ЦИФРЫ", IF(LEFT(B15,9)*1&lt;=1001998, "OK", IF(RIGHT(B15,2)*1=IF(MOD(E15,101)&gt;=100,0,MOD(E15,101)),"OK","ОШИБКА")))))</f>
        <v/>
      </c>
      <c r="G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">
        <f>IF(LEN(TRIM(A15))=10, --MID(A15,1,1)*2+--MID(A15,2,1)*4+--MID(A15,3,1)*10+--MID(A15,4,1)*3+--MID(A15,5,1)*5+--MID(A15,6,1)*9+--MID(A15,7,1)*4+--MID(A15,8,1)*6+--MID(A15,9,1)*8, IF(LEN(TRIM(A15))=12, --MID(A15,1,1)*7+--MID(A15,2,1)*2+--MID(A15,3,1)*4+--MID(A15,4,1)*10+--MID(A15,5,1)*3+--MID(A15,6,1)*5+--MID(A15,7,1)*9+--MID(A15,8,1)*4+--MID(A15,9,1)*6+--MID(A15,10,1)*8, ""))</f>
        <v/>
      </c>
      <c r="I15">
        <f>IF(LEN(TRIM(A15))=12, --MID(A15,1,1)*3+--MID(A15,2,1)*7+--MID(A15,3,1)*2+--MID(A15,4,1)*4+--MID(A15,5,1)*10+--MID(A15,6,1)*3+--MID(A15,7,1)*5+--MID(A15,8,1)*9+--MID(A15,9,1)*4+--MID(A15,10,1)*6+--MID(A15,11,1)*8, "")</f>
        <v/>
      </c>
    </row>
    <row r="16">
      <c r="A16">
        <f>SUBSTITUTE(SUBSTITUTE(SUBSTITUTE(SUBSTITUTE(TRIM(INDEX(Реестр!$B:$B,ROW())),CHAR(160),""),CHAR(9),""),CHAR(10),""),CHAR(13),"")</f>
        <v/>
      </c>
      <c r="B16">
        <f>SUBSTITUTE(SUBSTITUTE(SUBSTITUTE(SUBSTITUTE(SUBSTITUTE(SUBSTITUTE(SUBSTITUTE(TRIM(INDEX(Реестр!$D:$D, ROW())), "-", ""), " ", ""), CHAR(160), ""), CHAR(9), ""), CHAR(10), ""), CHAR(13), ""), CHAR(32), "")</f>
        <v/>
      </c>
      <c r="C16">
        <f>INDEX(Реестр!$H:$H, ROW())</f>
        <v/>
      </c>
      <c r="D16">
        <f>IF(OR(ISBLANK(INDEX(Реестр!$B:$B, ROW())), INDEX(Реестр!$B:$B, ROW())=""), " ", IF(IFERROR(ISNUMBER(--A16),FALSE), IF(LEN(A16)=10, IF(MOD(MOD(H16,11),10)=--RIGHT(A16,1), "OK", "ОШИБКА"), IF(LEN(A16)=12, IF(AND(MOD(MOD(H16,11),10)=--MID(A16,11,1), MOD(MOD(I16,11),10)=--RIGHT(A16,1)), "OK", "ОШИБКА"), "ДЛИНА (10 или 12)")), "НЕ ЦИФРЫ"))</f>
        <v/>
      </c>
      <c r="E16">
        <f>MID(B16,1,1)*9+MID(B16,2,1)*8+MID(B16,3,1)*7+MID(B16,4,1)*6+MID(B16,5,1)*5+MID(B16,6,1)*4+MID(B16,7,1)*3+MID(B16,8,1)*2+MID(B16,9,1)</f>
        <v/>
      </c>
      <c r="F16">
        <f>IF(B16="", " ", IF(LEN(B16)&lt;&gt;11, "ДЛИНА", IF(NOT(ISNUMBER(--B16)), "НЕ ЦИФРЫ", IF(LEFT(B16,9)*1&lt;=1001998, "OK", IF(RIGHT(B16,2)*1=IF(MOD(E16,101)&gt;=100,0,MOD(E16,101)),"OK","ОШИБКА")))))</f>
        <v/>
      </c>
      <c r="G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">
        <f>IF(LEN(TRIM(A16))=10, --MID(A16,1,1)*2+--MID(A16,2,1)*4+--MID(A16,3,1)*10+--MID(A16,4,1)*3+--MID(A16,5,1)*5+--MID(A16,6,1)*9+--MID(A16,7,1)*4+--MID(A16,8,1)*6+--MID(A16,9,1)*8, IF(LEN(TRIM(A16))=12, --MID(A16,1,1)*7+--MID(A16,2,1)*2+--MID(A16,3,1)*4+--MID(A16,4,1)*10+--MID(A16,5,1)*3+--MID(A16,6,1)*5+--MID(A16,7,1)*9+--MID(A16,8,1)*4+--MID(A16,9,1)*6+--MID(A16,10,1)*8, ""))</f>
        <v/>
      </c>
      <c r="I16">
        <f>IF(LEN(TRIM(A16))=12, --MID(A16,1,1)*3+--MID(A16,2,1)*7+--MID(A16,3,1)*2+--MID(A16,4,1)*4+--MID(A16,5,1)*10+--MID(A16,6,1)*3+--MID(A16,7,1)*5+--MID(A16,8,1)*9+--MID(A16,9,1)*4+--MID(A16,10,1)*6+--MID(A16,11,1)*8, "")</f>
        <v/>
      </c>
    </row>
    <row r="17">
      <c r="A17">
        <f>SUBSTITUTE(SUBSTITUTE(SUBSTITUTE(SUBSTITUTE(TRIM(INDEX(Реестр!$B:$B,ROW())),CHAR(160),""),CHAR(9),""),CHAR(10),""),CHAR(13),"")</f>
        <v/>
      </c>
      <c r="B17">
        <f>SUBSTITUTE(SUBSTITUTE(SUBSTITUTE(SUBSTITUTE(SUBSTITUTE(SUBSTITUTE(SUBSTITUTE(TRIM(INDEX(Реестр!$D:$D, ROW())), "-", ""), " ", ""), CHAR(160), ""), CHAR(9), ""), CHAR(10), ""), CHAR(13), ""), CHAR(32), "")</f>
        <v/>
      </c>
      <c r="C17">
        <f>INDEX(Реестр!$H:$H, ROW())</f>
        <v/>
      </c>
      <c r="D17">
        <f>IF(OR(ISBLANK(INDEX(Реестр!$B:$B, ROW())), INDEX(Реестр!$B:$B, ROW())=""), " ", IF(IFERROR(ISNUMBER(--A17),FALSE), IF(LEN(A17)=10, IF(MOD(MOD(H17,11),10)=--RIGHT(A17,1), "OK", "ОШИБКА"), IF(LEN(A17)=12, IF(AND(MOD(MOD(H17,11),10)=--MID(A17,11,1), MOD(MOD(I17,11),10)=--RIGHT(A17,1)), "OK", "ОШИБКА"), "ДЛИНА (10 или 12)")), "НЕ ЦИФРЫ"))</f>
        <v/>
      </c>
      <c r="E17">
        <f>MID(B17,1,1)*9+MID(B17,2,1)*8+MID(B17,3,1)*7+MID(B17,4,1)*6+MID(B17,5,1)*5+MID(B17,6,1)*4+MID(B17,7,1)*3+MID(B17,8,1)*2+MID(B17,9,1)</f>
        <v/>
      </c>
      <c r="F17">
        <f>IF(B17="", " ", IF(LEN(B17)&lt;&gt;11, "ДЛИНА", IF(NOT(ISNUMBER(--B17)), "НЕ ЦИФРЫ", IF(LEFT(B17,9)*1&lt;=1001998, "OK", IF(RIGHT(B17,2)*1=IF(MOD(E17,101)&gt;=100,0,MOD(E17,101)),"OK","ОШИБКА")))))</f>
        <v/>
      </c>
      <c r="G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">
        <f>IF(LEN(TRIM(A17))=10, --MID(A17,1,1)*2+--MID(A17,2,1)*4+--MID(A17,3,1)*10+--MID(A17,4,1)*3+--MID(A17,5,1)*5+--MID(A17,6,1)*9+--MID(A17,7,1)*4+--MID(A17,8,1)*6+--MID(A17,9,1)*8, IF(LEN(TRIM(A17))=12, --MID(A17,1,1)*7+--MID(A17,2,1)*2+--MID(A17,3,1)*4+--MID(A17,4,1)*10+--MID(A17,5,1)*3+--MID(A17,6,1)*5+--MID(A17,7,1)*9+--MID(A17,8,1)*4+--MID(A17,9,1)*6+--MID(A17,10,1)*8, ""))</f>
        <v/>
      </c>
      <c r="I17">
        <f>IF(LEN(TRIM(A17))=12, --MID(A17,1,1)*3+--MID(A17,2,1)*7+--MID(A17,3,1)*2+--MID(A17,4,1)*4+--MID(A17,5,1)*10+--MID(A17,6,1)*3+--MID(A17,7,1)*5+--MID(A17,8,1)*9+--MID(A17,9,1)*4+--MID(A17,10,1)*6+--MID(A17,11,1)*8, "")</f>
        <v/>
      </c>
    </row>
    <row r="18">
      <c r="A18">
        <f>SUBSTITUTE(SUBSTITUTE(SUBSTITUTE(SUBSTITUTE(TRIM(INDEX(Реестр!$B:$B,ROW())),CHAR(160),""),CHAR(9),""),CHAR(10),""),CHAR(13),"")</f>
        <v/>
      </c>
      <c r="B18">
        <f>SUBSTITUTE(SUBSTITUTE(SUBSTITUTE(SUBSTITUTE(SUBSTITUTE(SUBSTITUTE(SUBSTITUTE(TRIM(INDEX(Реестр!$D:$D, ROW())), "-", ""), " ", ""), CHAR(160), ""), CHAR(9), ""), CHAR(10), ""), CHAR(13), ""), CHAR(32), "")</f>
        <v/>
      </c>
      <c r="C18">
        <f>INDEX(Реестр!$H:$H, ROW())</f>
        <v/>
      </c>
      <c r="D18">
        <f>IF(OR(ISBLANK(INDEX(Реестр!$B:$B, ROW())), INDEX(Реестр!$B:$B, ROW())=""), " ", IF(IFERROR(ISNUMBER(--A18),FALSE), IF(LEN(A18)=10, IF(MOD(MOD(H18,11),10)=--RIGHT(A18,1), "OK", "ОШИБКА"), IF(LEN(A18)=12, IF(AND(MOD(MOD(H18,11),10)=--MID(A18,11,1), MOD(MOD(I18,11),10)=--RIGHT(A18,1)), "OK", "ОШИБКА"), "ДЛИНА (10 или 12)")), "НЕ ЦИФРЫ"))</f>
        <v/>
      </c>
      <c r="E18">
        <f>MID(B18,1,1)*9+MID(B18,2,1)*8+MID(B18,3,1)*7+MID(B18,4,1)*6+MID(B18,5,1)*5+MID(B18,6,1)*4+MID(B18,7,1)*3+MID(B18,8,1)*2+MID(B18,9,1)</f>
        <v/>
      </c>
      <c r="F18">
        <f>IF(B18="", " ", IF(LEN(B18)&lt;&gt;11, "ДЛИНА", IF(NOT(ISNUMBER(--B18)), "НЕ ЦИФРЫ", IF(LEFT(B18,9)*1&lt;=1001998, "OK", IF(RIGHT(B18,2)*1=IF(MOD(E18,101)&gt;=100,0,MOD(E18,101)),"OK","ОШИБКА")))))</f>
        <v/>
      </c>
      <c r="G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">
        <f>IF(LEN(TRIM(A18))=10, --MID(A18,1,1)*2+--MID(A18,2,1)*4+--MID(A18,3,1)*10+--MID(A18,4,1)*3+--MID(A18,5,1)*5+--MID(A18,6,1)*9+--MID(A18,7,1)*4+--MID(A18,8,1)*6+--MID(A18,9,1)*8, IF(LEN(TRIM(A18))=12, --MID(A18,1,1)*7+--MID(A18,2,1)*2+--MID(A18,3,1)*4+--MID(A18,4,1)*10+--MID(A18,5,1)*3+--MID(A18,6,1)*5+--MID(A18,7,1)*9+--MID(A18,8,1)*4+--MID(A18,9,1)*6+--MID(A18,10,1)*8, ""))</f>
        <v/>
      </c>
      <c r="I18">
        <f>IF(LEN(TRIM(A18))=12, --MID(A18,1,1)*3+--MID(A18,2,1)*7+--MID(A18,3,1)*2+--MID(A18,4,1)*4+--MID(A18,5,1)*10+--MID(A18,6,1)*3+--MID(A18,7,1)*5+--MID(A18,8,1)*9+--MID(A18,9,1)*4+--MID(A18,10,1)*6+--MID(A18,11,1)*8, "")</f>
        <v/>
      </c>
    </row>
    <row r="19">
      <c r="A19">
        <f>SUBSTITUTE(SUBSTITUTE(SUBSTITUTE(SUBSTITUTE(TRIM(INDEX(Реестр!$B:$B,ROW())),CHAR(160),""),CHAR(9),""),CHAR(10),""),CHAR(13),"")</f>
        <v/>
      </c>
      <c r="B19">
        <f>SUBSTITUTE(SUBSTITUTE(SUBSTITUTE(SUBSTITUTE(SUBSTITUTE(SUBSTITUTE(SUBSTITUTE(TRIM(INDEX(Реестр!$D:$D, ROW())), "-", ""), " ", ""), CHAR(160), ""), CHAR(9), ""), CHAR(10), ""), CHAR(13), ""), CHAR(32), "")</f>
        <v/>
      </c>
      <c r="C19">
        <f>INDEX(Реестр!$H:$H, ROW())</f>
        <v/>
      </c>
      <c r="D19">
        <f>IF(OR(ISBLANK(INDEX(Реестр!$B:$B, ROW())), INDEX(Реестр!$B:$B, ROW())=""), " ", IF(IFERROR(ISNUMBER(--A19),FALSE), IF(LEN(A19)=10, IF(MOD(MOD(H19,11),10)=--RIGHT(A19,1), "OK", "ОШИБКА"), IF(LEN(A19)=12, IF(AND(MOD(MOD(H19,11),10)=--MID(A19,11,1), MOD(MOD(I19,11),10)=--RIGHT(A19,1)), "OK", "ОШИБКА"), "ДЛИНА (10 или 12)")), "НЕ ЦИФРЫ"))</f>
        <v/>
      </c>
      <c r="E19">
        <f>MID(B19,1,1)*9+MID(B19,2,1)*8+MID(B19,3,1)*7+MID(B19,4,1)*6+MID(B19,5,1)*5+MID(B19,6,1)*4+MID(B19,7,1)*3+MID(B19,8,1)*2+MID(B19,9,1)</f>
        <v/>
      </c>
      <c r="F19">
        <f>IF(B19="", " ", IF(LEN(B19)&lt;&gt;11, "ДЛИНА", IF(NOT(ISNUMBER(--B19)), "НЕ ЦИФРЫ", IF(LEFT(B19,9)*1&lt;=1001998, "OK", IF(RIGHT(B19,2)*1=IF(MOD(E19,101)&gt;=100,0,MOD(E19,101)),"OK","ОШИБКА")))))</f>
        <v/>
      </c>
      <c r="G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">
        <f>IF(LEN(TRIM(A19))=10, --MID(A19,1,1)*2+--MID(A19,2,1)*4+--MID(A19,3,1)*10+--MID(A19,4,1)*3+--MID(A19,5,1)*5+--MID(A19,6,1)*9+--MID(A19,7,1)*4+--MID(A19,8,1)*6+--MID(A19,9,1)*8, IF(LEN(TRIM(A19))=12, --MID(A19,1,1)*7+--MID(A19,2,1)*2+--MID(A19,3,1)*4+--MID(A19,4,1)*10+--MID(A19,5,1)*3+--MID(A19,6,1)*5+--MID(A19,7,1)*9+--MID(A19,8,1)*4+--MID(A19,9,1)*6+--MID(A19,10,1)*8, ""))</f>
        <v/>
      </c>
      <c r="I19">
        <f>IF(LEN(TRIM(A19))=12, --MID(A19,1,1)*3+--MID(A19,2,1)*7+--MID(A19,3,1)*2+--MID(A19,4,1)*4+--MID(A19,5,1)*10+--MID(A19,6,1)*3+--MID(A19,7,1)*5+--MID(A19,8,1)*9+--MID(A19,9,1)*4+--MID(A19,10,1)*6+--MID(A19,11,1)*8, "")</f>
        <v/>
      </c>
    </row>
    <row r="20">
      <c r="A20">
        <f>SUBSTITUTE(SUBSTITUTE(SUBSTITUTE(SUBSTITUTE(TRIM(INDEX(Реестр!$B:$B,ROW())),CHAR(160),""),CHAR(9),""),CHAR(10),""),CHAR(13),"")</f>
        <v/>
      </c>
      <c r="B20">
        <f>SUBSTITUTE(SUBSTITUTE(SUBSTITUTE(SUBSTITUTE(SUBSTITUTE(SUBSTITUTE(SUBSTITUTE(TRIM(INDEX(Реестр!$D:$D, ROW())), "-", ""), " ", ""), CHAR(160), ""), CHAR(9), ""), CHAR(10), ""), CHAR(13), ""), CHAR(32), "")</f>
        <v/>
      </c>
      <c r="C20">
        <f>INDEX(Реестр!$H:$H, ROW())</f>
        <v/>
      </c>
      <c r="D20">
        <f>IF(OR(ISBLANK(INDEX(Реестр!$B:$B, ROW())), INDEX(Реестр!$B:$B, ROW())=""), " ", IF(IFERROR(ISNUMBER(--A20),FALSE), IF(LEN(A20)=10, IF(MOD(MOD(H20,11),10)=--RIGHT(A20,1), "OK", "ОШИБКА"), IF(LEN(A20)=12, IF(AND(MOD(MOD(H20,11),10)=--MID(A20,11,1), MOD(MOD(I20,11),10)=--RIGHT(A20,1)), "OK", "ОШИБКА"), "ДЛИНА (10 или 12)")), "НЕ ЦИФРЫ"))</f>
        <v/>
      </c>
      <c r="E20">
        <f>MID(B20,1,1)*9+MID(B20,2,1)*8+MID(B20,3,1)*7+MID(B20,4,1)*6+MID(B20,5,1)*5+MID(B20,6,1)*4+MID(B20,7,1)*3+MID(B20,8,1)*2+MID(B20,9,1)</f>
        <v/>
      </c>
      <c r="F20">
        <f>IF(B20="", " ", IF(LEN(B20)&lt;&gt;11, "ДЛИНА", IF(NOT(ISNUMBER(--B20)), "НЕ ЦИФРЫ", IF(LEFT(B20,9)*1&lt;=1001998, "OK", IF(RIGHT(B20,2)*1=IF(MOD(E20,101)&gt;=100,0,MOD(E20,101)),"OK","ОШИБКА")))))</f>
        <v/>
      </c>
      <c r="G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">
        <f>IF(LEN(TRIM(A20))=10, --MID(A20,1,1)*2+--MID(A20,2,1)*4+--MID(A20,3,1)*10+--MID(A20,4,1)*3+--MID(A20,5,1)*5+--MID(A20,6,1)*9+--MID(A20,7,1)*4+--MID(A20,8,1)*6+--MID(A20,9,1)*8, IF(LEN(TRIM(A20))=12, --MID(A20,1,1)*7+--MID(A20,2,1)*2+--MID(A20,3,1)*4+--MID(A20,4,1)*10+--MID(A20,5,1)*3+--MID(A20,6,1)*5+--MID(A20,7,1)*9+--MID(A20,8,1)*4+--MID(A20,9,1)*6+--MID(A20,10,1)*8, ""))</f>
        <v/>
      </c>
      <c r="I20">
        <f>IF(LEN(TRIM(A20))=12, --MID(A20,1,1)*3+--MID(A20,2,1)*7+--MID(A20,3,1)*2+--MID(A20,4,1)*4+--MID(A20,5,1)*10+--MID(A20,6,1)*3+--MID(A20,7,1)*5+--MID(A20,8,1)*9+--MID(A20,9,1)*4+--MID(A20,10,1)*6+--MID(A20,11,1)*8, "")</f>
        <v/>
      </c>
    </row>
    <row r="21">
      <c r="A21">
        <f>SUBSTITUTE(SUBSTITUTE(SUBSTITUTE(SUBSTITUTE(TRIM(INDEX(Реестр!$B:$B,ROW())),CHAR(160),""),CHAR(9),""),CHAR(10),""),CHAR(13),"")</f>
        <v/>
      </c>
      <c r="B21">
        <f>SUBSTITUTE(SUBSTITUTE(SUBSTITUTE(SUBSTITUTE(SUBSTITUTE(SUBSTITUTE(SUBSTITUTE(TRIM(INDEX(Реестр!$D:$D, ROW())), "-", ""), " ", ""), CHAR(160), ""), CHAR(9), ""), CHAR(10), ""), CHAR(13), ""), CHAR(32), "")</f>
        <v/>
      </c>
      <c r="C21">
        <f>INDEX(Реестр!$H:$H, ROW())</f>
        <v/>
      </c>
      <c r="D21">
        <f>IF(OR(ISBLANK(INDEX(Реестр!$B:$B, ROW())), INDEX(Реестр!$B:$B, ROW())=""), " ", IF(IFERROR(ISNUMBER(--A21),FALSE), IF(LEN(A21)=10, IF(MOD(MOD(H21,11),10)=--RIGHT(A21,1), "OK", "ОШИБКА"), IF(LEN(A21)=12, IF(AND(MOD(MOD(H21,11),10)=--MID(A21,11,1), MOD(MOD(I21,11),10)=--RIGHT(A21,1)), "OK", "ОШИБКА"), "ДЛИНА (10 или 12)")), "НЕ ЦИФРЫ"))</f>
        <v/>
      </c>
      <c r="E21">
        <f>MID(B21,1,1)*9+MID(B21,2,1)*8+MID(B21,3,1)*7+MID(B21,4,1)*6+MID(B21,5,1)*5+MID(B21,6,1)*4+MID(B21,7,1)*3+MID(B21,8,1)*2+MID(B21,9,1)</f>
        <v/>
      </c>
      <c r="F21">
        <f>IF(B21="", " ", IF(LEN(B21)&lt;&gt;11, "ДЛИНА", IF(NOT(ISNUMBER(--B21)), "НЕ ЦИФРЫ", IF(LEFT(B21,9)*1&lt;=1001998, "OK", IF(RIGHT(B21,2)*1=IF(MOD(E21,101)&gt;=100,0,MOD(E21,101)),"OK","ОШИБКА")))))</f>
        <v/>
      </c>
      <c r="G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">
        <f>IF(LEN(TRIM(A21))=10, --MID(A21,1,1)*2+--MID(A21,2,1)*4+--MID(A21,3,1)*10+--MID(A21,4,1)*3+--MID(A21,5,1)*5+--MID(A21,6,1)*9+--MID(A21,7,1)*4+--MID(A21,8,1)*6+--MID(A21,9,1)*8, IF(LEN(TRIM(A21))=12, --MID(A21,1,1)*7+--MID(A21,2,1)*2+--MID(A21,3,1)*4+--MID(A21,4,1)*10+--MID(A21,5,1)*3+--MID(A21,6,1)*5+--MID(A21,7,1)*9+--MID(A21,8,1)*4+--MID(A21,9,1)*6+--MID(A21,10,1)*8, ""))</f>
        <v/>
      </c>
      <c r="I21">
        <f>IF(LEN(TRIM(A21))=12, --MID(A21,1,1)*3+--MID(A21,2,1)*7+--MID(A21,3,1)*2+--MID(A21,4,1)*4+--MID(A21,5,1)*10+--MID(A21,6,1)*3+--MID(A21,7,1)*5+--MID(A21,8,1)*9+--MID(A21,9,1)*4+--MID(A21,10,1)*6+--MID(A21,11,1)*8, "")</f>
        <v/>
      </c>
    </row>
    <row r="22">
      <c r="A22">
        <f>SUBSTITUTE(SUBSTITUTE(SUBSTITUTE(SUBSTITUTE(TRIM(INDEX(Реестр!$B:$B,ROW())),CHAR(160),""),CHAR(9),""),CHAR(10),""),CHAR(13),"")</f>
        <v/>
      </c>
      <c r="B22">
        <f>SUBSTITUTE(SUBSTITUTE(SUBSTITUTE(SUBSTITUTE(SUBSTITUTE(SUBSTITUTE(SUBSTITUTE(TRIM(INDEX(Реестр!$D:$D, ROW())), "-", ""), " ", ""), CHAR(160), ""), CHAR(9), ""), CHAR(10), ""), CHAR(13), ""), CHAR(32), "")</f>
        <v/>
      </c>
      <c r="C22">
        <f>INDEX(Реестр!$H:$H, ROW())</f>
        <v/>
      </c>
      <c r="D22">
        <f>IF(OR(ISBLANK(INDEX(Реестр!$B:$B, ROW())), INDEX(Реестр!$B:$B, ROW())=""), " ", IF(IFERROR(ISNUMBER(--A22),FALSE), IF(LEN(A22)=10, IF(MOD(MOD(H22,11),10)=--RIGHT(A22,1), "OK", "ОШИБКА"), IF(LEN(A22)=12, IF(AND(MOD(MOD(H22,11),10)=--MID(A22,11,1), MOD(MOD(I22,11),10)=--RIGHT(A22,1)), "OK", "ОШИБКА"), "ДЛИНА (10 или 12)")), "НЕ ЦИФРЫ"))</f>
        <v/>
      </c>
      <c r="E22">
        <f>MID(B22,1,1)*9+MID(B22,2,1)*8+MID(B22,3,1)*7+MID(B22,4,1)*6+MID(B22,5,1)*5+MID(B22,6,1)*4+MID(B22,7,1)*3+MID(B22,8,1)*2+MID(B22,9,1)</f>
        <v/>
      </c>
      <c r="F22">
        <f>IF(B22="", " ", IF(LEN(B22)&lt;&gt;11, "ДЛИНА", IF(NOT(ISNUMBER(--B22)), "НЕ ЦИФРЫ", IF(LEFT(B22,9)*1&lt;=1001998, "OK", IF(RIGHT(B22,2)*1=IF(MOD(E22,101)&gt;=100,0,MOD(E22,101)),"OK","ОШИБКА")))))</f>
        <v/>
      </c>
      <c r="G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">
        <f>IF(LEN(TRIM(A22))=10, --MID(A22,1,1)*2+--MID(A22,2,1)*4+--MID(A22,3,1)*10+--MID(A22,4,1)*3+--MID(A22,5,1)*5+--MID(A22,6,1)*9+--MID(A22,7,1)*4+--MID(A22,8,1)*6+--MID(A22,9,1)*8, IF(LEN(TRIM(A22))=12, --MID(A22,1,1)*7+--MID(A22,2,1)*2+--MID(A22,3,1)*4+--MID(A22,4,1)*10+--MID(A22,5,1)*3+--MID(A22,6,1)*5+--MID(A22,7,1)*9+--MID(A22,8,1)*4+--MID(A22,9,1)*6+--MID(A22,10,1)*8, ""))</f>
        <v/>
      </c>
      <c r="I22">
        <f>IF(LEN(TRIM(A22))=12, --MID(A22,1,1)*3+--MID(A22,2,1)*7+--MID(A22,3,1)*2+--MID(A22,4,1)*4+--MID(A22,5,1)*10+--MID(A22,6,1)*3+--MID(A22,7,1)*5+--MID(A22,8,1)*9+--MID(A22,9,1)*4+--MID(A22,10,1)*6+--MID(A22,11,1)*8, "")</f>
        <v/>
      </c>
    </row>
    <row r="23">
      <c r="A23">
        <f>SUBSTITUTE(SUBSTITUTE(SUBSTITUTE(SUBSTITUTE(TRIM(INDEX(Реестр!$B:$B,ROW())),CHAR(160),""),CHAR(9),""),CHAR(10),""),CHAR(13),"")</f>
        <v/>
      </c>
      <c r="B23">
        <f>SUBSTITUTE(SUBSTITUTE(SUBSTITUTE(SUBSTITUTE(SUBSTITUTE(SUBSTITUTE(SUBSTITUTE(TRIM(INDEX(Реестр!$D:$D, ROW())), "-", ""), " ", ""), CHAR(160), ""), CHAR(9), ""), CHAR(10), ""), CHAR(13), ""), CHAR(32), "")</f>
        <v/>
      </c>
      <c r="C23">
        <f>INDEX(Реестр!$H:$H, ROW())</f>
        <v/>
      </c>
      <c r="D23">
        <f>IF(OR(ISBLANK(INDEX(Реестр!$B:$B, ROW())), INDEX(Реестр!$B:$B, ROW())=""), " ", IF(IFERROR(ISNUMBER(--A23),FALSE), IF(LEN(A23)=10, IF(MOD(MOD(H23,11),10)=--RIGHT(A23,1), "OK", "ОШИБКА"), IF(LEN(A23)=12, IF(AND(MOD(MOD(H23,11),10)=--MID(A23,11,1), MOD(MOD(I23,11),10)=--RIGHT(A23,1)), "OK", "ОШИБКА"), "ДЛИНА (10 или 12)")), "НЕ ЦИФРЫ"))</f>
        <v/>
      </c>
      <c r="E23">
        <f>MID(B23,1,1)*9+MID(B23,2,1)*8+MID(B23,3,1)*7+MID(B23,4,1)*6+MID(B23,5,1)*5+MID(B23,6,1)*4+MID(B23,7,1)*3+MID(B23,8,1)*2+MID(B23,9,1)</f>
        <v/>
      </c>
      <c r="F23">
        <f>IF(B23="", " ", IF(LEN(B23)&lt;&gt;11, "ДЛИНА", IF(NOT(ISNUMBER(--B23)), "НЕ ЦИФРЫ", IF(LEFT(B23,9)*1&lt;=1001998, "OK", IF(RIGHT(B23,2)*1=IF(MOD(E23,101)&gt;=100,0,MOD(E23,101)),"OK","ОШИБКА")))))</f>
        <v/>
      </c>
      <c r="G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">
        <f>IF(LEN(TRIM(A23))=10, --MID(A23,1,1)*2+--MID(A23,2,1)*4+--MID(A23,3,1)*10+--MID(A23,4,1)*3+--MID(A23,5,1)*5+--MID(A23,6,1)*9+--MID(A23,7,1)*4+--MID(A23,8,1)*6+--MID(A23,9,1)*8, IF(LEN(TRIM(A23))=12, --MID(A23,1,1)*7+--MID(A23,2,1)*2+--MID(A23,3,1)*4+--MID(A23,4,1)*10+--MID(A23,5,1)*3+--MID(A23,6,1)*5+--MID(A23,7,1)*9+--MID(A23,8,1)*4+--MID(A23,9,1)*6+--MID(A23,10,1)*8, ""))</f>
        <v/>
      </c>
      <c r="I23">
        <f>IF(LEN(TRIM(A23))=12, --MID(A23,1,1)*3+--MID(A23,2,1)*7+--MID(A23,3,1)*2+--MID(A23,4,1)*4+--MID(A23,5,1)*10+--MID(A23,6,1)*3+--MID(A23,7,1)*5+--MID(A23,8,1)*9+--MID(A23,9,1)*4+--MID(A23,10,1)*6+--MID(A23,11,1)*8, "")</f>
        <v/>
      </c>
    </row>
    <row r="24">
      <c r="A24">
        <f>SUBSTITUTE(SUBSTITUTE(SUBSTITUTE(SUBSTITUTE(TRIM(INDEX(Реестр!$B:$B,ROW())),CHAR(160),""),CHAR(9),""),CHAR(10),""),CHAR(13),"")</f>
        <v/>
      </c>
      <c r="B24">
        <f>SUBSTITUTE(SUBSTITUTE(SUBSTITUTE(SUBSTITUTE(SUBSTITUTE(SUBSTITUTE(SUBSTITUTE(TRIM(INDEX(Реестр!$D:$D, ROW())), "-", ""), " ", ""), CHAR(160), ""), CHAR(9), ""), CHAR(10), ""), CHAR(13), ""), CHAR(32), "")</f>
        <v/>
      </c>
      <c r="C24">
        <f>INDEX(Реестр!$H:$H, ROW())</f>
        <v/>
      </c>
      <c r="D24">
        <f>IF(OR(ISBLANK(INDEX(Реестр!$B:$B, ROW())), INDEX(Реестр!$B:$B, ROW())=""), " ", IF(IFERROR(ISNUMBER(--A24),FALSE), IF(LEN(A24)=10, IF(MOD(MOD(H24,11),10)=--RIGHT(A24,1), "OK", "ОШИБКА"), IF(LEN(A24)=12, IF(AND(MOD(MOD(H24,11),10)=--MID(A24,11,1), MOD(MOD(I24,11),10)=--RIGHT(A24,1)), "OK", "ОШИБКА"), "ДЛИНА (10 или 12)")), "НЕ ЦИФРЫ"))</f>
        <v/>
      </c>
      <c r="E24">
        <f>MID(B24,1,1)*9+MID(B24,2,1)*8+MID(B24,3,1)*7+MID(B24,4,1)*6+MID(B24,5,1)*5+MID(B24,6,1)*4+MID(B24,7,1)*3+MID(B24,8,1)*2+MID(B24,9,1)</f>
        <v/>
      </c>
      <c r="F24">
        <f>IF(B24="", " ", IF(LEN(B24)&lt;&gt;11, "ДЛИНА", IF(NOT(ISNUMBER(--B24)), "НЕ ЦИФРЫ", IF(LEFT(B24,9)*1&lt;=1001998, "OK", IF(RIGHT(B24,2)*1=IF(MOD(E24,101)&gt;=100,0,MOD(E24,101)),"OK","ОШИБКА")))))</f>
        <v/>
      </c>
      <c r="G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">
        <f>IF(LEN(TRIM(A24))=10, --MID(A24,1,1)*2+--MID(A24,2,1)*4+--MID(A24,3,1)*10+--MID(A24,4,1)*3+--MID(A24,5,1)*5+--MID(A24,6,1)*9+--MID(A24,7,1)*4+--MID(A24,8,1)*6+--MID(A24,9,1)*8, IF(LEN(TRIM(A24))=12, --MID(A24,1,1)*7+--MID(A24,2,1)*2+--MID(A24,3,1)*4+--MID(A24,4,1)*10+--MID(A24,5,1)*3+--MID(A24,6,1)*5+--MID(A24,7,1)*9+--MID(A24,8,1)*4+--MID(A24,9,1)*6+--MID(A24,10,1)*8, ""))</f>
        <v/>
      </c>
      <c r="I24">
        <f>IF(LEN(TRIM(A24))=12, --MID(A24,1,1)*3+--MID(A24,2,1)*7+--MID(A24,3,1)*2+--MID(A24,4,1)*4+--MID(A24,5,1)*10+--MID(A24,6,1)*3+--MID(A24,7,1)*5+--MID(A24,8,1)*9+--MID(A24,9,1)*4+--MID(A24,10,1)*6+--MID(A24,11,1)*8, "")</f>
        <v/>
      </c>
    </row>
    <row r="25">
      <c r="A25">
        <f>SUBSTITUTE(SUBSTITUTE(SUBSTITUTE(SUBSTITUTE(TRIM(INDEX(Реестр!$B:$B,ROW())),CHAR(160),""),CHAR(9),""),CHAR(10),""),CHAR(13),"")</f>
        <v/>
      </c>
      <c r="B25">
        <f>SUBSTITUTE(SUBSTITUTE(SUBSTITUTE(SUBSTITUTE(SUBSTITUTE(SUBSTITUTE(SUBSTITUTE(TRIM(INDEX(Реестр!$D:$D, ROW())), "-", ""), " ", ""), CHAR(160), ""), CHAR(9), ""), CHAR(10), ""), CHAR(13), ""), CHAR(32), "")</f>
        <v/>
      </c>
      <c r="C25">
        <f>INDEX(Реестр!$H:$H, ROW())</f>
        <v/>
      </c>
      <c r="D25">
        <f>IF(OR(ISBLANK(INDEX(Реестр!$B:$B, ROW())), INDEX(Реестр!$B:$B, ROW())=""), " ", IF(IFERROR(ISNUMBER(--A25),FALSE), IF(LEN(A25)=10, IF(MOD(MOD(H25,11),10)=--RIGHT(A25,1), "OK", "ОШИБКА"), IF(LEN(A25)=12, IF(AND(MOD(MOD(H25,11),10)=--MID(A25,11,1), MOD(MOD(I25,11),10)=--RIGHT(A25,1)), "OK", "ОШИБКА"), "ДЛИНА (10 или 12)")), "НЕ ЦИФРЫ"))</f>
        <v/>
      </c>
      <c r="E25">
        <f>MID(B25,1,1)*9+MID(B25,2,1)*8+MID(B25,3,1)*7+MID(B25,4,1)*6+MID(B25,5,1)*5+MID(B25,6,1)*4+MID(B25,7,1)*3+MID(B25,8,1)*2+MID(B25,9,1)</f>
        <v/>
      </c>
      <c r="F25">
        <f>IF(B25="", " ", IF(LEN(B25)&lt;&gt;11, "ДЛИНА", IF(NOT(ISNUMBER(--B25)), "НЕ ЦИФРЫ", IF(LEFT(B25,9)*1&lt;=1001998, "OK", IF(RIGHT(B25,2)*1=IF(MOD(E25,101)&gt;=100,0,MOD(E25,101)),"OK","ОШИБКА")))))</f>
        <v/>
      </c>
      <c r="G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">
        <f>IF(LEN(TRIM(A25))=10, --MID(A25,1,1)*2+--MID(A25,2,1)*4+--MID(A25,3,1)*10+--MID(A25,4,1)*3+--MID(A25,5,1)*5+--MID(A25,6,1)*9+--MID(A25,7,1)*4+--MID(A25,8,1)*6+--MID(A25,9,1)*8, IF(LEN(TRIM(A25))=12, --MID(A25,1,1)*7+--MID(A25,2,1)*2+--MID(A25,3,1)*4+--MID(A25,4,1)*10+--MID(A25,5,1)*3+--MID(A25,6,1)*5+--MID(A25,7,1)*9+--MID(A25,8,1)*4+--MID(A25,9,1)*6+--MID(A25,10,1)*8, ""))</f>
        <v/>
      </c>
      <c r="I25">
        <f>IF(LEN(TRIM(A25))=12, --MID(A25,1,1)*3+--MID(A25,2,1)*7+--MID(A25,3,1)*2+--MID(A25,4,1)*4+--MID(A25,5,1)*10+--MID(A25,6,1)*3+--MID(A25,7,1)*5+--MID(A25,8,1)*9+--MID(A25,9,1)*4+--MID(A25,10,1)*6+--MID(A25,11,1)*8, "")</f>
        <v/>
      </c>
    </row>
    <row r="26">
      <c r="A26">
        <f>SUBSTITUTE(SUBSTITUTE(SUBSTITUTE(SUBSTITUTE(TRIM(INDEX(Реестр!$B:$B,ROW())),CHAR(160),""),CHAR(9),""),CHAR(10),""),CHAR(13),"")</f>
        <v/>
      </c>
      <c r="B26">
        <f>SUBSTITUTE(SUBSTITUTE(SUBSTITUTE(SUBSTITUTE(SUBSTITUTE(SUBSTITUTE(SUBSTITUTE(TRIM(INDEX(Реестр!$D:$D, ROW())), "-", ""), " ", ""), CHAR(160), ""), CHAR(9), ""), CHAR(10), ""), CHAR(13), ""), CHAR(32), "")</f>
        <v/>
      </c>
      <c r="C26">
        <f>INDEX(Реестр!$H:$H, ROW())</f>
        <v/>
      </c>
      <c r="D26">
        <f>IF(OR(ISBLANK(INDEX(Реестр!$B:$B, ROW())), INDEX(Реестр!$B:$B, ROW())=""), " ", IF(IFERROR(ISNUMBER(--A26),FALSE), IF(LEN(A26)=10, IF(MOD(MOD(H26,11),10)=--RIGHT(A26,1), "OK", "ОШИБКА"), IF(LEN(A26)=12, IF(AND(MOD(MOD(H26,11),10)=--MID(A26,11,1), MOD(MOD(I26,11),10)=--RIGHT(A26,1)), "OK", "ОШИБКА"), "ДЛИНА (10 или 12)")), "НЕ ЦИФРЫ"))</f>
        <v/>
      </c>
      <c r="E26">
        <f>MID(B26,1,1)*9+MID(B26,2,1)*8+MID(B26,3,1)*7+MID(B26,4,1)*6+MID(B26,5,1)*5+MID(B26,6,1)*4+MID(B26,7,1)*3+MID(B26,8,1)*2+MID(B26,9,1)</f>
        <v/>
      </c>
      <c r="F26">
        <f>IF(B26="", " ", IF(LEN(B26)&lt;&gt;11, "ДЛИНА", IF(NOT(ISNUMBER(--B26)), "НЕ ЦИФРЫ", IF(LEFT(B26,9)*1&lt;=1001998, "OK", IF(RIGHT(B26,2)*1=IF(MOD(E26,101)&gt;=100,0,MOD(E26,101)),"OK","ОШИБКА")))))</f>
        <v/>
      </c>
      <c r="G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">
        <f>IF(LEN(TRIM(A26))=10, --MID(A26,1,1)*2+--MID(A26,2,1)*4+--MID(A26,3,1)*10+--MID(A26,4,1)*3+--MID(A26,5,1)*5+--MID(A26,6,1)*9+--MID(A26,7,1)*4+--MID(A26,8,1)*6+--MID(A26,9,1)*8, IF(LEN(TRIM(A26))=12, --MID(A26,1,1)*7+--MID(A26,2,1)*2+--MID(A26,3,1)*4+--MID(A26,4,1)*10+--MID(A26,5,1)*3+--MID(A26,6,1)*5+--MID(A26,7,1)*9+--MID(A26,8,1)*4+--MID(A26,9,1)*6+--MID(A26,10,1)*8, ""))</f>
        <v/>
      </c>
      <c r="I26">
        <f>IF(LEN(TRIM(A26))=12, --MID(A26,1,1)*3+--MID(A26,2,1)*7+--MID(A26,3,1)*2+--MID(A26,4,1)*4+--MID(A26,5,1)*10+--MID(A26,6,1)*3+--MID(A26,7,1)*5+--MID(A26,8,1)*9+--MID(A26,9,1)*4+--MID(A26,10,1)*6+--MID(A26,11,1)*8, "")</f>
        <v/>
      </c>
    </row>
    <row r="27">
      <c r="A27">
        <f>SUBSTITUTE(SUBSTITUTE(SUBSTITUTE(SUBSTITUTE(TRIM(INDEX(Реестр!$B:$B,ROW())),CHAR(160),""),CHAR(9),""),CHAR(10),""),CHAR(13),"")</f>
        <v/>
      </c>
      <c r="B27">
        <f>SUBSTITUTE(SUBSTITUTE(SUBSTITUTE(SUBSTITUTE(SUBSTITUTE(SUBSTITUTE(SUBSTITUTE(TRIM(INDEX(Реестр!$D:$D, ROW())), "-", ""), " ", ""), CHAR(160), ""), CHAR(9), ""), CHAR(10), ""), CHAR(13), ""), CHAR(32), "")</f>
        <v/>
      </c>
      <c r="C27">
        <f>INDEX(Реестр!$H:$H, ROW())</f>
        <v/>
      </c>
      <c r="D27">
        <f>IF(OR(ISBLANK(INDEX(Реестр!$B:$B, ROW())), INDEX(Реестр!$B:$B, ROW())=""), " ", IF(IFERROR(ISNUMBER(--A27),FALSE), IF(LEN(A27)=10, IF(MOD(MOD(H27,11),10)=--RIGHT(A27,1), "OK", "ОШИБКА"), IF(LEN(A27)=12, IF(AND(MOD(MOD(H27,11),10)=--MID(A27,11,1), MOD(MOD(I27,11),10)=--RIGHT(A27,1)), "OK", "ОШИБКА"), "ДЛИНА (10 или 12)")), "НЕ ЦИФРЫ"))</f>
        <v/>
      </c>
      <c r="E27">
        <f>MID(B27,1,1)*9+MID(B27,2,1)*8+MID(B27,3,1)*7+MID(B27,4,1)*6+MID(B27,5,1)*5+MID(B27,6,1)*4+MID(B27,7,1)*3+MID(B27,8,1)*2+MID(B27,9,1)</f>
        <v/>
      </c>
      <c r="F27">
        <f>IF(B27="", " ", IF(LEN(B27)&lt;&gt;11, "ДЛИНА", IF(NOT(ISNUMBER(--B27)), "НЕ ЦИФРЫ", IF(LEFT(B27,9)*1&lt;=1001998, "OK", IF(RIGHT(B27,2)*1=IF(MOD(E27,101)&gt;=100,0,MOD(E27,101)),"OK","ОШИБКА")))))</f>
        <v/>
      </c>
      <c r="G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">
        <f>IF(LEN(TRIM(A27))=10, --MID(A27,1,1)*2+--MID(A27,2,1)*4+--MID(A27,3,1)*10+--MID(A27,4,1)*3+--MID(A27,5,1)*5+--MID(A27,6,1)*9+--MID(A27,7,1)*4+--MID(A27,8,1)*6+--MID(A27,9,1)*8, IF(LEN(TRIM(A27))=12, --MID(A27,1,1)*7+--MID(A27,2,1)*2+--MID(A27,3,1)*4+--MID(A27,4,1)*10+--MID(A27,5,1)*3+--MID(A27,6,1)*5+--MID(A27,7,1)*9+--MID(A27,8,1)*4+--MID(A27,9,1)*6+--MID(A27,10,1)*8, ""))</f>
        <v/>
      </c>
      <c r="I27">
        <f>IF(LEN(TRIM(A27))=12, --MID(A27,1,1)*3+--MID(A27,2,1)*7+--MID(A27,3,1)*2+--MID(A27,4,1)*4+--MID(A27,5,1)*10+--MID(A27,6,1)*3+--MID(A27,7,1)*5+--MID(A27,8,1)*9+--MID(A27,9,1)*4+--MID(A27,10,1)*6+--MID(A27,11,1)*8, "")</f>
        <v/>
      </c>
    </row>
    <row r="28">
      <c r="A28">
        <f>SUBSTITUTE(SUBSTITUTE(SUBSTITUTE(SUBSTITUTE(TRIM(INDEX(Реестр!$B:$B,ROW())),CHAR(160),""),CHAR(9),""),CHAR(10),""),CHAR(13),"")</f>
        <v/>
      </c>
      <c r="B28">
        <f>SUBSTITUTE(SUBSTITUTE(SUBSTITUTE(SUBSTITUTE(SUBSTITUTE(SUBSTITUTE(SUBSTITUTE(TRIM(INDEX(Реестр!$D:$D, ROW())), "-", ""), " ", ""), CHAR(160), ""), CHAR(9), ""), CHAR(10), ""), CHAR(13), ""), CHAR(32), "")</f>
        <v/>
      </c>
      <c r="C28">
        <f>INDEX(Реестр!$H:$H, ROW())</f>
        <v/>
      </c>
      <c r="D28">
        <f>IF(OR(ISBLANK(INDEX(Реестр!$B:$B, ROW())), INDEX(Реестр!$B:$B, ROW())=""), " ", IF(IFERROR(ISNUMBER(--A28),FALSE), IF(LEN(A28)=10, IF(MOD(MOD(H28,11),10)=--RIGHT(A28,1), "OK", "ОШИБКА"), IF(LEN(A28)=12, IF(AND(MOD(MOD(H28,11),10)=--MID(A28,11,1), MOD(MOD(I28,11),10)=--RIGHT(A28,1)), "OK", "ОШИБКА"), "ДЛИНА (10 или 12)")), "НЕ ЦИФРЫ"))</f>
        <v/>
      </c>
      <c r="E28">
        <f>MID(B28,1,1)*9+MID(B28,2,1)*8+MID(B28,3,1)*7+MID(B28,4,1)*6+MID(B28,5,1)*5+MID(B28,6,1)*4+MID(B28,7,1)*3+MID(B28,8,1)*2+MID(B28,9,1)</f>
        <v/>
      </c>
      <c r="F28">
        <f>IF(B28="", " ", IF(LEN(B28)&lt;&gt;11, "ДЛИНА", IF(NOT(ISNUMBER(--B28)), "НЕ ЦИФРЫ", IF(LEFT(B28,9)*1&lt;=1001998, "OK", IF(RIGHT(B28,2)*1=IF(MOD(E28,101)&gt;=100,0,MOD(E28,101)),"OK","ОШИБКА")))))</f>
        <v/>
      </c>
      <c r="G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">
        <f>IF(LEN(TRIM(A28))=10, --MID(A28,1,1)*2+--MID(A28,2,1)*4+--MID(A28,3,1)*10+--MID(A28,4,1)*3+--MID(A28,5,1)*5+--MID(A28,6,1)*9+--MID(A28,7,1)*4+--MID(A28,8,1)*6+--MID(A28,9,1)*8, IF(LEN(TRIM(A28))=12, --MID(A28,1,1)*7+--MID(A28,2,1)*2+--MID(A28,3,1)*4+--MID(A28,4,1)*10+--MID(A28,5,1)*3+--MID(A28,6,1)*5+--MID(A28,7,1)*9+--MID(A28,8,1)*4+--MID(A28,9,1)*6+--MID(A28,10,1)*8, ""))</f>
        <v/>
      </c>
      <c r="I28">
        <f>IF(LEN(TRIM(A28))=12, --MID(A28,1,1)*3+--MID(A28,2,1)*7+--MID(A28,3,1)*2+--MID(A28,4,1)*4+--MID(A28,5,1)*10+--MID(A28,6,1)*3+--MID(A28,7,1)*5+--MID(A28,8,1)*9+--MID(A28,9,1)*4+--MID(A28,10,1)*6+--MID(A28,11,1)*8, "")</f>
        <v/>
      </c>
    </row>
    <row r="29">
      <c r="A29">
        <f>SUBSTITUTE(SUBSTITUTE(SUBSTITUTE(SUBSTITUTE(TRIM(INDEX(Реестр!$B:$B,ROW())),CHAR(160),""),CHAR(9),""),CHAR(10),""),CHAR(13),"")</f>
        <v/>
      </c>
      <c r="B29">
        <f>SUBSTITUTE(SUBSTITUTE(SUBSTITUTE(SUBSTITUTE(SUBSTITUTE(SUBSTITUTE(SUBSTITUTE(TRIM(INDEX(Реестр!$D:$D, ROW())), "-", ""), " ", ""), CHAR(160), ""), CHAR(9), ""), CHAR(10), ""), CHAR(13), ""), CHAR(32), "")</f>
        <v/>
      </c>
      <c r="C29">
        <f>INDEX(Реестр!$H:$H, ROW())</f>
        <v/>
      </c>
      <c r="D29">
        <f>IF(OR(ISBLANK(INDEX(Реестр!$B:$B, ROW())), INDEX(Реестр!$B:$B, ROW())=""), " ", IF(IFERROR(ISNUMBER(--A29),FALSE), IF(LEN(A29)=10, IF(MOD(MOD(H29,11),10)=--RIGHT(A29,1), "OK", "ОШИБКА"), IF(LEN(A29)=12, IF(AND(MOD(MOD(H29,11),10)=--MID(A29,11,1), MOD(MOD(I29,11),10)=--RIGHT(A29,1)), "OK", "ОШИБКА"), "ДЛИНА (10 или 12)")), "НЕ ЦИФРЫ"))</f>
        <v/>
      </c>
      <c r="E29">
        <f>MID(B29,1,1)*9+MID(B29,2,1)*8+MID(B29,3,1)*7+MID(B29,4,1)*6+MID(B29,5,1)*5+MID(B29,6,1)*4+MID(B29,7,1)*3+MID(B29,8,1)*2+MID(B29,9,1)</f>
        <v/>
      </c>
      <c r="F29">
        <f>IF(B29="", " ", IF(LEN(B29)&lt;&gt;11, "ДЛИНА", IF(NOT(ISNUMBER(--B29)), "НЕ ЦИФРЫ", IF(LEFT(B29,9)*1&lt;=1001998, "OK", IF(RIGHT(B29,2)*1=IF(MOD(E29,101)&gt;=100,0,MOD(E29,101)),"OK","ОШИБКА")))))</f>
        <v/>
      </c>
      <c r="G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">
        <f>IF(LEN(TRIM(A29))=10, --MID(A29,1,1)*2+--MID(A29,2,1)*4+--MID(A29,3,1)*10+--MID(A29,4,1)*3+--MID(A29,5,1)*5+--MID(A29,6,1)*9+--MID(A29,7,1)*4+--MID(A29,8,1)*6+--MID(A29,9,1)*8, IF(LEN(TRIM(A29))=12, --MID(A29,1,1)*7+--MID(A29,2,1)*2+--MID(A29,3,1)*4+--MID(A29,4,1)*10+--MID(A29,5,1)*3+--MID(A29,6,1)*5+--MID(A29,7,1)*9+--MID(A29,8,1)*4+--MID(A29,9,1)*6+--MID(A29,10,1)*8, ""))</f>
        <v/>
      </c>
      <c r="I29">
        <f>IF(LEN(TRIM(A29))=12, --MID(A29,1,1)*3+--MID(A29,2,1)*7+--MID(A29,3,1)*2+--MID(A29,4,1)*4+--MID(A29,5,1)*10+--MID(A29,6,1)*3+--MID(A29,7,1)*5+--MID(A29,8,1)*9+--MID(A29,9,1)*4+--MID(A29,10,1)*6+--MID(A29,11,1)*8, "")</f>
        <v/>
      </c>
    </row>
    <row r="30">
      <c r="A30">
        <f>SUBSTITUTE(SUBSTITUTE(SUBSTITUTE(SUBSTITUTE(TRIM(INDEX(Реестр!$B:$B,ROW())),CHAR(160),""),CHAR(9),""),CHAR(10),""),CHAR(13),"")</f>
        <v/>
      </c>
      <c r="B30">
        <f>SUBSTITUTE(SUBSTITUTE(SUBSTITUTE(SUBSTITUTE(SUBSTITUTE(SUBSTITUTE(SUBSTITUTE(TRIM(INDEX(Реестр!$D:$D, ROW())), "-", ""), " ", ""), CHAR(160), ""), CHAR(9), ""), CHAR(10), ""), CHAR(13), ""), CHAR(32), "")</f>
        <v/>
      </c>
      <c r="C30">
        <f>INDEX(Реестр!$H:$H, ROW())</f>
        <v/>
      </c>
      <c r="D30">
        <f>IF(OR(ISBLANK(INDEX(Реестр!$B:$B, ROW())), INDEX(Реестр!$B:$B, ROW())=""), " ", IF(IFERROR(ISNUMBER(--A30),FALSE), IF(LEN(A30)=10, IF(MOD(MOD(H30,11),10)=--RIGHT(A30,1), "OK", "ОШИБКА"), IF(LEN(A30)=12, IF(AND(MOD(MOD(H30,11),10)=--MID(A30,11,1), MOD(MOD(I30,11),10)=--RIGHT(A30,1)), "OK", "ОШИБКА"), "ДЛИНА (10 или 12)")), "НЕ ЦИФРЫ"))</f>
        <v/>
      </c>
      <c r="E30">
        <f>MID(B30,1,1)*9+MID(B30,2,1)*8+MID(B30,3,1)*7+MID(B30,4,1)*6+MID(B30,5,1)*5+MID(B30,6,1)*4+MID(B30,7,1)*3+MID(B30,8,1)*2+MID(B30,9,1)</f>
        <v/>
      </c>
      <c r="F30">
        <f>IF(B30="", " ", IF(LEN(B30)&lt;&gt;11, "ДЛИНА", IF(NOT(ISNUMBER(--B30)), "НЕ ЦИФРЫ", IF(LEFT(B30,9)*1&lt;=1001998, "OK", IF(RIGHT(B30,2)*1=IF(MOD(E30,101)&gt;=100,0,MOD(E30,101)),"OK","ОШИБКА")))))</f>
        <v/>
      </c>
      <c r="G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">
        <f>IF(LEN(TRIM(A30))=10, --MID(A30,1,1)*2+--MID(A30,2,1)*4+--MID(A30,3,1)*10+--MID(A30,4,1)*3+--MID(A30,5,1)*5+--MID(A30,6,1)*9+--MID(A30,7,1)*4+--MID(A30,8,1)*6+--MID(A30,9,1)*8, IF(LEN(TRIM(A30))=12, --MID(A30,1,1)*7+--MID(A30,2,1)*2+--MID(A30,3,1)*4+--MID(A30,4,1)*10+--MID(A30,5,1)*3+--MID(A30,6,1)*5+--MID(A30,7,1)*9+--MID(A30,8,1)*4+--MID(A30,9,1)*6+--MID(A30,10,1)*8, ""))</f>
        <v/>
      </c>
      <c r="I30">
        <f>IF(LEN(TRIM(A30))=12, --MID(A30,1,1)*3+--MID(A30,2,1)*7+--MID(A30,3,1)*2+--MID(A30,4,1)*4+--MID(A30,5,1)*10+--MID(A30,6,1)*3+--MID(A30,7,1)*5+--MID(A30,8,1)*9+--MID(A30,9,1)*4+--MID(A30,10,1)*6+--MID(A30,11,1)*8, "")</f>
        <v/>
      </c>
    </row>
    <row r="31">
      <c r="A31">
        <f>SUBSTITUTE(SUBSTITUTE(SUBSTITUTE(SUBSTITUTE(TRIM(INDEX(Реестр!$B:$B,ROW())),CHAR(160),""),CHAR(9),""),CHAR(10),""),CHAR(13),"")</f>
        <v/>
      </c>
      <c r="B31">
        <f>SUBSTITUTE(SUBSTITUTE(SUBSTITUTE(SUBSTITUTE(SUBSTITUTE(SUBSTITUTE(SUBSTITUTE(TRIM(INDEX(Реестр!$D:$D, ROW())), "-", ""), " ", ""), CHAR(160), ""), CHAR(9), ""), CHAR(10), ""), CHAR(13), ""), CHAR(32), "")</f>
        <v/>
      </c>
      <c r="C31">
        <f>INDEX(Реестр!$H:$H, ROW())</f>
        <v/>
      </c>
      <c r="D31">
        <f>IF(OR(ISBLANK(INDEX(Реестр!$B:$B, ROW())), INDEX(Реестр!$B:$B, ROW())=""), " ", IF(IFERROR(ISNUMBER(--A31),FALSE), IF(LEN(A31)=10, IF(MOD(MOD(H31,11),10)=--RIGHT(A31,1), "OK", "ОШИБКА"), IF(LEN(A31)=12, IF(AND(MOD(MOD(H31,11),10)=--MID(A31,11,1), MOD(MOD(I31,11),10)=--RIGHT(A31,1)), "OK", "ОШИБКА"), "ДЛИНА (10 или 12)")), "НЕ ЦИФРЫ"))</f>
        <v/>
      </c>
      <c r="E31">
        <f>MID(B31,1,1)*9+MID(B31,2,1)*8+MID(B31,3,1)*7+MID(B31,4,1)*6+MID(B31,5,1)*5+MID(B31,6,1)*4+MID(B31,7,1)*3+MID(B31,8,1)*2+MID(B31,9,1)</f>
        <v/>
      </c>
      <c r="F31">
        <f>IF(B31="", " ", IF(LEN(B31)&lt;&gt;11, "ДЛИНА", IF(NOT(ISNUMBER(--B31)), "НЕ ЦИФРЫ", IF(LEFT(B31,9)*1&lt;=1001998, "OK", IF(RIGHT(B31,2)*1=IF(MOD(E31,101)&gt;=100,0,MOD(E31,101)),"OK","ОШИБКА")))))</f>
        <v/>
      </c>
      <c r="G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">
        <f>IF(LEN(TRIM(A31))=10, --MID(A31,1,1)*2+--MID(A31,2,1)*4+--MID(A31,3,1)*10+--MID(A31,4,1)*3+--MID(A31,5,1)*5+--MID(A31,6,1)*9+--MID(A31,7,1)*4+--MID(A31,8,1)*6+--MID(A31,9,1)*8, IF(LEN(TRIM(A31))=12, --MID(A31,1,1)*7+--MID(A31,2,1)*2+--MID(A31,3,1)*4+--MID(A31,4,1)*10+--MID(A31,5,1)*3+--MID(A31,6,1)*5+--MID(A31,7,1)*9+--MID(A31,8,1)*4+--MID(A31,9,1)*6+--MID(A31,10,1)*8, ""))</f>
        <v/>
      </c>
      <c r="I31">
        <f>IF(LEN(TRIM(A31))=12, --MID(A31,1,1)*3+--MID(A31,2,1)*7+--MID(A31,3,1)*2+--MID(A31,4,1)*4+--MID(A31,5,1)*10+--MID(A31,6,1)*3+--MID(A31,7,1)*5+--MID(A31,8,1)*9+--MID(A31,9,1)*4+--MID(A31,10,1)*6+--MID(A31,11,1)*8, "")</f>
        <v/>
      </c>
    </row>
    <row r="32">
      <c r="A32">
        <f>SUBSTITUTE(SUBSTITUTE(SUBSTITUTE(SUBSTITUTE(TRIM(INDEX(Реестр!$B:$B,ROW())),CHAR(160),""),CHAR(9),""),CHAR(10),""),CHAR(13),"")</f>
        <v/>
      </c>
      <c r="B32">
        <f>SUBSTITUTE(SUBSTITUTE(SUBSTITUTE(SUBSTITUTE(SUBSTITUTE(SUBSTITUTE(SUBSTITUTE(TRIM(INDEX(Реестр!$D:$D, ROW())), "-", ""), " ", ""), CHAR(160), ""), CHAR(9), ""), CHAR(10), ""), CHAR(13), ""), CHAR(32), "")</f>
        <v/>
      </c>
      <c r="C32">
        <f>INDEX(Реестр!$H:$H, ROW())</f>
        <v/>
      </c>
      <c r="D32">
        <f>IF(OR(ISBLANK(INDEX(Реестр!$B:$B, ROW())), INDEX(Реестр!$B:$B, ROW())=""), " ", IF(IFERROR(ISNUMBER(--A32),FALSE), IF(LEN(A32)=10, IF(MOD(MOD(H32,11),10)=--RIGHT(A32,1), "OK", "ОШИБКА"), IF(LEN(A32)=12, IF(AND(MOD(MOD(H32,11),10)=--MID(A32,11,1), MOD(MOD(I32,11),10)=--RIGHT(A32,1)), "OK", "ОШИБКА"), "ДЛИНА (10 или 12)")), "НЕ ЦИФРЫ"))</f>
        <v/>
      </c>
      <c r="E32">
        <f>MID(B32,1,1)*9+MID(B32,2,1)*8+MID(B32,3,1)*7+MID(B32,4,1)*6+MID(B32,5,1)*5+MID(B32,6,1)*4+MID(B32,7,1)*3+MID(B32,8,1)*2+MID(B32,9,1)</f>
        <v/>
      </c>
      <c r="F32">
        <f>IF(B32="", " ", IF(LEN(B32)&lt;&gt;11, "ДЛИНА", IF(NOT(ISNUMBER(--B32)), "НЕ ЦИФРЫ", IF(LEFT(B32,9)*1&lt;=1001998, "OK", IF(RIGHT(B32,2)*1=IF(MOD(E32,101)&gt;=100,0,MOD(E32,101)),"OK","ОШИБКА")))))</f>
        <v/>
      </c>
      <c r="G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">
        <f>IF(LEN(TRIM(A32))=10, --MID(A32,1,1)*2+--MID(A32,2,1)*4+--MID(A32,3,1)*10+--MID(A32,4,1)*3+--MID(A32,5,1)*5+--MID(A32,6,1)*9+--MID(A32,7,1)*4+--MID(A32,8,1)*6+--MID(A32,9,1)*8, IF(LEN(TRIM(A32))=12, --MID(A32,1,1)*7+--MID(A32,2,1)*2+--MID(A32,3,1)*4+--MID(A32,4,1)*10+--MID(A32,5,1)*3+--MID(A32,6,1)*5+--MID(A32,7,1)*9+--MID(A32,8,1)*4+--MID(A32,9,1)*6+--MID(A32,10,1)*8, ""))</f>
        <v/>
      </c>
      <c r="I32">
        <f>IF(LEN(TRIM(A32))=12, --MID(A32,1,1)*3+--MID(A32,2,1)*7+--MID(A32,3,1)*2+--MID(A32,4,1)*4+--MID(A32,5,1)*10+--MID(A32,6,1)*3+--MID(A32,7,1)*5+--MID(A32,8,1)*9+--MID(A32,9,1)*4+--MID(A32,10,1)*6+--MID(A32,11,1)*8, "")</f>
        <v/>
      </c>
    </row>
    <row r="33">
      <c r="A33">
        <f>SUBSTITUTE(SUBSTITUTE(SUBSTITUTE(SUBSTITUTE(TRIM(INDEX(Реестр!$B:$B,ROW())),CHAR(160),""),CHAR(9),""),CHAR(10),""),CHAR(13),"")</f>
        <v/>
      </c>
      <c r="B33">
        <f>SUBSTITUTE(SUBSTITUTE(SUBSTITUTE(SUBSTITUTE(SUBSTITUTE(SUBSTITUTE(SUBSTITUTE(TRIM(INDEX(Реестр!$D:$D, ROW())), "-", ""), " ", ""), CHAR(160), ""), CHAR(9), ""), CHAR(10), ""), CHAR(13), ""), CHAR(32), "")</f>
        <v/>
      </c>
      <c r="C33">
        <f>INDEX(Реестр!$H:$H, ROW())</f>
        <v/>
      </c>
      <c r="D33">
        <f>IF(OR(ISBLANK(INDEX(Реестр!$B:$B, ROW())), INDEX(Реестр!$B:$B, ROW())=""), " ", IF(IFERROR(ISNUMBER(--A33),FALSE), IF(LEN(A33)=10, IF(MOD(MOD(H33,11),10)=--RIGHT(A33,1), "OK", "ОШИБКА"), IF(LEN(A33)=12, IF(AND(MOD(MOD(H33,11),10)=--MID(A33,11,1), MOD(MOD(I33,11),10)=--RIGHT(A33,1)), "OK", "ОШИБКА"), "ДЛИНА (10 или 12)")), "НЕ ЦИФРЫ"))</f>
        <v/>
      </c>
      <c r="E33">
        <f>MID(B33,1,1)*9+MID(B33,2,1)*8+MID(B33,3,1)*7+MID(B33,4,1)*6+MID(B33,5,1)*5+MID(B33,6,1)*4+MID(B33,7,1)*3+MID(B33,8,1)*2+MID(B33,9,1)</f>
        <v/>
      </c>
      <c r="F33">
        <f>IF(B33="", " ", IF(LEN(B33)&lt;&gt;11, "ДЛИНА", IF(NOT(ISNUMBER(--B33)), "НЕ ЦИФРЫ", IF(LEFT(B33,9)*1&lt;=1001998, "OK", IF(RIGHT(B33,2)*1=IF(MOD(E33,101)&gt;=100,0,MOD(E33,101)),"OK","ОШИБКА")))))</f>
        <v/>
      </c>
      <c r="G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">
        <f>IF(LEN(TRIM(A33))=10, --MID(A33,1,1)*2+--MID(A33,2,1)*4+--MID(A33,3,1)*10+--MID(A33,4,1)*3+--MID(A33,5,1)*5+--MID(A33,6,1)*9+--MID(A33,7,1)*4+--MID(A33,8,1)*6+--MID(A33,9,1)*8, IF(LEN(TRIM(A33))=12, --MID(A33,1,1)*7+--MID(A33,2,1)*2+--MID(A33,3,1)*4+--MID(A33,4,1)*10+--MID(A33,5,1)*3+--MID(A33,6,1)*5+--MID(A33,7,1)*9+--MID(A33,8,1)*4+--MID(A33,9,1)*6+--MID(A33,10,1)*8, ""))</f>
        <v/>
      </c>
      <c r="I33">
        <f>IF(LEN(TRIM(A33))=12, --MID(A33,1,1)*3+--MID(A33,2,1)*7+--MID(A33,3,1)*2+--MID(A33,4,1)*4+--MID(A33,5,1)*10+--MID(A33,6,1)*3+--MID(A33,7,1)*5+--MID(A33,8,1)*9+--MID(A33,9,1)*4+--MID(A33,10,1)*6+--MID(A33,11,1)*8, "")</f>
        <v/>
      </c>
    </row>
    <row r="34">
      <c r="A34">
        <f>SUBSTITUTE(SUBSTITUTE(SUBSTITUTE(SUBSTITUTE(TRIM(INDEX(Реестр!$B:$B,ROW())),CHAR(160),""),CHAR(9),""),CHAR(10),""),CHAR(13),"")</f>
        <v/>
      </c>
      <c r="B34">
        <f>SUBSTITUTE(SUBSTITUTE(SUBSTITUTE(SUBSTITUTE(SUBSTITUTE(SUBSTITUTE(SUBSTITUTE(TRIM(INDEX(Реестр!$D:$D, ROW())), "-", ""), " ", ""), CHAR(160), ""), CHAR(9), ""), CHAR(10), ""), CHAR(13), ""), CHAR(32), "")</f>
        <v/>
      </c>
      <c r="C34">
        <f>INDEX(Реестр!$H:$H, ROW())</f>
        <v/>
      </c>
      <c r="D34">
        <f>IF(OR(ISBLANK(INDEX(Реестр!$B:$B, ROW())), INDEX(Реестр!$B:$B, ROW())=""), " ", IF(IFERROR(ISNUMBER(--A34),FALSE), IF(LEN(A34)=10, IF(MOD(MOD(H34,11),10)=--RIGHT(A34,1), "OK", "ОШИБКА"), IF(LEN(A34)=12, IF(AND(MOD(MOD(H34,11),10)=--MID(A34,11,1), MOD(MOD(I34,11),10)=--RIGHT(A34,1)), "OK", "ОШИБКА"), "ДЛИНА (10 или 12)")), "НЕ ЦИФРЫ"))</f>
        <v/>
      </c>
      <c r="E34">
        <f>MID(B34,1,1)*9+MID(B34,2,1)*8+MID(B34,3,1)*7+MID(B34,4,1)*6+MID(B34,5,1)*5+MID(B34,6,1)*4+MID(B34,7,1)*3+MID(B34,8,1)*2+MID(B34,9,1)</f>
        <v/>
      </c>
      <c r="F34">
        <f>IF(B34="", " ", IF(LEN(B34)&lt;&gt;11, "ДЛИНА", IF(NOT(ISNUMBER(--B34)), "НЕ ЦИФРЫ", IF(LEFT(B34,9)*1&lt;=1001998, "OK", IF(RIGHT(B34,2)*1=IF(MOD(E34,101)&gt;=100,0,MOD(E34,101)),"OK","ОШИБКА")))))</f>
        <v/>
      </c>
      <c r="G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">
        <f>IF(LEN(TRIM(A34))=10, --MID(A34,1,1)*2+--MID(A34,2,1)*4+--MID(A34,3,1)*10+--MID(A34,4,1)*3+--MID(A34,5,1)*5+--MID(A34,6,1)*9+--MID(A34,7,1)*4+--MID(A34,8,1)*6+--MID(A34,9,1)*8, IF(LEN(TRIM(A34))=12, --MID(A34,1,1)*7+--MID(A34,2,1)*2+--MID(A34,3,1)*4+--MID(A34,4,1)*10+--MID(A34,5,1)*3+--MID(A34,6,1)*5+--MID(A34,7,1)*9+--MID(A34,8,1)*4+--MID(A34,9,1)*6+--MID(A34,10,1)*8, ""))</f>
        <v/>
      </c>
      <c r="I34">
        <f>IF(LEN(TRIM(A34))=12, --MID(A34,1,1)*3+--MID(A34,2,1)*7+--MID(A34,3,1)*2+--MID(A34,4,1)*4+--MID(A34,5,1)*10+--MID(A34,6,1)*3+--MID(A34,7,1)*5+--MID(A34,8,1)*9+--MID(A34,9,1)*4+--MID(A34,10,1)*6+--MID(A34,11,1)*8, "")</f>
        <v/>
      </c>
    </row>
    <row r="35">
      <c r="A35">
        <f>SUBSTITUTE(SUBSTITUTE(SUBSTITUTE(SUBSTITUTE(TRIM(INDEX(Реестр!$B:$B,ROW())),CHAR(160),""),CHAR(9),""),CHAR(10),""),CHAR(13),"")</f>
        <v/>
      </c>
      <c r="B35">
        <f>SUBSTITUTE(SUBSTITUTE(SUBSTITUTE(SUBSTITUTE(SUBSTITUTE(SUBSTITUTE(SUBSTITUTE(TRIM(INDEX(Реестр!$D:$D, ROW())), "-", ""), " ", ""), CHAR(160), ""), CHAR(9), ""), CHAR(10), ""), CHAR(13), ""), CHAR(32), "")</f>
        <v/>
      </c>
      <c r="C35">
        <f>INDEX(Реестр!$H:$H, ROW())</f>
        <v/>
      </c>
      <c r="D35">
        <f>IF(OR(ISBLANK(INDEX(Реестр!$B:$B, ROW())), INDEX(Реестр!$B:$B, ROW())=""), " ", IF(IFERROR(ISNUMBER(--A35),FALSE), IF(LEN(A35)=10, IF(MOD(MOD(H35,11),10)=--RIGHT(A35,1), "OK", "ОШИБКА"), IF(LEN(A35)=12, IF(AND(MOD(MOD(H35,11),10)=--MID(A35,11,1), MOD(MOD(I35,11),10)=--RIGHT(A35,1)), "OK", "ОШИБКА"), "ДЛИНА (10 или 12)")), "НЕ ЦИФРЫ"))</f>
        <v/>
      </c>
      <c r="E35">
        <f>MID(B35,1,1)*9+MID(B35,2,1)*8+MID(B35,3,1)*7+MID(B35,4,1)*6+MID(B35,5,1)*5+MID(B35,6,1)*4+MID(B35,7,1)*3+MID(B35,8,1)*2+MID(B35,9,1)</f>
        <v/>
      </c>
      <c r="F35">
        <f>IF(B35="", " ", IF(LEN(B35)&lt;&gt;11, "ДЛИНА", IF(NOT(ISNUMBER(--B35)), "НЕ ЦИФРЫ", IF(LEFT(B35,9)*1&lt;=1001998, "OK", IF(RIGHT(B35,2)*1=IF(MOD(E35,101)&gt;=100,0,MOD(E35,101)),"OK","ОШИБКА")))))</f>
        <v/>
      </c>
      <c r="G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">
        <f>IF(LEN(TRIM(A35))=10, --MID(A35,1,1)*2+--MID(A35,2,1)*4+--MID(A35,3,1)*10+--MID(A35,4,1)*3+--MID(A35,5,1)*5+--MID(A35,6,1)*9+--MID(A35,7,1)*4+--MID(A35,8,1)*6+--MID(A35,9,1)*8, IF(LEN(TRIM(A35))=12, --MID(A35,1,1)*7+--MID(A35,2,1)*2+--MID(A35,3,1)*4+--MID(A35,4,1)*10+--MID(A35,5,1)*3+--MID(A35,6,1)*5+--MID(A35,7,1)*9+--MID(A35,8,1)*4+--MID(A35,9,1)*6+--MID(A35,10,1)*8, ""))</f>
        <v/>
      </c>
      <c r="I35">
        <f>IF(LEN(TRIM(A35))=12, --MID(A35,1,1)*3+--MID(A35,2,1)*7+--MID(A35,3,1)*2+--MID(A35,4,1)*4+--MID(A35,5,1)*10+--MID(A35,6,1)*3+--MID(A35,7,1)*5+--MID(A35,8,1)*9+--MID(A35,9,1)*4+--MID(A35,10,1)*6+--MID(A35,11,1)*8, "")</f>
        <v/>
      </c>
    </row>
    <row r="36">
      <c r="A36">
        <f>SUBSTITUTE(SUBSTITUTE(SUBSTITUTE(SUBSTITUTE(TRIM(INDEX(Реестр!$B:$B,ROW())),CHAR(160),""),CHAR(9),""),CHAR(10),""),CHAR(13),"")</f>
        <v/>
      </c>
      <c r="B36">
        <f>SUBSTITUTE(SUBSTITUTE(SUBSTITUTE(SUBSTITUTE(SUBSTITUTE(SUBSTITUTE(SUBSTITUTE(TRIM(INDEX(Реестр!$D:$D, ROW())), "-", ""), " ", ""), CHAR(160), ""), CHAR(9), ""), CHAR(10), ""), CHAR(13), ""), CHAR(32), "")</f>
        <v/>
      </c>
      <c r="C36">
        <f>INDEX(Реестр!$H:$H, ROW())</f>
        <v/>
      </c>
      <c r="D36">
        <f>IF(OR(ISBLANK(INDEX(Реестр!$B:$B, ROW())), INDEX(Реестр!$B:$B, ROW())=""), " ", IF(IFERROR(ISNUMBER(--A36),FALSE), IF(LEN(A36)=10, IF(MOD(MOD(H36,11),10)=--RIGHT(A36,1), "OK", "ОШИБКА"), IF(LEN(A36)=12, IF(AND(MOD(MOD(H36,11),10)=--MID(A36,11,1), MOD(MOD(I36,11),10)=--RIGHT(A36,1)), "OK", "ОШИБКА"), "ДЛИНА (10 или 12)")), "НЕ ЦИФРЫ"))</f>
        <v/>
      </c>
      <c r="E36">
        <f>MID(B36,1,1)*9+MID(B36,2,1)*8+MID(B36,3,1)*7+MID(B36,4,1)*6+MID(B36,5,1)*5+MID(B36,6,1)*4+MID(B36,7,1)*3+MID(B36,8,1)*2+MID(B36,9,1)</f>
        <v/>
      </c>
      <c r="F36">
        <f>IF(B36="", " ", IF(LEN(B36)&lt;&gt;11, "ДЛИНА", IF(NOT(ISNUMBER(--B36)), "НЕ ЦИФРЫ", IF(LEFT(B36,9)*1&lt;=1001998, "OK", IF(RIGHT(B36,2)*1=IF(MOD(E36,101)&gt;=100,0,MOD(E36,101)),"OK","ОШИБКА")))))</f>
        <v/>
      </c>
      <c r="G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">
        <f>IF(LEN(TRIM(A36))=10, --MID(A36,1,1)*2+--MID(A36,2,1)*4+--MID(A36,3,1)*10+--MID(A36,4,1)*3+--MID(A36,5,1)*5+--MID(A36,6,1)*9+--MID(A36,7,1)*4+--MID(A36,8,1)*6+--MID(A36,9,1)*8, IF(LEN(TRIM(A36))=12, --MID(A36,1,1)*7+--MID(A36,2,1)*2+--MID(A36,3,1)*4+--MID(A36,4,1)*10+--MID(A36,5,1)*3+--MID(A36,6,1)*5+--MID(A36,7,1)*9+--MID(A36,8,1)*4+--MID(A36,9,1)*6+--MID(A36,10,1)*8, ""))</f>
        <v/>
      </c>
      <c r="I36">
        <f>IF(LEN(TRIM(A36))=12, --MID(A36,1,1)*3+--MID(A36,2,1)*7+--MID(A36,3,1)*2+--MID(A36,4,1)*4+--MID(A36,5,1)*10+--MID(A36,6,1)*3+--MID(A36,7,1)*5+--MID(A36,8,1)*9+--MID(A36,9,1)*4+--MID(A36,10,1)*6+--MID(A36,11,1)*8, "")</f>
        <v/>
      </c>
    </row>
    <row r="37">
      <c r="A37">
        <f>SUBSTITUTE(SUBSTITUTE(SUBSTITUTE(SUBSTITUTE(TRIM(INDEX(Реестр!$B:$B,ROW())),CHAR(160),""),CHAR(9),""),CHAR(10),""),CHAR(13),"")</f>
        <v/>
      </c>
      <c r="B37">
        <f>SUBSTITUTE(SUBSTITUTE(SUBSTITUTE(SUBSTITUTE(SUBSTITUTE(SUBSTITUTE(SUBSTITUTE(TRIM(INDEX(Реестр!$D:$D, ROW())), "-", ""), " ", ""), CHAR(160), ""), CHAR(9), ""), CHAR(10), ""), CHAR(13), ""), CHAR(32), "")</f>
        <v/>
      </c>
      <c r="C37">
        <f>INDEX(Реестр!$H:$H, ROW())</f>
        <v/>
      </c>
      <c r="D37">
        <f>IF(OR(ISBLANK(INDEX(Реестр!$B:$B, ROW())), INDEX(Реестр!$B:$B, ROW())=""), " ", IF(IFERROR(ISNUMBER(--A37),FALSE), IF(LEN(A37)=10, IF(MOD(MOD(H37,11),10)=--RIGHT(A37,1), "OK", "ОШИБКА"), IF(LEN(A37)=12, IF(AND(MOD(MOD(H37,11),10)=--MID(A37,11,1), MOD(MOD(I37,11),10)=--RIGHT(A37,1)), "OK", "ОШИБКА"), "ДЛИНА (10 или 12)")), "НЕ ЦИФРЫ"))</f>
        <v/>
      </c>
      <c r="E37">
        <f>MID(B37,1,1)*9+MID(B37,2,1)*8+MID(B37,3,1)*7+MID(B37,4,1)*6+MID(B37,5,1)*5+MID(B37,6,1)*4+MID(B37,7,1)*3+MID(B37,8,1)*2+MID(B37,9,1)</f>
        <v/>
      </c>
      <c r="F37">
        <f>IF(B37="", " ", IF(LEN(B37)&lt;&gt;11, "ДЛИНА", IF(NOT(ISNUMBER(--B37)), "НЕ ЦИФРЫ", IF(LEFT(B37,9)*1&lt;=1001998, "OK", IF(RIGHT(B37,2)*1=IF(MOD(E37,101)&gt;=100,0,MOD(E37,101)),"OK","ОШИБКА")))))</f>
        <v/>
      </c>
      <c r="G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">
        <f>IF(LEN(TRIM(A37))=10, --MID(A37,1,1)*2+--MID(A37,2,1)*4+--MID(A37,3,1)*10+--MID(A37,4,1)*3+--MID(A37,5,1)*5+--MID(A37,6,1)*9+--MID(A37,7,1)*4+--MID(A37,8,1)*6+--MID(A37,9,1)*8, IF(LEN(TRIM(A37))=12, --MID(A37,1,1)*7+--MID(A37,2,1)*2+--MID(A37,3,1)*4+--MID(A37,4,1)*10+--MID(A37,5,1)*3+--MID(A37,6,1)*5+--MID(A37,7,1)*9+--MID(A37,8,1)*4+--MID(A37,9,1)*6+--MID(A37,10,1)*8, ""))</f>
        <v/>
      </c>
      <c r="I37">
        <f>IF(LEN(TRIM(A37))=12, --MID(A37,1,1)*3+--MID(A37,2,1)*7+--MID(A37,3,1)*2+--MID(A37,4,1)*4+--MID(A37,5,1)*10+--MID(A37,6,1)*3+--MID(A37,7,1)*5+--MID(A37,8,1)*9+--MID(A37,9,1)*4+--MID(A37,10,1)*6+--MID(A37,11,1)*8, "")</f>
        <v/>
      </c>
    </row>
    <row r="38">
      <c r="A38">
        <f>SUBSTITUTE(SUBSTITUTE(SUBSTITUTE(SUBSTITUTE(TRIM(INDEX(Реестр!$B:$B,ROW())),CHAR(160),""),CHAR(9),""),CHAR(10),""),CHAR(13),"")</f>
        <v/>
      </c>
      <c r="B38">
        <f>SUBSTITUTE(SUBSTITUTE(SUBSTITUTE(SUBSTITUTE(SUBSTITUTE(SUBSTITUTE(SUBSTITUTE(TRIM(INDEX(Реестр!$D:$D, ROW())), "-", ""), " ", ""), CHAR(160), ""), CHAR(9), ""), CHAR(10), ""), CHAR(13), ""), CHAR(32), "")</f>
        <v/>
      </c>
      <c r="C38">
        <f>INDEX(Реестр!$H:$H, ROW())</f>
        <v/>
      </c>
      <c r="D38">
        <f>IF(OR(ISBLANK(INDEX(Реестр!$B:$B, ROW())), INDEX(Реестр!$B:$B, ROW())=""), " ", IF(IFERROR(ISNUMBER(--A38),FALSE), IF(LEN(A38)=10, IF(MOD(MOD(H38,11),10)=--RIGHT(A38,1), "OK", "ОШИБКА"), IF(LEN(A38)=12, IF(AND(MOD(MOD(H38,11),10)=--MID(A38,11,1), MOD(MOD(I38,11),10)=--RIGHT(A38,1)), "OK", "ОШИБКА"), "ДЛИНА (10 или 12)")), "НЕ ЦИФРЫ"))</f>
        <v/>
      </c>
      <c r="E38">
        <f>MID(B38,1,1)*9+MID(B38,2,1)*8+MID(B38,3,1)*7+MID(B38,4,1)*6+MID(B38,5,1)*5+MID(B38,6,1)*4+MID(B38,7,1)*3+MID(B38,8,1)*2+MID(B38,9,1)</f>
        <v/>
      </c>
      <c r="F38">
        <f>IF(B38="", " ", IF(LEN(B38)&lt;&gt;11, "ДЛИНА", IF(NOT(ISNUMBER(--B38)), "НЕ ЦИФРЫ", IF(LEFT(B38,9)*1&lt;=1001998, "OK", IF(RIGHT(B38,2)*1=IF(MOD(E38,101)&gt;=100,0,MOD(E38,101)),"OK","ОШИБКА")))))</f>
        <v/>
      </c>
      <c r="G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">
        <f>IF(LEN(TRIM(A38))=10, --MID(A38,1,1)*2+--MID(A38,2,1)*4+--MID(A38,3,1)*10+--MID(A38,4,1)*3+--MID(A38,5,1)*5+--MID(A38,6,1)*9+--MID(A38,7,1)*4+--MID(A38,8,1)*6+--MID(A38,9,1)*8, IF(LEN(TRIM(A38))=12, --MID(A38,1,1)*7+--MID(A38,2,1)*2+--MID(A38,3,1)*4+--MID(A38,4,1)*10+--MID(A38,5,1)*3+--MID(A38,6,1)*5+--MID(A38,7,1)*9+--MID(A38,8,1)*4+--MID(A38,9,1)*6+--MID(A38,10,1)*8, ""))</f>
        <v/>
      </c>
      <c r="I38">
        <f>IF(LEN(TRIM(A38))=12, --MID(A38,1,1)*3+--MID(A38,2,1)*7+--MID(A38,3,1)*2+--MID(A38,4,1)*4+--MID(A38,5,1)*10+--MID(A38,6,1)*3+--MID(A38,7,1)*5+--MID(A38,8,1)*9+--MID(A38,9,1)*4+--MID(A38,10,1)*6+--MID(A38,11,1)*8, "")</f>
        <v/>
      </c>
    </row>
    <row r="39">
      <c r="A39">
        <f>SUBSTITUTE(SUBSTITUTE(SUBSTITUTE(SUBSTITUTE(TRIM(INDEX(Реестр!$B:$B,ROW())),CHAR(160),""),CHAR(9),""),CHAR(10),""),CHAR(13),"")</f>
        <v/>
      </c>
      <c r="B39">
        <f>SUBSTITUTE(SUBSTITUTE(SUBSTITUTE(SUBSTITUTE(SUBSTITUTE(SUBSTITUTE(SUBSTITUTE(TRIM(INDEX(Реестр!$D:$D, ROW())), "-", ""), " ", ""), CHAR(160), ""), CHAR(9), ""), CHAR(10), ""), CHAR(13), ""), CHAR(32), "")</f>
        <v/>
      </c>
      <c r="C39">
        <f>INDEX(Реестр!$H:$H, ROW())</f>
        <v/>
      </c>
      <c r="D39">
        <f>IF(OR(ISBLANK(INDEX(Реестр!$B:$B, ROW())), INDEX(Реестр!$B:$B, ROW())=""), " ", IF(IFERROR(ISNUMBER(--A39),FALSE), IF(LEN(A39)=10, IF(MOD(MOD(H39,11),10)=--RIGHT(A39,1), "OK", "ОШИБКА"), IF(LEN(A39)=12, IF(AND(MOD(MOD(H39,11),10)=--MID(A39,11,1), MOD(MOD(I39,11),10)=--RIGHT(A39,1)), "OK", "ОШИБКА"), "ДЛИНА (10 или 12)")), "НЕ ЦИФРЫ"))</f>
        <v/>
      </c>
      <c r="E39">
        <f>MID(B39,1,1)*9+MID(B39,2,1)*8+MID(B39,3,1)*7+MID(B39,4,1)*6+MID(B39,5,1)*5+MID(B39,6,1)*4+MID(B39,7,1)*3+MID(B39,8,1)*2+MID(B39,9,1)</f>
        <v/>
      </c>
      <c r="F39">
        <f>IF(B39="", " ", IF(LEN(B39)&lt;&gt;11, "ДЛИНА", IF(NOT(ISNUMBER(--B39)), "НЕ ЦИФРЫ", IF(LEFT(B39,9)*1&lt;=1001998, "OK", IF(RIGHT(B39,2)*1=IF(MOD(E39,101)&gt;=100,0,MOD(E39,101)),"OK","ОШИБКА")))))</f>
        <v/>
      </c>
      <c r="G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">
        <f>IF(LEN(TRIM(A39))=10, --MID(A39,1,1)*2+--MID(A39,2,1)*4+--MID(A39,3,1)*10+--MID(A39,4,1)*3+--MID(A39,5,1)*5+--MID(A39,6,1)*9+--MID(A39,7,1)*4+--MID(A39,8,1)*6+--MID(A39,9,1)*8, IF(LEN(TRIM(A39))=12, --MID(A39,1,1)*7+--MID(A39,2,1)*2+--MID(A39,3,1)*4+--MID(A39,4,1)*10+--MID(A39,5,1)*3+--MID(A39,6,1)*5+--MID(A39,7,1)*9+--MID(A39,8,1)*4+--MID(A39,9,1)*6+--MID(A39,10,1)*8, ""))</f>
        <v/>
      </c>
      <c r="I39">
        <f>IF(LEN(TRIM(A39))=12, --MID(A39,1,1)*3+--MID(A39,2,1)*7+--MID(A39,3,1)*2+--MID(A39,4,1)*4+--MID(A39,5,1)*10+--MID(A39,6,1)*3+--MID(A39,7,1)*5+--MID(A39,8,1)*9+--MID(A39,9,1)*4+--MID(A39,10,1)*6+--MID(A39,11,1)*8, "")</f>
        <v/>
      </c>
    </row>
    <row r="40">
      <c r="A40">
        <f>SUBSTITUTE(SUBSTITUTE(SUBSTITUTE(SUBSTITUTE(TRIM(INDEX(Реестр!$B:$B,ROW())),CHAR(160),""),CHAR(9),""),CHAR(10),""),CHAR(13),"")</f>
        <v/>
      </c>
      <c r="B40">
        <f>SUBSTITUTE(SUBSTITUTE(SUBSTITUTE(SUBSTITUTE(SUBSTITUTE(SUBSTITUTE(SUBSTITUTE(TRIM(INDEX(Реестр!$D:$D, ROW())), "-", ""), " ", ""), CHAR(160), ""), CHAR(9), ""), CHAR(10), ""), CHAR(13), ""), CHAR(32), "")</f>
        <v/>
      </c>
      <c r="C40">
        <f>INDEX(Реестр!$H:$H, ROW())</f>
        <v/>
      </c>
      <c r="D40">
        <f>IF(OR(ISBLANK(INDEX(Реестр!$B:$B, ROW())), INDEX(Реестр!$B:$B, ROW())=""), " ", IF(IFERROR(ISNUMBER(--A40),FALSE), IF(LEN(A40)=10, IF(MOD(MOD(H40,11),10)=--RIGHT(A40,1), "OK", "ОШИБКА"), IF(LEN(A40)=12, IF(AND(MOD(MOD(H40,11),10)=--MID(A40,11,1), MOD(MOD(I40,11),10)=--RIGHT(A40,1)), "OK", "ОШИБКА"), "ДЛИНА (10 или 12)")), "НЕ ЦИФРЫ"))</f>
        <v/>
      </c>
      <c r="E40">
        <f>MID(B40,1,1)*9+MID(B40,2,1)*8+MID(B40,3,1)*7+MID(B40,4,1)*6+MID(B40,5,1)*5+MID(B40,6,1)*4+MID(B40,7,1)*3+MID(B40,8,1)*2+MID(B40,9,1)</f>
        <v/>
      </c>
      <c r="F40">
        <f>IF(B40="", " ", IF(LEN(B40)&lt;&gt;11, "ДЛИНА", IF(NOT(ISNUMBER(--B40)), "НЕ ЦИФРЫ", IF(LEFT(B40,9)*1&lt;=1001998, "OK", IF(RIGHT(B40,2)*1=IF(MOD(E40,101)&gt;=100,0,MOD(E40,101)),"OK","ОШИБКА")))))</f>
        <v/>
      </c>
      <c r="G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">
        <f>IF(LEN(TRIM(A40))=10, --MID(A40,1,1)*2+--MID(A40,2,1)*4+--MID(A40,3,1)*10+--MID(A40,4,1)*3+--MID(A40,5,1)*5+--MID(A40,6,1)*9+--MID(A40,7,1)*4+--MID(A40,8,1)*6+--MID(A40,9,1)*8, IF(LEN(TRIM(A40))=12, --MID(A40,1,1)*7+--MID(A40,2,1)*2+--MID(A40,3,1)*4+--MID(A40,4,1)*10+--MID(A40,5,1)*3+--MID(A40,6,1)*5+--MID(A40,7,1)*9+--MID(A40,8,1)*4+--MID(A40,9,1)*6+--MID(A40,10,1)*8, ""))</f>
        <v/>
      </c>
      <c r="I40">
        <f>IF(LEN(TRIM(A40))=12, --MID(A40,1,1)*3+--MID(A40,2,1)*7+--MID(A40,3,1)*2+--MID(A40,4,1)*4+--MID(A40,5,1)*10+--MID(A40,6,1)*3+--MID(A40,7,1)*5+--MID(A40,8,1)*9+--MID(A40,9,1)*4+--MID(A40,10,1)*6+--MID(A40,11,1)*8, "")</f>
        <v/>
      </c>
    </row>
    <row r="41">
      <c r="A41">
        <f>SUBSTITUTE(SUBSTITUTE(SUBSTITUTE(SUBSTITUTE(TRIM(INDEX(Реестр!$B:$B,ROW())),CHAR(160),""),CHAR(9),""),CHAR(10),""),CHAR(13),"")</f>
        <v/>
      </c>
      <c r="B41">
        <f>SUBSTITUTE(SUBSTITUTE(SUBSTITUTE(SUBSTITUTE(SUBSTITUTE(SUBSTITUTE(SUBSTITUTE(TRIM(INDEX(Реестр!$D:$D, ROW())), "-", ""), " ", ""), CHAR(160), ""), CHAR(9), ""), CHAR(10), ""), CHAR(13), ""), CHAR(32), "")</f>
        <v/>
      </c>
      <c r="C41">
        <f>INDEX(Реестр!$H:$H, ROW())</f>
        <v/>
      </c>
      <c r="D41">
        <f>IF(OR(ISBLANK(INDEX(Реестр!$B:$B, ROW())), INDEX(Реестр!$B:$B, ROW())=""), " ", IF(IFERROR(ISNUMBER(--A41),FALSE), IF(LEN(A41)=10, IF(MOD(MOD(H41,11),10)=--RIGHT(A41,1), "OK", "ОШИБКА"), IF(LEN(A41)=12, IF(AND(MOD(MOD(H41,11),10)=--MID(A41,11,1), MOD(MOD(I41,11),10)=--RIGHT(A41,1)), "OK", "ОШИБКА"), "ДЛИНА (10 или 12)")), "НЕ ЦИФРЫ"))</f>
        <v/>
      </c>
      <c r="E41">
        <f>MID(B41,1,1)*9+MID(B41,2,1)*8+MID(B41,3,1)*7+MID(B41,4,1)*6+MID(B41,5,1)*5+MID(B41,6,1)*4+MID(B41,7,1)*3+MID(B41,8,1)*2+MID(B41,9,1)</f>
        <v/>
      </c>
      <c r="F41">
        <f>IF(B41="", " ", IF(LEN(B41)&lt;&gt;11, "ДЛИНА", IF(NOT(ISNUMBER(--B41)), "НЕ ЦИФРЫ", IF(LEFT(B41,9)*1&lt;=1001998, "OK", IF(RIGHT(B41,2)*1=IF(MOD(E41,101)&gt;=100,0,MOD(E41,101)),"OK","ОШИБКА")))))</f>
        <v/>
      </c>
      <c r="G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">
        <f>IF(LEN(TRIM(A41))=10, --MID(A41,1,1)*2+--MID(A41,2,1)*4+--MID(A41,3,1)*10+--MID(A41,4,1)*3+--MID(A41,5,1)*5+--MID(A41,6,1)*9+--MID(A41,7,1)*4+--MID(A41,8,1)*6+--MID(A41,9,1)*8, IF(LEN(TRIM(A41))=12, --MID(A41,1,1)*7+--MID(A41,2,1)*2+--MID(A41,3,1)*4+--MID(A41,4,1)*10+--MID(A41,5,1)*3+--MID(A41,6,1)*5+--MID(A41,7,1)*9+--MID(A41,8,1)*4+--MID(A41,9,1)*6+--MID(A41,10,1)*8, ""))</f>
        <v/>
      </c>
      <c r="I41">
        <f>IF(LEN(TRIM(A41))=12, --MID(A41,1,1)*3+--MID(A41,2,1)*7+--MID(A41,3,1)*2+--MID(A41,4,1)*4+--MID(A41,5,1)*10+--MID(A41,6,1)*3+--MID(A41,7,1)*5+--MID(A41,8,1)*9+--MID(A41,9,1)*4+--MID(A41,10,1)*6+--MID(A41,11,1)*8, "")</f>
        <v/>
      </c>
    </row>
    <row r="42">
      <c r="A42">
        <f>SUBSTITUTE(SUBSTITUTE(SUBSTITUTE(SUBSTITUTE(TRIM(INDEX(Реестр!$B:$B,ROW())),CHAR(160),""),CHAR(9),""),CHAR(10),""),CHAR(13),"")</f>
        <v/>
      </c>
      <c r="B42">
        <f>SUBSTITUTE(SUBSTITUTE(SUBSTITUTE(SUBSTITUTE(SUBSTITUTE(SUBSTITUTE(SUBSTITUTE(TRIM(INDEX(Реестр!$D:$D, ROW())), "-", ""), " ", ""), CHAR(160), ""), CHAR(9), ""), CHAR(10), ""), CHAR(13), ""), CHAR(32), "")</f>
        <v/>
      </c>
      <c r="C42">
        <f>INDEX(Реестр!$H:$H, ROW())</f>
        <v/>
      </c>
      <c r="D42">
        <f>IF(OR(ISBLANK(INDEX(Реестр!$B:$B, ROW())), INDEX(Реестр!$B:$B, ROW())=""), " ", IF(IFERROR(ISNUMBER(--A42),FALSE), IF(LEN(A42)=10, IF(MOD(MOD(H42,11),10)=--RIGHT(A42,1), "OK", "ОШИБКА"), IF(LEN(A42)=12, IF(AND(MOD(MOD(H42,11),10)=--MID(A42,11,1), MOD(MOD(I42,11),10)=--RIGHT(A42,1)), "OK", "ОШИБКА"), "ДЛИНА (10 или 12)")), "НЕ ЦИФРЫ"))</f>
        <v/>
      </c>
      <c r="E42">
        <f>MID(B42,1,1)*9+MID(B42,2,1)*8+MID(B42,3,1)*7+MID(B42,4,1)*6+MID(B42,5,1)*5+MID(B42,6,1)*4+MID(B42,7,1)*3+MID(B42,8,1)*2+MID(B42,9,1)</f>
        <v/>
      </c>
      <c r="F42">
        <f>IF(B42="", " ", IF(LEN(B42)&lt;&gt;11, "ДЛИНА", IF(NOT(ISNUMBER(--B42)), "НЕ ЦИФРЫ", IF(LEFT(B42,9)*1&lt;=1001998, "OK", IF(RIGHT(B42,2)*1=IF(MOD(E42,101)&gt;=100,0,MOD(E42,101)),"OK","ОШИБКА")))))</f>
        <v/>
      </c>
      <c r="G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">
        <f>IF(LEN(TRIM(A42))=10, --MID(A42,1,1)*2+--MID(A42,2,1)*4+--MID(A42,3,1)*10+--MID(A42,4,1)*3+--MID(A42,5,1)*5+--MID(A42,6,1)*9+--MID(A42,7,1)*4+--MID(A42,8,1)*6+--MID(A42,9,1)*8, IF(LEN(TRIM(A42))=12, --MID(A42,1,1)*7+--MID(A42,2,1)*2+--MID(A42,3,1)*4+--MID(A42,4,1)*10+--MID(A42,5,1)*3+--MID(A42,6,1)*5+--MID(A42,7,1)*9+--MID(A42,8,1)*4+--MID(A42,9,1)*6+--MID(A42,10,1)*8, ""))</f>
        <v/>
      </c>
      <c r="I42">
        <f>IF(LEN(TRIM(A42))=12, --MID(A42,1,1)*3+--MID(A42,2,1)*7+--MID(A42,3,1)*2+--MID(A42,4,1)*4+--MID(A42,5,1)*10+--MID(A42,6,1)*3+--MID(A42,7,1)*5+--MID(A42,8,1)*9+--MID(A42,9,1)*4+--MID(A42,10,1)*6+--MID(A42,11,1)*8, "")</f>
        <v/>
      </c>
    </row>
    <row r="43">
      <c r="A43">
        <f>SUBSTITUTE(SUBSTITUTE(SUBSTITUTE(SUBSTITUTE(TRIM(INDEX(Реестр!$B:$B,ROW())),CHAR(160),""),CHAR(9),""),CHAR(10),""),CHAR(13),"")</f>
        <v/>
      </c>
      <c r="B43">
        <f>SUBSTITUTE(SUBSTITUTE(SUBSTITUTE(SUBSTITUTE(SUBSTITUTE(SUBSTITUTE(SUBSTITUTE(TRIM(INDEX(Реестр!$D:$D, ROW())), "-", ""), " ", ""), CHAR(160), ""), CHAR(9), ""), CHAR(10), ""), CHAR(13), ""), CHAR(32), "")</f>
        <v/>
      </c>
      <c r="C43">
        <f>INDEX(Реестр!$H:$H, ROW())</f>
        <v/>
      </c>
      <c r="D43">
        <f>IF(OR(ISBLANK(INDEX(Реестр!$B:$B, ROW())), INDEX(Реестр!$B:$B, ROW())=""), " ", IF(IFERROR(ISNUMBER(--A43),FALSE), IF(LEN(A43)=10, IF(MOD(MOD(H43,11),10)=--RIGHT(A43,1), "OK", "ОШИБКА"), IF(LEN(A43)=12, IF(AND(MOD(MOD(H43,11),10)=--MID(A43,11,1), MOD(MOD(I43,11),10)=--RIGHT(A43,1)), "OK", "ОШИБКА"), "ДЛИНА (10 или 12)")), "НЕ ЦИФРЫ"))</f>
        <v/>
      </c>
      <c r="E43">
        <f>MID(B43,1,1)*9+MID(B43,2,1)*8+MID(B43,3,1)*7+MID(B43,4,1)*6+MID(B43,5,1)*5+MID(B43,6,1)*4+MID(B43,7,1)*3+MID(B43,8,1)*2+MID(B43,9,1)</f>
        <v/>
      </c>
      <c r="F43">
        <f>IF(B43="", " ", IF(LEN(B43)&lt;&gt;11, "ДЛИНА", IF(NOT(ISNUMBER(--B43)), "НЕ ЦИФРЫ", IF(LEFT(B43,9)*1&lt;=1001998, "OK", IF(RIGHT(B43,2)*1=IF(MOD(E43,101)&gt;=100,0,MOD(E43,101)),"OK","ОШИБКА")))))</f>
        <v/>
      </c>
      <c r="G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">
        <f>IF(LEN(TRIM(A43))=10, --MID(A43,1,1)*2+--MID(A43,2,1)*4+--MID(A43,3,1)*10+--MID(A43,4,1)*3+--MID(A43,5,1)*5+--MID(A43,6,1)*9+--MID(A43,7,1)*4+--MID(A43,8,1)*6+--MID(A43,9,1)*8, IF(LEN(TRIM(A43))=12, --MID(A43,1,1)*7+--MID(A43,2,1)*2+--MID(A43,3,1)*4+--MID(A43,4,1)*10+--MID(A43,5,1)*3+--MID(A43,6,1)*5+--MID(A43,7,1)*9+--MID(A43,8,1)*4+--MID(A43,9,1)*6+--MID(A43,10,1)*8, ""))</f>
        <v/>
      </c>
      <c r="I43">
        <f>IF(LEN(TRIM(A43))=12, --MID(A43,1,1)*3+--MID(A43,2,1)*7+--MID(A43,3,1)*2+--MID(A43,4,1)*4+--MID(A43,5,1)*10+--MID(A43,6,1)*3+--MID(A43,7,1)*5+--MID(A43,8,1)*9+--MID(A43,9,1)*4+--MID(A43,10,1)*6+--MID(A43,11,1)*8, "")</f>
        <v/>
      </c>
    </row>
    <row r="44">
      <c r="A44">
        <f>SUBSTITUTE(SUBSTITUTE(SUBSTITUTE(SUBSTITUTE(TRIM(INDEX(Реестр!$B:$B,ROW())),CHAR(160),""),CHAR(9),""),CHAR(10),""),CHAR(13),"")</f>
        <v/>
      </c>
      <c r="B44">
        <f>SUBSTITUTE(SUBSTITUTE(SUBSTITUTE(SUBSTITUTE(SUBSTITUTE(SUBSTITUTE(SUBSTITUTE(TRIM(INDEX(Реестр!$D:$D, ROW())), "-", ""), " ", ""), CHAR(160), ""), CHAR(9), ""), CHAR(10), ""), CHAR(13), ""), CHAR(32), "")</f>
        <v/>
      </c>
      <c r="C44">
        <f>INDEX(Реестр!$H:$H, ROW())</f>
        <v/>
      </c>
      <c r="D44">
        <f>IF(OR(ISBLANK(INDEX(Реестр!$B:$B, ROW())), INDEX(Реестр!$B:$B, ROW())=""), " ", IF(IFERROR(ISNUMBER(--A44),FALSE), IF(LEN(A44)=10, IF(MOD(MOD(H44,11),10)=--RIGHT(A44,1), "OK", "ОШИБКА"), IF(LEN(A44)=12, IF(AND(MOD(MOD(H44,11),10)=--MID(A44,11,1), MOD(MOD(I44,11),10)=--RIGHT(A44,1)), "OK", "ОШИБКА"), "ДЛИНА (10 или 12)")), "НЕ ЦИФРЫ"))</f>
        <v/>
      </c>
      <c r="E44">
        <f>MID(B44,1,1)*9+MID(B44,2,1)*8+MID(B44,3,1)*7+MID(B44,4,1)*6+MID(B44,5,1)*5+MID(B44,6,1)*4+MID(B44,7,1)*3+MID(B44,8,1)*2+MID(B44,9,1)</f>
        <v/>
      </c>
      <c r="F44">
        <f>IF(B44="", " ", IF(LEN(B44)&lt;&gt;11, "ДЛИНА", IF(NOT(ISNUMBER(--B44)), "НЕ ЦИФРЫ", IF(LEFT(B44,9)*1&lt;=1001998, "OK", IF(RIGHT(B44,2)*1=IF(MOD(E44,101)&gt;=100,0,MOD(E44,101)),"OK","ОШИБКА")))))</f>
        <v/>
      </c>
      <c r="G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">
        <f>IF(LEN(TRIM(A44))=10, --MID(A44,1,1)*2+--MID(A44,2,1)*4+--MID(A44,3,1)*10+--MID(A44,4,1)*3+--MID(A44,5,1)*5+--MID(A44,6,1)*9+--MID(A44,7,1)*4+--MID(A44,8,1)*6+--MID(A44,9,1)*8, IF(LEN(TRIM(A44))=12, --MID(A44,1,1)*7+--MID(A44,2,1)*2+--MID(A44,3,1)*4+--MID(A44,4,1)*10+--MID(A44,5,1)*3+--MID(A44,6,1)*5+--MID(A44,7,1)*9+--MID(A44,8,1)*4+--MID(A44,9,1)*6+--MID(A44,10,1)*8, ""))</f>
        <v/>
      </c>
      <c r="I44">
        <f>IF(LEN(TRIM(A44))=12, --MID(A44,1,1)*3+--MID(A44,2,1)*7+--MID(A44,3,1)*2+--MID(A44,4,1)*4+--MID(A44,5,1)*10+--MID(A44,6,1)*3+--MID(A44,7,1)*5+--MID(A44,8,1)*9+--MID(A44,9,1)*4+--MID(A44,10,1)*6+--MID(A44,11,1)*8, "")</f>
        <v/>
      </c>
    </row>
    <row r="45">
      <c r="A45">
        <f>SUBSTITUTE(SUBSTITUTE(SUBSTITUTE(SUBSTITUTE(TRIM(INDEX(Реестр!$B:$B,ROW())),CHAR(160),""),CHAR(9),""),CHAR(10),""),CHAR(13),"")</f>
        <v/>
      </c>
      <c r="B45">
        <f>SUBSTITUTE(SUBSTITUTE(SUBSTITUTE(SUBSTITUTE(SUBSTITUTE(SUBSTITUTE(SUBSTITUTE(TRIM(INDEX(Реестр!$D:$D, ROW())), "-", ""), " ", ""), CHAR(160), ""), CHAR(9), ""), CHAR(10), ""), CHAR(13), ""), CHAR(32), "")</f>
        <v/>
      </c>
      <c r="C45">
        <f>INDEX(Реестр!$H:$H, ROW())</f>
        <v/>
      </c>
      <c r="D45">
        <f>IF(OR(ISBLANK(INDEX(Реестр!$B:$B, ROW())), INDEX(Реестр!$B:$B, ROW())=""), " ", IF(IFERROR(ISNUMBER(--A45),FALSE), IF(LEN(A45)=10, IF(MOD(MOD(H45,11),10)=--RIGHT(A45,1), "OK", "ОШИБКА"), IF(LEN(A45)=12, IF(AND(MOD(MOD(H45,11),10)=--MID(A45,11,1), MOD(MOD(I45,11),10)=--RIGHT(A45,1)), "OK", "ОШИБКА"), "ДЛИНА (10 или 12)")), "НЕ ЦИФРЫ"))</f>
        <v/>
      </c>
      <c r="E45">
        <f>MID(B45,1,1)*9+MID(B45,2,1)*8+MID(B45,3,1)*7+MID(B45,4,1)*6+MID(B45,5,1)*5+MID(B45,6,1)*4+MID(B45,7,1)*3+MID(B45,8,1)*2+MID(B45,9,1)</f>
        <v/>
      </c>
      <c r="F45">
        <f>IF(B45="", " ", IF(LEN(B45)&lt;&gt;11, "ДЛИНА", IF(NOT(ISNUMBER(--B45)), "НЕ ЦИФРЫ", IF(LEFT(B45,9)*1&lt;=1001998, "OK", IF(RIGHT(B45,2)*1=IF(MOD(E45,101)&gt;=100,0,MOD(E45,101)),"OK","ОШИБКА")))))</f>
        <v/>
      </c>
      <c r="G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">
        <f>IF(LEN(TRIM(A45))=10, --MID(A45,1,1)*2+--MID(A45,2,1)*4+--MID(A45,3,1)*10+--MID(A45,4,1)*3+--MID(A45,5,1)*5+--MID(A45,6,1)*9+--MID(A45,7,1)*4+--MID(A45,8,1)*6+--MID(A45,9,1)*8, IF(LEN(TRIM(A45))=12, --MID(A45,1,1)*7+--MID(A45,2,1)*2+--MID(A45,3,1)*4+--MID(A45,4,1)*10+--MID(A45,5,1)*3+--MID(A45,6,1)*5+--MID(A45,7,1)*9+--MID(A45,8,1)*4+--MID(A45,9,1)*6+--MID(A45,10,1)*8, ""))</f>
        <v/>
      </c>
      <c r="I45">
        <f>IF(LEN(TRIM(A45))=12, --MID(A45,1,1)*3+--MID(A45,2,1)*7+--MID(A45,3,1)*2+--MID(A45,4,1)*4+--MID(A45,5,1)*10+--MID(A45,6,1)*3+--MID(A45,7,1)*5+--MID(A45,8,1)*9+--MID(A45,9,1)*4+--MID(A45,10,1)*6+--MID(A45,11,1)*8, "")</f>
        <v/>
      </c>
    </row>
    <row r="46">
      <c r="A46">
        <f>SUBSTITUTE(SUBSTITUTE(SUBSTITUTE(SUBSTITUTE(TRIM(INDEX(Реестр!$B:$B,ROW())),CHAR(160),""),CHAR(9),""),CHAR(10),""),CHAR(13),"")</f>
        <v/>
      </c>
      <c r="B46">
        <f>SUBSTITUTE(SUBSTITUTE(SUBSTITUTE(SUBSTITUTE(SUBSTITUTE(SUBSTITUTE(SUBSTITUTE(TRIM(INDEX(Реестр!$D:$D, ROW())), "-", ""), " ", ""), CHAR(160), ""), CHAR(9), ""), CHAR(10), ""), CHAR(13), ""), CHAR(32), "")</f>
        <v/>
      </c>
      <c r="C46">
        <f>INDEX(Реестр!$H:$H, ROW())</f>
        <v/>
      </c>
      <c r="D46">
        <f>IF(OR(ISBLANK(INDEX(Реестр!$B:$B, ROW())), INDEX(Реестр!$B:$B, ROW())=""), " ", IF(IFERROR(ISNUMBER(--A46),FALSE), IF(LEN(A46)=10, IF(MOD(MOD(H46,11),10)=--RIGHT(A46,1), "OK", "ОШИБКА"), IF(LEN(A46)=12, IF(AND(MOD(MOD(H46,11),10)=--MID(A46,11,1), MOD(MOD(I46,11),10)=--RIGHT(A46,1)), "OK", "ОШИБКА"), "ДЛИНА (10 или 12)")), "НЕ ЦИФРЫ"))</f>
        <v/>
      </c>
      <c r="E46">
        <f>MID(B46,1,1)*9+MID(B46,2,1)*8+MID(B46,3,1)*7+MID(B46,4,1)*6+MID(B46,5,1)*5+MID(B46,6,1)*4+MID(B46,7,1)*3+MID(B46,8,1)*2+MID(B46,9,1)</f>
        <v/>
      </c>
      <c r="F46">
        <f>IF(B46="", " ", IF(LEN(B46)&lt;&gt;11, "ДЛИНА", IF(NOT(ISNUMBER(--B46)), "НЕ ЦИФРЫ", IF(LEFT(B46,9)*1&lt;=1001998, "OK", IF(RIGHT(B46,2)*1=IF(MOD(E46,101)&gt;=100,0,MOD(E46,101)),"OK","ОШИБКА")))))</f>
        <v/>
      </c>
      <c r="G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">
        <f>IF(LEN(TRIM(A46))=10, --MID(A46,1,1)*2+--MID(A46,2,1)*4+--MID(A46,3,1)*10+--MID(A46,4,1)*3+--MID(A46,5,1)*5+--MID(A46,6,1)*9+--MID(A46,7,1)*4+--MID(A46,8,1)*6+--MID(A46,9,1)*8, IF(LEN(TRIM(A46))=12, --MID(A46,1,1)*7+--MID(A46,2,1)*2+--MID(A46,3,1)*4+--MID(A46,4,1)*10+--MID(A46,5,1)*3+--MID(A46,6,1)*5+--MID(A46,7,1)*9+--MID(A46,8,1)*4+--MID(A46,9,1)*6+--MID(A46,10,1)*8, ""))</f>
        <v/>
      </c>
      <c r="I46">
        <f>IF(LEN(TRIM(A46))=12, --MID(A46,1,1)*3+--MID(A46,2,1)*7+--MID(A46,3,1)*2+--MID(A46,4,1)*4+--MID(A46,5,1)*10+--MID(A46,6,1)*3+--MID(A46,7,1)*5+--MID(A46,8,1)*9+--MID(A46,9,1)*4+--MID(A46,10,1)*6+--MID(A46,11,1)*8, "")</f>
        <v/>
      </c>
    </row>
    <row r="47">
      <c r="A47">
        <f>SUBSTITUTE(SUBSTITUTE(SUBSTITUTE(SUBSTITUTE(TRIM(INDEX(Реестр!$B:$B,ROW())),CHAR(160),""),CHAR(9),""),CHAR(10),""),CHAR(13),"")</f>
        <v/>
      </c>
      <c r="B47">
        <f>SUBSTITUTE(SUBSTITUTE(SUBSTITUTE(SUBSTITUTE(SUBSTITUTE(SUBSTITUTE(SUBSTITUTE(TRIM(INDEX(Реестр!$D:$D, ROW())), "-", ""), " ", ""), CHAR(160), ""), CHAR(9), ""), CHAR(10), ""), CHAR(13), ""), CHAR(32), "")</f>
        <v/>
      </c>
      <c r="C47">
        <f>INDEX(Реестр!$H:$H, ROW())</f>
        <v/>
      </c>
      <c r="D47">
        <f>IF(OR(ISBLANK(INDEX(Реестр!$B:$B, ROW())), INDEX(Реестр!$B:$B, ROW())=""), " ", IF(IFERROR(ISNUMBER(--A47),FALSE), IF(LEN(A47)=10, IF(MOD(MOD(H47,11),10)=--RIGHT(A47,1), "OK", "ОШИБКА"), IF(LEN(A47)=12, IF(AND(MOD(MOD(H47,11),10)=--MID(A47,11,1), MOD(MOD(I47,11),10)=--RIGHT(A47,1)), "OK", "ОШИБКА"), "ДЛИНА (10 или 12)")), "НЕ ЦИФРЫ"))</f>
        <v/>
      </c>
      <c r="E47">
        <f>MID(B47,1,1)*9+MID(B47,2,1)*8+MID(B47,3,1)*7+MID(B47,4,1)*6+MID(B47,5,1)*5+MID(B47,6,1)*4+MID(B47,7,1)*3+MID(B47,8,1)*2+MID(B47,9,1)</f>
        <v/>
      </c>
      <c r="F47">
        <f>IF(B47="", " ", IF(LEN(B47)&lt;&gt;11, "ДЛИНА", IF(NOT(ISNUMBER(--B47)), "НЕ ЦИФРЫ", IF(LEFT(B47,9)*1&lt;=1001998, "OK", IF(RIGHT(B47,2)*1=IF(MOD(E47,101)&gt;=100,0,MOD(E47,101)),"OK","ОШИБКА")))))</f>
        <v/>
      </c>
      <c r="G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">
        <f>IF(LEN(TRIM(A47))=10, --MID(A47,1,1)*2+--MID(A47,2,1)*4+--MID(A47,3,1)*10+--MID(A47,4,1)*3+--MID(A47,5,1)*5+--MID(A47,6,1)*9+--MID(A47,7,1)*4+--MID(A47,8,1)*6+--MID(A47,9,1)*8, IF(LEN(TRIM(A47))=12, --MID(A47,1,1)*7+--MID(A47,2,1)*2+--MID(A47,3,1)*4+--MID(A47,4,1)*10+--MID(A47,5,1)*3+--MID(A47,6,1)*5+--MID(A47,7,1)*9+--MID(A47,8,1)*4+--MID(A47,9,1)*6+--MID(A47,10,1)*8, ""))</f>
        <v/>
      </c>
      <c r="I47">
        <f>IF(LEN(TRIM(A47))=12, --MID(A47,1,1)*3+--MID(A47,2,1)*7+--MID(A47,3,1)*2+--MID(A47,4,1)*4+--MID(A47,5,1)*10+--MID(A47,6,1)*3+--MID(A47,7,1)*5+--MID(A47,8,1)*9+--MID(A47,9,1)*4+--MID(A47,10,1)*6+--MID(A47,11,1)*8, "")</f>
        <v/>
      </c>
    </row>
    <row r="48">
      <c r="A48">
        <f>SUBSTITUTE(SUBSTITUTE(SUBSTITUTE(SUBSTITUTE(TRIM(INDEX(Реестр!$B:$B,ROW())),CHAR(160),""),CHAR(9),""),CHAR(10),""),CHAR(13),"")</f>
        <v/>
      </c>
      <c r="B48">
        <f>SUBSTITUTE(SUBSTITUTE(SUBSTITUTE(SUBSTITUTE(SUBSTITUTE(SUBSTITUTE(SUBSTITUTE(TRIM(INDEX(Реестр!$D:$D, ROW())), "-", ""), " ", ""), CHAR(160), ""), CHAR(9), ""), CHAR(10), ""), CHAR(13), ""), CHAR(32), "")</f>
        <v/>
      </c>
      <c r="C48">
        <f>INDEX(Реестр!$H:$H, ROW())</f>
        <v/>
      </c>
      <c r="D48">
        <f>IF(OR(ISBLANK(INDEX(Реестр!$B:$B, ROW())), INDEX(Реестр!$B:$B, ROW())=""), " ", IF(IFERROR(ISNUMBER(--A48),FALSE), IF(LEN(A48)=10, IF(MOD(MOD(H48,11),10)=--RIGHT(A48,1), "OK", "ОШИБКА"), IF(LEN(A48)=12, IF(AND(MOD(MOD(H48,11),10)=--MID(A48,11,1), MOD(MOD(I48,11),10)=--RIGHT(A48,1)), "OK", "ОШИБКА"), "ДЛИНА (10 или 12)")), "НЕ ЦИФРЫ"))</f>
        <v/>
      </c>
      <c r="E48">
        <f>MID(B48,1,1)*9+MID(B48,2,1)*8+MID(B48,3,1)*7+MID(B48,4,1)*6+MID(B48,5,1)*5+MID(B48,6,1)*4+MID(B48,7,1)*3+MID(B48,8,1)*2+MID(B48,9,1)</f>
        <v/>
      </c>
      <c r="F48">
        <f>IF(B48="", " ", IF(LEN(B48)&lt;&gt;11, "ДЛИНА", IF(NOT(ISNUMBER(--B48)), "НЕ ЦИФРЫ", IF(LEFT(B48,9)*1&lt;=1001998, "OK", IF(RIGHT(B48,2)*1=IF(MOD(E48,101)&gt;=100,0,MOD(E48,101)),"OK","ОШИБКА")))))</f>
        <v/>
      </c>
      <c r="G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">
        <f>IF(LEN(TRIM(A48))=10, --MID(A48,1,1)*2+--MID(A48,2,1)*4+--MID(A48,3,1)*10+--MID(A48,4,1)*3+--MID(A48,5,1)*5+--MID(A48,6,1)*9+--MID(A48,7,1)*4+--MID(A48,8,1)*6+--MID(A48,9,1)*8, IF(LEN(TRIM(A48))=12, --MID(A48,1,1)*7+--MID(A48,2,1)*2+--MID(A48,3,1)*4+--MID(A48,4,1)*10+--MID(A48,5,1)*3+--MID(A48,6,1)*5+--MID(A48,7,1)*9+--MID(A48,8,1)*4+--MID(A48,9,1)*6+--MID(A48,10,1)*8, ""))</f>
        <v/>
      </c>
      <c r="I48">
        <f>IF(LEN(TRIM(A48))=12, --MID(A48,1,1)*3+--MID(A48,2,1)*7+--MID(A48,3,1)*2+--MID(A48,4,1)*4+--MID(A48,5,1)*10+--MID(A48,6,1)*3+--MID(A48,7,1)*5+--MID(A48,8,1)*9+--MID(A48,9,1)*4+--MID(A48,10,1)*6+--MID(A48,11,1)*8, "")</f>
        <v/>
      </c>
    </row>
    <row r="49">
      <c r="A49">
        <f>SUBSTITUTE(SUBSTITUTE(SUBSTITUTE(SUBSTITUTE(TRIM(INDEX(Реестр!$B:$B,ROW())),CHAR(160),""),CHAR(9),""),CHAR(10),""),CHAR(13),"")</f>
        <v/>
      </c>
      <c r="B49">
        <f>SUBSTITUTE(SUBSTITUTE(SUBSTITUTE(SUBSTITUTE(SUBSTITUTE(SUBSTITUTE(SUBSTITUTE(TRIM(INDEX(Реестр!$D:$D, ROW())), "-", ""), " ", ""), CHAR(160), ""), CHAR(9), ""), CHAR(10), ""), CHAR(13), ""), CHAR(32), "")</f>
        <v/>
      </c>
      <c r="C49">
        <f>INDEX(Реестр!$H:$H, ROW())</f>
        <v/>
      </c>
      <c r="D49">
        <f>IF(OR(ISBLANK(INDEX(Реестр!$B:$B, ROW())), INDEX(Реестр!$B:$B, ROW())=""), " ", IF(IFERROR(ISNUMBER(--A49),FALSE), IF(LEN(A49)=10, IF(MOD(MOD(H49,11),10)=--RIGHT(A49,1), "OK", "ОШИБКА"), IF(LEN(A49)=12, IF(AND(MOD(MOD(H49,11),10)=--MID(A49,11,1), MOD(MOD(I49,11),10)=--RIGHT(A49,1)), "OK", "ОШИБКА"), "ДЛИНА (10 или 12)")), "НЕ ЦИФРЫ"))</f>
        <v/>
      </c>
      <c r="E49">
        <f>MID(B49,1,1)*9+MID(B49,2,1)*8+MID(B49,3,1)*7+MID(B49,4,1)*6+MID(B49,5,1)*5+MID(B49,6,1)*4+MID(B49,7,1)*3+MID(B49,8,1)*2+MID(B49,9,1)</f>
        <v/>
      </c>
      <c r="F49">
        <f>IF(B49="", " ", IF(LEN(B49)&lt;&gt;11, "ДЛИНА", IF(NOT(ISNUMBER(--B49)), "НЕ ЦИФРЫ", IF(LEFT(B49,9)*1&lt;=1001998, "OK", IF(RIGHT(B49,2)*1=IF(MOD(E49,101)&gt;=100,0,MOD(E49,101)),"OK","ОШИБКА")))))</f>
        <v/>
      </c>
      <c r="G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">
        <f>IF(LEN(TRIM(A49))=10, --MID(A49,1,1)*2+--MID(A49,2,1)*4+--MID(A49,3,1)*10+--MID(A49,4,1)*3+--MID(A49,5,1)*5+--MID(A49,6,1)*9+--MID(A49,7,1)*4+--MID(A49,8,1)*6+--MID(A49,9,1)*8, IF(LEN(TRIM(A49))=12, --MID(A49,1,1)*7+--MID(A49,2,1)*2+--MID(A49,3,1)*4+--MID(A49,4,1)*10+--MID(A49,5,1)*3+--MID(A49,6,1)*5+--MID(A49,7,1)*9+--MID(A49,8,1)*4+--MID(A49,9,1)*6+--MID(A49,10,1)*8, ""))</f>
        <v/>
      </c>
      <c r="I49">
        <f>IF(LEN(TRIM(A49))=12, --MID(A49,1,1)*3+--MID(A49,2,1)*7+--MID(A49,3,1)*2+--MID(A49,4,1)*4+--MID(A49,5,1)*10+--MID(A49,6,1)*3+--MID(A49,7,1)*5+--MID(A49,8,1)*9+--MID(A49,9,1)*4+--MID(A49,10,1)*6+--MID(A49,11,1)*8, "")</f>
        <v/>
      </c>
    </row>
    <row r="50">
      <c r="A50">
        <f>SUBSTITUTE(SUBSTITUTE(SUBSTITUTE(SUBSTITUTE(TRIM(INDEX(Реестр!$B:$B,ROW())),CHAR(160),""),CHAR(9),""),CHAR(10),""),CHAR(13),"")</f>
        <v/>
      </c>
      <c r="B50">
        <f>SUBSTITUTE(SUBSTITUTE(SUBSTITUTE(SUBSTITUTE(SUBSTITUTE(SUBSTITUTE(SUBSTITUTE(TRIM(INDEX(Реестр!$D:$D, ROW())), "-", ""), " ", ""), CHAR(160), ""), CHAR(9), ""), CHAR(10), ""), CHAR(13), ""), CHAR(32), "")</f>
        <v/>
      </c>
      <c r="C50">
        <f>INDEX(Реестр!$H:$H, ROW())</f>
        <v/>
      </c>
      <c r="D50">
        <f>IF(OR(ISBLANK(INDEX(Реестр!$B:$B, ROW())), INDEX(Реестр!$B:$B, ROW())=""), " ", IF(IFERROR(ISNUMBER(--A50),FALSE), IF(LEN(A50)=10, IF(MOD(MOD(H50,11),10)=--RIGHT(A50,1), "OK", "ОШИБКА"), IF(LEN(A50)=12, IF(AND(MOD(MOD(H50,11),10)=--MID(A50,11,1), MOD(MOD(I50,11),10)=--RIGHT(A50,1)), "OK", "ОШИБКА"), "ДЛИНА (10 или 12)")), "НЕ ЦИФРЫ"))</f>
        <v/>
      </c>
      <c r="E50">
        <f>MID(B50,1,1)*9+MID(B50,2,1)*8+MID(B50,3,1)*7+MID(B50,4,1)*6+MID(B50,5,1)*5+MID(B50,6,1)*4+MID(B50,7,1)*3+MID(B50,8,1)*2+MID(B50,9,1)</f>
        <v/>
      </c>
      <c r="F50">
        <f>IF(B50="", " ", IF(LEN(B50)&lt;&gt;11, "ДЛИНА", IF(NOT(ISNUMBER(--B50)), "НЕ ЦИФРЫ", IF(LEFT(B50,9)*1&lt;=1001998, "OK", IF(RIGHT(B50,2)*1=IF(MOD(E50,101)&gt;=100,0,MOD(E50,101)),"OK","ОШИБКА")))))</f>
        <v/>
      </c>
      <c r="G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">
        <f>IF(LEN(TRIM(A50))=10, --MID(A50,1,1)*2+--MID(A50,2,1)*4+--MID(A50,3,1)*10+--MID(A50,4,1)*3+--MID(A50,5,1)*5+--MID(A50,6,1)*9+--MID(A50,7,1)*4+--MID(A50,8,1)*6+--MID(A50,9,1)*8, IF(LEN(TRIM(A50))=12, --MID(A50,1,1)*7+--MID(A50,2,1)*2+--MID(A50,3,1)*4+--MID(A50,4,1)*10+--MID(A50,5,1)*3+--MID(A50,6,1)*5+--MID(A50,7,1)*9+--MID(A50,8,1)*4+--MID(A50,9,1)*6+--MID(A50,10,1)*8, ""))</f>
        <v/>
      </c>
      <c r="I50">
        <f>IF(LEN(TRIM(A50))=12, --MID(A50,1,1)*3+--MID(A50,2,1)*7+--MID(A50,3,1)*2+--MID(A50,4,1)*4+--MID(A50,5,1)*10+--MID(A50,6,1)*3+--MID(A50,7,1)*5+--MID(A50,8,1)*9+--MID(A50,9,1)*4+--MID(A50,10,1)*6+--MID(A50,11,1)*8, "")</f>
        <v/>
      </c>
    </row>
    <row r="51">
      <c r="A51">
        <f>SUBSTITUTE(SUBSTITUTE(SUBSTITUTE(SUBSTITUTE(TRIM(INDEX(Реестр!$B:$B,ROW())),CHAR(160),""),CHAR(9),""),CHAR(10),""),CHAR(13),"")</f>
        <v/>
      </c>
      <c r="B51">
        <f>SUBSTITUTE(SUBSTITUTE(SUBSTITUTE(SUBSTITUTE(SUBSTITUTE(SUBSTITUTE(SUBSTITUTE(TRIM(INDEX(Реестр!$D:$D, ROW())), "-", ""), " ", ""), CHAR(160), ""), CHAR(9), ""), CHAR(10), ""), CHAR(13), ""), CHAR(32), "")</f>
        <v/>
      </c>
      <c r="C51">
        <f>INDEX(Реестр!$H:$H, ROW())</f>
        <v/>
      </c>
      <c r="D51">
        <f>IF(OR(ISBLANK(INDEX(Реестр!$B:$B, ROW())), INDEX(Реестр!$B:$B, ROW())=""), " ", IF(IFERROR(ISNUMBER(--A51),FALSE), IF(LEN(A51)=10, IF(MOD(MOD(H51,11),10)=--RIGHT(A51,1), "OK", "ОШИБКА"), IF(LEN(A51)=12, IF(AND(MOD(MOD(H51,11),10)=--MID(A51,11,1), MOD(MOD(I51,11),10)=--RIGHT(A51,1)), "OK", "ОШИБКА"), "ДЛИНА (10 или 12)")), "НЕ ЦИФРЫ"))</f>
        <v/>
      </c>
      <c r="E51">
        <f>MID(B51,1,1)*9+MID(B51,2,1)*8+MID(B51,3,1)*7+MID(B51,4,1)*6+MID(B51,5,1)*5+MID(B51,6,1)*4+MID(B51,7,1)*3+MID(B51,8,1)*2+MID(B51,9,1)</f>
        <v/>
      </c>
      <c r="F51">
        <f>IF(B51="", " ", IF(LEN(B51)&lt;&gt;11, "ДЛИНА", IF(NOT(ISNUMBER(--B51)), "НЕ ЦИФРЫ", IF(LEFT(B51,9)*1&lt;=1001998, "OK", IF(RIGHT(B51,2)*1=IF(MOD(E51,101)&gt;=100,0,MOD(E51,101)),"OK","ОШИБКА")))))</f>
        <v/>
      </c>
      <c r="G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">
        <f>IF(LEN(TRIM(A51))=10, --MID(A51,1,1)*2+--MID(A51,2,1)*4+--MID(A51,3,1)*10+--MID(A51,4,1)*3+--MID(A51,5,1)*5+--MID(A51,6,1)*9+--MID(A51,7,1)*4+--MID(A51,8,1)*6+--MID(A51,9,1)*8, IF(LEN(TRIM(A51))=12, --MID(A51,1,1)*7+--MID(A51,2,1)*2+--MID(A51,3,1)*4+--MID(A51,4,1)*10+--MID(A51,5,1)*3+--MID(A51,6,1)*5+--MID(A51,7,1)*9+--MID(A51,8,1)*4+--MID(A51,9,1)*6+--MID(A51,10,1)*8, ""))</f>
        <v/>
      </c>
      <c r="I51">
        <f>IF(LEN(TRIM(A51))=12, --MID(A51,1,1)*3+--MID(A51,2,1)*7+--MID(A51,3,1)*2+--MID(A51,4,1)*4+--MID(A51,5,1)*10+--MID(A51,6,1)*3+--MID(A51,7,1)*5+--MID(A51,8,1)*9+--MID(A51,9,1)*4+--MID(A51,10,1)*6+--MID(A51,11,1)*8, "")</f>
        <v/>
      </c>
    </row>
    <row r="52">
      <c r="A52">
        <f>SUBSTITUTE(SUBSTITUTE(SUBSTITUTE(SUBSTITUTE(TRIM(INDEX(Реестр!$B:$B,ROW())),CHAR(160),""),CHAR(9),""),CHAR(10),""),CHAR(13),"")</f>
        <v/>
      </c>
      <c r="B52">
        <f>SUBSTITUTE(SUBSTITUTE(SUBSTITUTE(SUBSTITUTE(SUBSTITUTE(SUBSTITUTE(SUBSTITUTE(TRIM(INDEX(Реестр!$D:$D, ROW())), "-", ""), " ", ""), CHAR(160), ""), CHAR(9), ""), CHAR(10), ""), CHAR(13), ""), CHAR(32), "")</f>
        <v/>
      </c>
      <c r="C52">
        <f>INDEX(Реестр!$H:$H, ROW())</f>
        <v/>
      </c>
      <c r="D52">
        <f>IF(OR(ISBLANK(INDEX(Реестр!$B:$B, ROW())), INDEX(Реестр!$B:$B, ROW())=""), " ", IF(IFERROR(ISNUMBER(--A52),FALSE), IF(LEN(A52)=10, IF(MOD(MOD(H52,11),10)=--RIGHT(A52,1), "OK", "ОШИБКА"), IF(LEN(A52)=12, IF(AND(MOD(MOD(H52,11),10)=--MID(A52,11,1), MOD(MOD(I52,11),10)=--RIGHT(A52,1)), "OK", "ОШИБКА"), "ДЛИНА (10 или 12)")), "НЕ ЦИФРЫ"))</f>
        <v/>
      </c>
      <c r="E52">
        <f>MID(B52,1,1)*9+MID(B52,2,1)*8+MID(B52,3,1)*7+MID(B52,4,1)*6+MID(B52,5,1)*5+MID(B52,6,1)*4+MID(B52,7,1)*3+MID(B52,8,1)*2+MID(B52,9,1)</f>
        <v/>
      </c>
      <c r="F52">
        <f>IF(B52="", " ", IF(LEN(B52)&lt;&gt;11, "ДЛИНА", IF(NOT(ISNUMBER(--B52)), "НЕ ЦИФРЫ", IF(LEFT(B52,9)*1&lt;=1001998, "OK", IF(RIGHT(B52,2)*1=IF(MOD(E52,101)&gt;=100,0,MOD(E52,101)),"OK","ОШИБКА")))))</f>
        <v/>
      </c>
      <c r="G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">
        <f>IF(LEN(TRIM(A52))=10, --MID(A52,1,1)*2+--MID(A52,2,1)*4+--MID(A52,3,1)*10+--MID(A52,4,1)*3+--MID(A52,5,1)*5+--MID(A52,6,1)*9+--MID(A52,7,1)*4+--MID(A52,8,1)*6+--MID(A52,9,1)*8, IF(LEN(TRIM(A52))=12, --MID(A52,1,1)*7+--MID(A52,2,1)*2+--MID(A52,3,1)*4+--MID(A52,4,1)*10+--MID(A52,5,1)*3+--MID(A52,6,1)*5+--MID(A52,7,1)*9+--MID(A52,8,1)*4+--MID(A52,9,1)*6+--MID(A52,10,1)*8, ""))</f>
        <v/>
      </c>
      <c r="I52">
        <f>IF(LEN(TRIM(A52))=12, --MID(A52,1,1)*3+--MID(A52,2,1)*7+--MID(A52,3,1)*2+--MID(A52,4,1)*4+--MID(A52,5,1)*10+--MID(A52,6,1)*3+--MID(A52,7,1)*5+--MID(A52,8,1)*9+--MID(A52,9,1)*4+--MID(A52,10,1)*6+--MID(A52,11,1)*8, "")</f>
        <v/>
      </c>
    </row>
    <row r="53">
      <c r="A53">
        <f>SUBSTITUTE(SUBSTITUTE(SUBSTITUTE(SUBSTITUTE(TRIM(INDEX(Реестр!$B:$B,ROW())),CHAR(160),""),CHAR(9),""),CHAR(10),""),CHAR(13),"")</f>
        <v/>
      </c>
      <c r="B53">
        <f>SUBSTITUTE(SUBSTITUTE(SUBSTITUTE(SUBSTITUTE(SUBSTITUTE(SUBSTITUTE(SUBSTITUTE(TRIM(INDEX(Реестр!$D:$D, ROW())), "-", ""), " ", ""), CHAR(160), ""), CHAR(9), ""), CHAR(10), ""), CHAR(13), ""), CHAR(32), "")</f>
        <v/>
      </c>
      <c r="C53">
        <f>INDEX(Реестр!$H:$H, ROW())</f>
        <v/>
      </c>
      <c r="D53">
        <f>IF(OR(ISBLANK(INDEX(Реестр!$B:$B, ROW())), INDEX(Реестр!$B:$B, ROW())=""), " ", IF(IFERROR(ISNUMBER(--A53),FALSE), IF(LEN(A53)=10, IF(MOD(MOD(H53,11),10)=--RIGHT(A53,1), "OK", "ОШИБКА"), IF(LEN(A53)=12, IF(AND(MOD(MOD(H53,11),10)=--MID(A53,11,1), MOD(MOD(I53,11),10)=--RIGHT(A53,1)), "OK", "ОШИБКА"), "ДЛИНА (10 или 12)")), "НЕ ЦИФРЫ"))</f>
        <v/>
      </c>
      <c r="E53">
        <f>MID(B53,1,1)*9+MID(B53,2,1)*8+MID(B53,3,1)*7+MID(B53,4,1)*6+MID(B53,5,1)*5+MID(B53,6,1)*4+MID(B53,7,1)*3+MID(B53,8,1)*2+MID(B53,9,1)</f>
        <v/>
      </c>
      <c r="F53">
        <f>IF(B53="", " ", IF(LEN(B53)&lt;&gt;11, "ДЛИНА", IF(NOT(ISNUMBER(--B53)), "НЕ ЦИФРЫ", IF(LEFT(B53,9)*1&lt;=1001998, "OK", IF(RIGHT(B53,2)*1=IF(MOD(E53,101)&gt;=100,0,MOD(E53,101)),"OK","ОШИБКА")))))</f>
        <v/>
      </c>
      <c r="G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">
        <f>IF(LEN(TRIM(A53))=10, --MID(A53,1,1)*2+--MID(A53,2,1)*4+--MID(A53,3,1)*10+--MID(A53,4,1)*3+--MID(A53,5,1)*5+--MID(A53,6,1)*9+--MID(A53,7,1)*4+--MID(A53,8,1)*6+--MID(A53,9,1)*8, IF(LEN(TRIM(A53))=12, --MID(A53,1,1)*7+--MID(A53,2,1)*2+--MID(A53,3,1)*4+--MID(A53,4,1)*10+--MID(A53,5,1)*3+--MID(A53,6,1)*5+--MID(A53,7,1)*9+--MID(A53,8,1)*4+--MID(A53,9,1)*6+--MID(A53,10,1)*8, ""))</f>
        <v/>
      </c>
      <c r="I53">
        <f>IF(LEN(TRIM(A53))=12, --MID(A53,1,1)*3+--MID(A53,2,1)*7+--MID(A53,3,1)*2+--MID(A53,4,1)*4+--MID(A53,5,1)*10+--MID(A53,6,1)*3+--MID(A53,7,1)*5+--MID(A53,8,1)*9+--MID(A53,9,1)*4+--MID(A53,10,1)*6+--MID(A53,11,1)*8, "")</f>
        <v/>
      </c>
    </row>
    <row r="54">
      <c r="A54">
        <f>SUBSTITUTE(SUBSTITUTE(SUBSTITUTE(SUBSTITUTE(TRIM(INDEX(Реестр!$B:$B,ROW())),CHAR(160),""),CHAR(9),""),CHAR(10),""),CHAR(13),"")</f>
        <v/>
      </c>
      <c r="B54">
        <f>SUBSTITUTE(SUBSTITUTE(SUBSTITUTE(SUBSTITUTE(SUBSTITUTE(SUBSTITUTE(SUBSTITUTE(TRIM(INDEX(Реестр!$D:$D, ROW())), "-", ""), " ", ""), CHAR(160), ""), CHAR(9), ""), CHAR(10), ""), CHAR(13), ""), CHAR(32), "")</f>
        <v/>
      </c>
      <c r="C54">
        <f>INDEX(Реестр!$H:$H, ROW())</f>
        <v/>
      </c>
      <c r="D54">
        <f>IF(OR(ISBLANK(INDEX(Реестр!$B:$B, ROW())), INDEX(Реестр!$B:$B, ROW())=""), " ", IF(IFERROR(ISNUMBER(--A54),FALSE), IF(LEN(A54)=10, IF(MOD(MOD(H54,11),10)=--RIGHT(A54,1), "OK", "ОШИБКА"), IF(LEN(A54)=12, IF(AND(MOD(MOD(H54,11),10)=--MID(A54,11,1), MOD(MOD(I54,11),10)=--RIGHT(A54,1)), "OK", "ОШИБКА"), "ДЛИНА (10 или 12)")), "НЕ ЦИФРЫ"))</f>
        <v/>
      </c>
      <c r="E54">
        <f>MID(B54,1,1)*9+MID(B54,2,1)*8+MID(B54,3,1)*7+MID(B54,4,1)*6+MID(B54,5,1)*5+MID(B54,6,1)*4+MID(B54,7,1)*3+MID(B54,8,1)*2+MID(B54,9,1)</f>
        <v/>
      </c>
      <c r="F54">
        <f>IF(B54="", " ", IF(LEN(B54)&lt;&gt;11, "ДЛИНА", IF(NOT(ISNUMBER(--B54)), "НЕ ЦИФРЫ", IF(LEFT(B54,9)*1&lt;=1001998, "OK", IF(RIGHT(B54,2)*1=IF(MOD(E54,101)&gt;=100,0,MOD(E54,101)),"OK","ОШИБКА")))))</f>
        <v/>
      </c>
      <c r="G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">
        <f>IF(LEN(TRIM(A54))=10, --MID(A54,1,1)*2+--MID(A54,2,1)*4+--MID(A54,3,1)*10+--MID(A54,4,1)*3+--MID(A54,5,1)*5+--MID(A54,6,1)*9+--MID(A54,7,1)*4+--MID(A54,8,1)*6+--MID(A54,9,1)*8, IF(LEN(TRIM(A54))=12, --MID(A54,1,1)*7+--MID(A54,2,1)*2+--MID(A54,3,1)*4+--MID(A54,4,1)*10+--MID(A54,5,1)*3+--MID(A54,6,1)*5+--MID(A54,7,1)*9+--MID(A54,8,1)*4+--MID(A54,9,1)*6+--MID(A54,10,1)*8, ""))</f>
        <v/>
      </c>
      <c r="I54">
        <f>IF(LEN(TRIM(A54))=12, --MID(A54,1,1)*3+--MID(A54,2,1)*7+--MID(A54,3,1)*2+--MID(A54,4,1)*4+--MID(A54,5,1)*10+--MID(A54,6,1)*3+--MID(A54,7,1)*5+--MID(A54,8,1)*9+--MID(A54,9,1)*4+--MID(A54,10,1)*6+--MID(A54,11,1)*8, "")</f>
        <v/>
      </c>
    </row>
    <row r="55">
      <c r="A55">
        <f>SUBSTITUTE(SUBSTITUTE(SUBSTITUTE(SUBSTITUTE(TRIM(INDEX(Реестр!$B:$B,ROW())),CHAR(160),""),CHAR(9),""),CHAR(10),""),CHAR(13),"")</f>
        <v/>
      </c>
      <c r="B55">
        <f>SUBSTITUTE(SUBSTITUTE(SUBSTITUTE(SUBSTITUTE(SUBSTITUTE(SUBSTITUTE(SUBSTITUTE(TRIM(INDEX(Реестр!$D:$D, ROW())), "-", ""), " ", ""), CHAR(160), ""), CHAR(9), ""), CHAR(10), ""), CHAR(13), ""), CHAR(32), "")</f>
        <v/>
      </c>
      <c r="C55">
        <f>INDEX(Реестр!$H:$H, ROW())</f>
        <v/>
      </c>
      <c r="D55">
        <f>IF(OR(ISBLANK(INDEX(Реестр!$B:$B, ROW())), INDEX(Реестр!$B:$B, ROW())=""), " ", IF(IFERROR(ISNUMBER(--A55),FALSE), IF(LEN(A55)=10, IF(MOD(MOD(H55,11),10)=--RIGHT(A55,1), "OK", "ОШИБКА"), IF(LEN(A55)=12, IF(AND(MOD(MOD(H55,11),10)=--MID(A55,11,1), MOD(MOD(I55,11),10)=--RIGHT(A55,1)), "OK", "ОШИБКА"), "ДЛИНА (10 или 12)")), "НЕ ЦИФРЫ"))</f>
        <v/>
      </c>
      <c r="E55">
        <f>MID(B55,1,1)*9+MID(B55,2,1)*8+MID(B55,3,1)*7+MID(B55,4,1)*6+MID(B55,5,1)*5+MID(B55,6,1)*4+MID(B55,7,1)*3+MID(B55,8,1)*2+MID(B55,9,1)</f>
        <v/>
      </c>
      <c r="F55">
        <f>IF(B55="", " ", IF(LEN(B55)&lt;&gt;11, "ДЛИНА", IF(NOT(ISNUMBER(--B55)), "НЕ ЦИФРЫ", IF(LEFT(B55,9)*1&lt;=1001998, "OK", IF(RIGHT(B55,2)*1=IF(MOD(E55,101)&gt;=100,0,MOD(E55,101)),"OK","ОШИБКА")))))</f>
        <v/>
      </c>
      <c r="G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">
        <f>IF(LEN(TRIM(A55))=10, --MID(A55,1,1)*2+--MID(A55,2,1)*4+--MID(A55,3,1)*10+--MID(A55,4,1)*3+--MID(A55,5,1)*5+--MID(A55,6,1)*9+--MID(A55,7,1)*4+--MID(A55,8,1)*6+--MID(A55,9,1)*8, IF(LEN(TRIM(A55))=12, --MID(A55,1,1)*7+--MID(A55,2,1)*2+--MID(A55,3,1)*4+--MID(A55,4,1)*10+--MID(A55,5,1)*3+--MID(A55,6,1)*5+--MID(A55,7,1)*9+--MID(A55,8,1)*4+--MID(A55,9,1)*6+--MID(A55,10,1)*8, ""))</f>
        <v/>
      </c>
      <c r="I55">
        <f>IF(LEN(TRIM(A55))=12, --MID(A55,1,1)*3+--MID(A55,2,1)*7+--MID(A55,3,1)*2+--MID(A55,4,1)*4+--MID(A55,5,1)*10+--MID(A55,6,1)*3+--MID(A55,7,1)*5+--MID(A55,8,1)*9+--MID(A55,9,1)*4+--MID(A55,10,1)*6+--MID(A55,11,1)*8, "")</f>
        <v/>
      </c>
    </row>
    <row r="56">
      <c r="A56">
        <f>SUBSTITUTE(SUBSTITUTE(SUBSTITUTE(SUBSTITUTE(TRIM(INDEX(Реестр!$B:$B,ROW())),CHAR(160),""),CHAR(9),""),CHAR(10),""),CHAR(13),"")</f>
        <v/>
      </c>
      <c r="B56">
        <f>SUBSTITUTE(SUBSTITUTE(SUBSTITUTE(SUBSTITUTE(SUBSTITUTE(SUBSTITUTE(SUBSTITUTE(TRIM(INDEX(Реестр!$D:$D, ROW())), "-", ""), " ", ""), CHAR(160), ""), CHAR(9), ""), CHAR(10), ""), CHAR(13), ""), CHAR(32), "")</f>
        <v/>
      </c>
      <c r="C56">
        <f>INDEX(Реестр!$H:$H, ROW())</f>
        <v/>
      </c>
      <c r="D56">
        <f>IF(OR(ISBLANK(INDEX(Реестр!$B:$B, ROW())), INDEX(Реестр!$B:$B, ROW())=""), " ", IF(IFERROR(ISNUMBER(--A56),FALSE), IF(LEN(A56)=10, IF(MOD(MOD(H56,11),10)=--RIGHT(A56,1), "OK", "ОШИБКА"), IF(LEN(A56)=12, IF(AND(MOD(MOD(H56,11),10)=--MID(A56,11,1), MOD(MOD(I56,11),10)=--RIGHT(A56,1)), "OK", "ОШИБКА"), "ДЛИНА (10 или 12)")), "НЕ ЦИФРЫ"))</f>
        <v/>
      </c>
      <c r="E56">
        <f>MID(B56,1,1)*9+MID(B56,2,1)*8+MID(B56,3,1)*7+MID(B56,4,1)*6+MID(B56,5,1)*5+MID(B56,6,1)*4+MID(B56,7,1)*3+MID(B56,8,1)*2+MID(B56,9,1)</f>
        <v/>
      </c>
      <c r="F56">
        <f>IF(B56="", " ", IF(LEN(B56)&lt;&gt;11, "ДЛИНА", IF(NOT(ISNUMBER(--B56)), "НЕ ЦИФРЫ", IF(LEFT(B56,9)*1&lt;=1001998, "OK", IF(RIGHT(B56,2)*1=IF(MOD(E56,101)&gt;=100,0,MOD(E56,101)),"OK","ОШИБКА")))))</f>
        <v/>
      </c>
      <c r="G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">
        <f>IF(LEN(TRIM(A56))=10, --MID(A56,1,1)*2+--MID(A56,2,1)*4+--MID(A56,3,1)*10+--MID(A56,4,1)*3+--MID(A56,5,1)*5+--MID(A56,6,1)*9+--MID(A56,7,1)*4+--MID(A56,8,1)*6+--MID(A56,9,1)*8, IF(LEN(TRIM(A56))=12, --MID(A56,1,1)*7+--MID(A56,2,1)*2+--MID(A56,3,1)*4+--MID(A56,4,1)*10+--MID(A56,5,1)*3+--MID(A56,6,1)*5+--MID(A56,7,1)*9+--MID(A56,8,1)*4+--MID(A56,9,1)*6+--MID(A56,10,1)*8, ""))</f>
        <v/>
      </c>
      <c r="I56">
        <f>IF(LEN(TRIM(A56))=12, --MID(A56,1,1)*3+--MID(A56,2,1)*7+--MID(A56,3,1)*2+--MID(A56,4,1)*4+--MID(A56,5,1)*10+--MID(A56,6,1)*3+--MID(A56,7,1)*5+--MID(A56,8,1)*9+--MID(A56,9,1)*4+--MID(A56,10,1)*6+--MID(A56,11,1)*8, "")</f>
        <v/>
      </c>
    </row>
    <row r="57">
      <c r="A57">
        <f>SUBSTITUTE(SUBSTITUTE(SUBSTITUTE(SUBSTITUTE(TRIM(INDEX(Реестр!$B:$B,ROW())),CHAR(160),""),CHAR(9),""),CHAR(10),""),CHAR(13),"")</f>
        <v/>
      </c>
      <c r="B57">
        <f>SUBSTITUTE(SUBSTITUTE(SUBSTITUTE(SUBSTITUTE(SUBSTITUTE(SUBSTITUTE(SUBSTITUTE(TRIM(INDEX(Реестр!$D:$D, ROW())), "-", ""), " ", ""), CHAR(160), ""), CHAR(9), ""), CHAR(10), ""), CHAR(13), ""), CHAR(32), "")</f>
        <v/>
      </c>
      <c r="C57">
        <f>INDEX(Реестр!$H:$H, ROW())</f>
        <v/>
      </c>
      <c r="D57">
        <f>IF(OR(ISBLANK(INDEX(Реестр!$B:$B, ROW())), INDEX(Реестр!$B:$B, ROW())=""), " ", IF(IFERROR(ISNUMBER(--A57),FALSE), IF(LEN(A57)=10, IF(MOD(MOD(H57,11),10)=--RIGHT(A57,1), "OK", "ОШИБКА"), IF(LEN(A57)=12, IF(AND(MOD(MOD(H57,11),10)=--MID(A57,11,1), MOD(MOD(I57,11),10)=--RIGHT(A57,1)), "OK", "ОШИБКА"), "ДЛИНА (10 или 12)")), "НЕ ЦИФРЫ"))</f>
        <v/>
      </c>
      <c r="E57">
        <f>MID(B57,1,1)*9+MID(B57,2,1)*8+MID(B57,3,1)*7+MID(B57,4,1)*6+MID(B57,5,1)*5+MID(B57,6,1)*4+MID(B57,7,1)*3+MID(B57,8,1)*2+MID(B57,9,1)</f>
        <v/>
      </c>
      <c r="F57">
        <f>IF(B57="", " ", IF(LEN(B57)&lt;&gt;11, "ДЛИНА", IF(NOT(ISNUMBER(--B57)), "НЕ ЦИФРЫ", IF(LEFT(B57,9)*1&lt;=1001998, "OK", IF(RIGHT(B57,2)*1=IF(MOD(E57,101)&gt;=100,0,MOD(E57,101)),"OK","ОШИБКА")))))</f>
        <v/>
      </c>
      <c r="G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">
        <f>IF(LEN(TRIM(A57))=10, --MID(A57,1,1)*2+--MID(A57,2,1)*4+--MID(A57,3,1)*10+--MID(A57,4,1)*3+--MID(A57,5,1)*5+--MID(A57,6,1)*9+--MID(A57,7,1)*4+--MID(A57,8,1)*6+--MID(A57,9,1)*8, IF(LEN(TRIM(A57))=12, --MID(A57,1,1)*7+--MID(A57,2,1)*2+--MID(A57,3,1)*4+--MID(A57,4,1)*10+--MID(A57,5,1)*3+--MID(A57,6,1)*5+--MID(A57,7,1)*9+--MID(A57,8,1)*4+--MID(A57,9,1)*6+--MID(A57,10,1)*8, ""))</f>
        <v/>
      </c>
      <c r="I57">
        <f>IF(LEN(TRIM(A57))=12, --MID(A57,1,1)*3+--MID(A57,2,1)*7+--MID(A57,3,1)*2+--MID(A57,4,1)*4+--MID(A57,5,1)*10+--MID(A57,6,1)*3+--MID(A57,7,1)*5+--MID(A57,8,1)*9+--MID(A57,9,1)*4+--MID(A57,10,1)*6+--MID(A57,11,1)*8, "")</f>
        <v/>
      </c>
    </row>
    <row r="58">
      <c r="A58">
        <f>SUBSTITUTE(SUBSTITUTE(SUBSTITUTE(SUBSTITUTE(TRIM(INDEX(Реестр!$B:$B,ROW())),CHAR(160),""),CHAR(9),""),CHAR(10),""),CHAR(13),"")</f>
        <v/>
      </c>
      <c r="B58">
        <f>SUBSTITUTE(SUBSTITUTE(SUBSTITUTE(SUBSTITUTE(SUBSTITUTE(SUBSTITUTE(SUBSTITUTE(TRIM(INDEX(Реестр!$D:$D, ROW())), "-", ""), " ", ""), CHAR(160), ""), CHAR(9), ""), CHAR(10), ""), CHAR(13), ""), CHAR(32), "")</f>
        <v/>
      </c>
      <c r="C58">
        <f>INDEX(Реестр!$H:$H, ROW())</f>
        <v/>
      </c>
      <c r="D58">
        <f>IF(OR(ISBLANK(INDEX(Реестр!$B:$B, ROW())), INDEX(Реестр!$B:$B, ROW())=""), " ", IF(IFERROR(ISNUMBER(--A58),FALSE), IF(LEN(A58)=10, IF(MOD(MOD(H58,11),10)=--RIGHT(A58,1), "OK", "ОШИБКА"), IF(LEN(A58)=12, IF(AND(MOD(MOD(H58,11),10)=--MID(A58,11,1), MOD(MOD(I58,11),10)=--RIGHT(A58,1)), "OK", "ОШИБКА"), "ДЛИНА (10 или 12)")), "НЕ ЦИФРЫ"))</f>
        <v/>
      </c>
      <c r="E58">
        <f>MID(B58,1,1)*9+MID(B58,2,1)*8+MID(B58,3,1)*7+MID(B58,4,1)*6+MID(B58,5,1)*5+MID(B58,6,1)*4+MID(B58,7,1)*3+MID(B58,8,1)*2+MID(B58,9,1)</f>
        <v/>
      </c>
      <c r="F58">
        <f>IF(B58="", " ", IF(LEN(B58)&lt;&gt;11, "ДЛИНА", IF(NOT(ISNUMBER(--B58)), "НЕ ЦИФРЫ", IF(LEFT(B58,9)*1&lt;=1001998, "OK", IF(RIGHT(B58,2)*1=IF(MOD(E58,101)&gt;=100,0,MOD(E58,101)),"OK","ОШИБКА")))))</f>
        <v/>
      </c>
      <c r="G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">
        <f>IF(LEN(TRIM(A58))=10, --MID(A58,1,1)*2+--MID(A58,2,1)*4+--MID(A58,3,1)*10+--MID(A58,4,1)*3+--MID(A58,5,1)*5+--MID(A58,6,1)*9+--MID(A58,7,1)*4+--MID(A58,8,1)*6+--MID(A58,9,1)*8, IF(LEN(TRIM(A58))=12, --MID(A58,1,1)*7+--MID(A58,2,1)*2+--MID(A58,3,1)*4+--MID(A58,4,1)*10+--MID(A58,5,1)*3+--MID(A58,6,1)*5+--MID(A58,7,1)*9+--MID(A58,8,1)*4+--MID(A58,9,1)*6+--MID(A58,10,1)*8, ""))</f>
        <v/>
      </c>
      <c r="I58">
        <f>IF(LEN(TRIM(A58))=12, --MID(A58,1,1)*3+--MID(A58,2,1)*7+--MID(A58,3,1)*2+--MID(A58,4,1)*4+--MID(A58,5,1)*10+--MID(A58,6,1)*3+--MID(A58,7,1)*5+--MID(A58,8,1)*9+--MID(A58,9,1)*4+--MID(A58,10,1)*6+--MID(A58,11,1)*8, "")</f>
        <v/>
      </c>
    </row>
    <row r="59">
      <c r="A59">
        <f>SUBSTITUTE(SUBSTITUTE(SUBSTITUTE(SUBSTITUTE(TRIM(INDEX(Реестр!$B:$B,ROW())),CHAR(160),""),CHAR(9),""),CHAR(10),""),CHAR(13),"")</f>
        <v/>
      </c>
      <c r="B59">
        <f>SUBSTITUTE(SUBSTITUTE(SUBSTITUTE(SUBSTITUTE(SUBSTITUTE(SUBSTITUTE(SUBSTITUTE(TRIM(INDEX(Реестр!$D:$D, ROW())), "-", ""), " ", ""), CHAR(160), ""), CHAR(9), ""), CHAR(10), ""), CHAR(13), ""), CHAR(32), "")</f>
        <v/>
      </c>
      <c r="C59">
        <f>INDEX(Реестр!$H:$H, ROW())</f>
        <v/>
      </c>
      <c r="D59">
        <f>IF(OR(ISBLANK(INDEX(Реестр!$B:$B, ROW())), INDEX(Реестр!$B:$B, ROW())=""), " ", IF(IFERROR(ISNUMBER(--A59),FALSE), IF(LEN(A59)=10, IF(MOD(MOD(H59,11),10)=--RIGHT(A59,1), "OK", "ОШИБКА"), IF(LEN(A59)=12, IF(AND(MOD(MOD(H59,11),10)=--MID(A59,11,1), MOD(MOD(I59,11),10)=--RIGHT(A59,1)), "OK", "ОШИБКА"), "ДЛИНА (10 или 12)")), "НЕ ЦИФРЫ"))</f>
        <v/>
      </c>
      <c r="E59">
        <f>MID(B59,1,1)*9+MID(B59,2,1)*8+MID(B59,3,1)*7+MID(B59,4,1)*6+MID(B59,5,1)*5+MID(B59,6,1)*4+MID(B59,7,1)*3+MID(B59,8,1)*2+MID(B59,9,1)</f>
        <v/>
      </c>
      <c r="F59">
        <f>IF(B59="", " ", IF(LEN(B59)&lt;&gt;11, "ДЛИНА", IF(NOT(ISNUMBER(--B59)), "НЕ ЦИФРЫ", IF(LEFT(B59,9)*1&lt;=1001998, "OK", IF(RIGHT(B59,2)*1=IF(MOD(E59,101)&gt;=100,0,MOD(E59,101)),"OK","ОШИБКА")))))</f>
        <v/>
      </c>
      <c r="G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">
        <f>IF(LEN(TRIM(A59))=10, --MID(A59,1,1)*2+--MID(A59,2,1)*4+--MID(A59,3,1)*10+--MID(A59,4,1)*3+--MID(A59,5,1)*5+--MID(A59,6,1)*9+--MID(A59,7,1)*4+--MID(A59,8,1)*6+--MID(A59,9,1)*8, IF(LEN(TRIM(A59))=12, --MID(A59,1,1)*7+--MID(A59,2,1)*2+--MID(A59,3,1)*4+--MID(A59,4,1)*10+--MID(A59,5,1)*3+--MID(A59,6,1)*5+--MID(A59,7,1)*9+--MID(A59,8,1)*4+--MID(A59,9,1)*6+--MID(A59,10,1)*8, ""))</f>
        <v/>
      </c>
      <c r="I59">
        <f>IF(LEN(TRIM(A59))=12, --MID(A59,1,1)*3+--MID(A59,2,1)*7+--MID(A59,3,1)*2+--MID(A59,4,1)*4+--MID(A59,5,1)*10+--MID(A59,6,1)*3+--MID(A59,7,1)*5+--MID(A59,8,1)*9+--MID(A59,9,1)*4+--MID(A59,10,1)*6+--MID(A59,11,1)*8, "")</f>
        <v/>
      </c>
    </row>
    <row r="60">
      <c r="A60">
        <f>SUBSTITUTE(SUBSTITUTE(SUBSTITUTE(SUBSTITUTE(TRIM(INDEX(Реестр!$B:$B,ROW())),CHAR(160),""),CHAR(9),""),CHAR(10),""),CHAR(13),"")</f>
        <v/>
      </c>
      <c r="B60">
        <f>SUBSTITUTE(SUBSTITUTE(SUBSTITUTE(SUBSTITUTE(SUBSTITUTE(SUBSTITUTE(SUBSTITUTE(TRIM(INDEX(Реестр!$D:$D, ROW())), "-", ""), " ", ""), CHAR(160), ""), CHAR(9), ""), CHAR(10), ""), CHAR(13), ""), CHAR(32), "")</f>
        <v/>
      </c>
      <c r="C60">
        <f>INDEX(Реестр!$H:$H, ROW())</f>
        <v/>
      </c>
      <c r="D60">
        <f>IF(OR(ISBLANK(INDEX(Реестр!$B:$B, ROW())), INDEX(Реестр!$B:$B, ROW())=""), " ", IF(IFERROR(ISNUMBER(--A60),FALSE), IF(LEN(A60)=10, IF(MOD(MOD(H60,11),10)=--RIGHT(A60,1), "OK", "ОШИБКА"), IF(LEN(A60)=12, IF(AND(MOD(MOD(H60,11),10)=--MID(A60,11,1), MOD(MOD(I60,11),10)=--RIGHT(A60,1)), "OK", "ОШИБКА"), "ДЛИНА (10 или 12)")), "НЕ ЦИФРЫ"))</f>
        <v/>
      </c>
      <c r="E60">
        <f>MID(B60,1,1)*9+MID(B60,2,1)*8+MID(B60,3,1)*7+MID(B60,4,1)*6+MID(B60,5,1)*5+MID(B60,6,1)*4+MID(B60,7,1)*3+MID(B60,8,1)*2+MID(B60,9,1)</f>
        <v/>
      </c>
      <c r="F60">
        <f>IF(B60="", " ", IF(LEN(B60)&lt;&gt;11, "ДЛИНА", IF(NOT(ISNUMBER(--B60)), "НЕ ЦИФРЫ", IF(LEFT(B60,9)*1&lt;=1001998, "OK", IF(RIGHT(B60,2)*1=IF(MOD(E60,101)&gt;=100,0,MOD(E60,101)),"OK","ОШИБКА")))))</f>
        <v/>
      </c>
      <c r="G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">
        <f>IF(LEN(TRIM(A60))=10, --MID(A60,1,1)*2+--MID(A60,2,1)*4+--MID(A60,3,1)*10+--MID(A60,4,1)*3+--MID(A60,5,1)*5+--MID(A60,6,1)*9+--MID(A60,7,1)*4+--MID(A60,8,1)*6+--MID(A60,9,1)*8, IF(LEN(TRIM(A60))=12, --MID(A60,1,1)*7+--MID(A60,2,1)*2+--MID(A60,3,1)*4+--MID(A60,4,1)*10+--MID(A60,5,1)*3+--MID(A60,6,1)*5+--MID(A60,7,1)*9+--MID(A60,8,1)*4+--MID(A60,9,1)*6+--MID(A60,10,1)*8, ""))</f>
        <v/>
      </c>
      <c r="I60">
        <f>IF(LEN(TRIM(A60))=12, --MID(A60,1,1)*3+--MID(A60,2,1)*7+--MID(A60,3,1)*2+--MID(A60,4,1)*4+--MID(A60,5,1)*10+--MID(A60,6,1)*3+--MID(A60,7,1)*5+--MID(A60,8,1)*9+--MID(A60,9,1)*4+--MID(A60,10,1)*6+--MID(A60,11,1)*8, "")</f>
        <v/>
      </c>
    </row>
    <row r="61">
      <c r="A61">
        <f>SUBSTITUTE(SUBSTITUTE(SUBSTITUTE(SUBSTITUTE(TRIM(INDEX(Реестр!$B:$B,ROW())),CHAR(160),""),CHAR(9),""),CHAR(10),""),CHAR(13),"")</f>
        <v/>
      </c>
      <c r="B61">
        <f>SUBSTITUTE(SUBSTITUTE(SUBSTITUTE(SUBSTITUTE(SUBSTITUTE(SUBSTITUTE(SUBSTITUTE(TRIM(INDEX(Реестр!$D:$D, ROW())), "-", ""), " ", ""), CHAR(160), ""), CHAR(9), ""), CHAR(10), ""), CHAR(13), ""), CHAR(32), "")</f>
        <v/>
      </c>
      <c r="C61">
        <f>INDEX(Реестр!$H:$H, ROW())</f>
        <v/>
      </c>
      <c r="D61">
        <f>IF(OR(ISBLANK(INDEX(Реестр!$B:$B, ROW())), INDEX(Реестр!$B:$B, ROW())=""), " ", IF(IFERROR(ISNUMBER(--A61),FALSE), IF(LEN(A61)=10, IF(MOD(MOD(H61,11),10)=--RIGHT(A61,1), "OK", "ОШИБКА"), IF(LEN(A61)=12, IF(AND(MOD(MOD(H61,11),10)=--MID(A61,11,1), MOD(MOD(I61,11),10)=--RIGHT(A61,1)), "OK", "ОШИБКА"), "ДЛИНА (10 или 12)")), "НЕ ЦИФРЫ"))</f>
        <v/>
      </c>
      <c r="E61">
        <f>MID(B61,1,1)*9+MID(B61,2,1)*8+MID(B61,3,1)*7+MID(B61,4,1)*6+MID(B61,5,1)*5+MID(B61,6,1)*4+MID(B61,7,1)*3+MID(B61,8,1)*2+MID(B61,9,1)</f>
        <v/>
      </c>
      <c r="F61">
        <f>IF(B61="", " ", IF(LEN(B61)&lt;&gt;11, "ДЛИНА", IF(NOT(ISNUMBER(--B61)), "НЕ ЦИФРЫ", IF(LEFT(B61,9)*1&lt;=1001998, "OK", IF(RIGHT(B61,2)*1=IF(MOD(E61,101)&gt;=100,0,MOD(E61,101)),"OK","ОШИБКА")))))</f>
        <v/>
      </c>
      <c r="G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">
        <f>IF(LEN(TRIM(A61))=10, --MID(A61,1,1)*2+--MID(A61,2,1)*4+--MID(A61,3,1)*10+--MID(A61,4,1)*3+--MID(A61,5,1)*5+--MID(A61,6,1)*9+--MID(A61,7,1)*4+--MID(A61,8,1)*6+--MID(A61,9,1)*8, IF(LEN(TRIM(A61))=12, --MID(A61,1,1)*7+--MID(A61,2,1)*2+--MID(A61,3,1)*4+--MID(A61,4,1)*10+--MID(A61,5,1)*3+--MID(A61,6,1)*5+--MID(A61,7,1)*9+--MID(A61,8,1)*4+--MID(A61,9,1)*6+--MID(A61,10,1)*8, ""))</f>
        <v/>
      </c>
      <c r="I61">
        <f>IF(LEN(TRIM(A61))=12, --MID(A61,1,1)*3+--MID(A61,2,1)*7+--MID(A61,3,1)*2+--MID(A61,4,1)*4+--MID(A61,5,1)*10+--MID(A61,6,1)*3+--MID(A61,7,1)*5+--MID(A61,8,1)*9+--MID(A61,9,1)*4+--MID(A61,10,1)*6+--MID(A61,11,1)*8, "")</f>
        <v/>
      </c>
    </row>
    <row r="62">
      <c r="A62">
        <f>SUBSTITUTE(SUBSTITUTE(SUBSTITUTE(SUBSTITUTE(TRIM(INDEX(Реестр!$B:$B,ROW())),CHAR(160),""),CHAR(9),""),CHAR(10),""),CHAR(13),"")</f>
        <v/>
      </c>
      <c r="B62">
        <f>SUBSTITUTE(SUBSTITUTE(SUBSTITUTE(SUBSTITUTE(SUBSTITUTE(SUBSTITUTE(SUBSTITUTE(TRIM(INDEX(Реестр!$D:$D, ROW())), "-", ""), " ", ""), CHAR(160), ""), CHAR(9), ""), CHAR(10), ""), CHAR(13), ""), CHAR(32), "")</f>
        <v/>
      </c>
      <c r="C62">
        <f>INDEX(Реестр!$H:$H, ROW())</f>
        <v/>
      </c>
      <c r="D62">
        <f>IF(OR(ISBLANK(INDEX(Реестр!$B:$B, ROW())), INDEX(Реестр!$B:$B, ROW())=""), " ", IF(IFERROR(ISNUMBER(--A62),FALSE), IF(LEN(A62)=10, IF(MOD(MOD(H62,11),10)=--RIGHT(A62,1), "OK", "ОШИБКА"), IF(LEN(A62)=12, IF(AND(MOD(MOD(H62,11),10)=--MID(A62,11,1), MOD(MOD(I62,11),10)=--RIGHT(A62,1)), "OK", "ОШИБКА"), "ДЛИНА (10 или 12)")), "НЕ ЦИФРЫ"))</f>
        <v/>
      </c>
      <c r="E62">
        <f>MID(B62,1,1)*9+MID(B62,2,1)*8+MID(B62,3,1)*7+MID(B62,4,1)*6+MID(B62,5,1)*5+MID(B62,6,1)*4+MID(B62,7,1)*3+MID(B62,8,1)*2+MID(B62,9,1)</f>
        <v/>
      </c>
      <c r="F62">
        <f>IF(B62="", " ", IF(LEN(B62)&lt;&gt;11, "ДЛИНА", IF(NOT(ISNUMBER(--B62)), "НЕ ЦИФРЫ", IF(LEFT(B62,9)*1&lt;=1001998, "OK", IF(RIGHT(B62,2)*1=IF(MOD(E62,101)&gt;=100,0,MOD(E62,101)),"OK","ОШИБКА")))))</f>
        <v/>
      </c>
      <c r="G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">
        <f>IF(LEN(TRIM(A62))=10, --MID(A62,1,1)*2+--MID(A62,2,1)*4+--MID(A62,3,1)*10+--MID(A62,4,1)*3+--MID(A62,5,1)*5+--MID(A62,6,1)*9+--MID(A62,7,1)*4+--MID(A62,8,1)*6+--MID(A62,9,1)*8, IF(LEN(TRIM(A62))=12, --MID(A62,1,1)*7+--MID(A62,2,1)*2+--MID(A62,3,1)*4+--MID(A62,4,1)*10+--MID(A62,5,1)*3+--MID(A62,6,1)*5+--MID(A62,7,1)*9+--MID(A62,8,1)*4+--MID(A62,9,1)*6+--MID(A62,10,1)*8, ""))</f>
        <v/>
      </c>
      <c r="I62">
        <f>IF(LEN(TRIM(A62))=12, --MID(A62,1,1)*3+--MID(A62,2,1)*7+--MID(A62,3,1)*2+--MID(A62,4,1)*4+--MID(A62,5,1)*10+--MID(A62,6,1)*3+--MID(A62,7,1)*5+--MID(A62,8,1)*9+--MID(A62,9,1)*4+--MID(A62,10,1)*6+--MID(A62,11,1)*8, "")</f>
        <v/>
      </c>
    </row>
    <row r="63">
      <c r="A63">
        <f>SUBSTITUTE(SUBSTITUTE(SUBSTITUTE(SUBSTITUTE(TRIM(INDEX(Реестр!$B:$B,ROW())),CHAR(160),""),CHAR(9),""),CHAR(10),""),CHAR(13),"")</f>
        <v/>
      </c>
      <c r="B63">
        <f>SUBSTITUTE(SUBSTITUTE(SUBSTITUTE(SUBSTITUTE(SUBSTITUTE(SUBSTITUTE(SUBSTITUTE(TRIM(INDEX(Реестр!$D:$D, ROW())), "-", ""), " ", ""), CHAR(160), ""), CHAR(9), ""), CHAR(10), ""), CHAR(13), ""), CHAR(32), "")</f>
        <v/>
      </c>
      <c r="C63">
        <f>INDEX(Реестр!$H:$H, ROW())</f>
        <v/>
      </c>
      <c r="D63">
        <f>IF(OR(ISBLANK(INDEX(Реестр!$B:$B, ROW())), INDEX(Реестр!$B:$B, ROW())=""), " ", IF(IFERROR(ISNUMBER(--A63),FALSE), IF(LEN(A63)=10, IF(MOD(MOD(H63,11),10)=--RIGHT(A63,1), "OK", "ОШИБКА"), IF(LEN(A63)=12, IF(AND(MOD(MOD(H63,11),10)=--MID(A63,11,1), MOD(MOD(I63,11),10)=--RIGHT(A63,1)), "OK", "ОШИБКА"), "ДЛИНА (10 или 12)")), "НЕ ЦИФРЫ"))</f>
        <v/>
      </c>
      <c r="E63">
        <f>MID(B63,1,1)*9+MID(B63,2,1)*8+MID(B63,3,1)*7+MID(B63,4,1)*6+MID(B63,5,1)*5+MID(B63,6,1)*4+MID(B63,7,1)*3+MID(B63,8,1)*2+MID(B63,9,1)</f>
        <v/>
      </c>
      <c r="F63">
        <f>IF(B63="", " ", IF(LEN(B63)&lt;&gt;11, "ДЛИНА", IF(NOT(ISNUMBER(--B63)), "НЕ ЦИФРЫ", IF(LEFT(B63,9)*1&lt;=1001998, "OK", IF(RIGHT(B63,2)*1=IF(MOD(E63,101)&gt;=100,0,MOD(E63,101)),"OK","ОШИБКА")))))</f>
        <v/>
      </c>
      <c r="G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">
        <f>IF(LEN(TRIM(A63))=10, --MID(A63,1,1)*2+--MID(A63,2,1)*4+--MID(A63,3,1)*10+--MID(A63,4,1)*3+--MID(A63,5,1)*5+--MID(A63,6,1)*9+--MID(A63,7,1)*4+--MID(A63,8,1)*6+--MID(A63,9,1)*8, IF(LEN(TRIM(A63))=12, --MID(A63,1,1)*7+--MID(A63,2,1)*2+--MID(A63,3,1)*4+--MID(A63,4,1)*10+--MID(A63,5,1)*3+--MID(A63,6,1)*5+--MID(A63,7,1)*9+--MID(A63,8,1)*4+--MID(A63,9,1)*6+--MID(A63,10,1)*8, ""))</f>
        <v/>
      </c>
      <c r="I63">
        <f>IF(LEN(TRIM(A63))=12, --MID(A63,1,1)*3+--MID(A63,2,1)*7+--MID(A63,3,1)*2+--MID(A63,4,1)*4+--MID(A63,5,1)*10+--MID(A63,6,1)*3+--MID(A63,7,1)*5+--MID(A63,8,1)*9+--MID(A63,9,1)*4+--MID(A63,10,1)*6+--MID(A63,11,1)*8, "")</f>
        <v/>
      </c>
    </row>
    <row r="64">
      <c r="A64">
        <f>SUBSTITUTE(SUBSTITUTE(SUBSTITUTE(SUBSTITUTE(TRIM(INDEX(Реестр!$B:$B,ROW())),CHAR(160),""),CHAR(9),""),CHAR(10),""),CHAR(13),"")</f>
        <v/>
      </c>
      <c r="B64">
        <f>SUBSTITUTE(SUBSTITUTE(SUBSTITUTE(SUBSTITUTE(SUBSTITUTE(SUBSTITUTE(SUBSTITUTE(TRIM(INDEX(Реестр!$D:$D, ROW())), "-", ""), " ", ""), CHAR(160), ""), CHAR(9), ""), CHAR(10), ""), CHAR(13), ""), CHAR(32), "")</f>
        <v/>
      </c>
      <c r="C64">
        <f>INDEX(Реестр!$H:$H, ROW())</f>
        <v/>
      </c>
      <c r="D64">
        <f>IF(OR(ISBLANK(INDEX(Реестр!$B:$B, ROW())), INDEX(Реестр!$B:$B, ROW())=""), " ", IF(IFERROR(ISNUMBER(--A64),FALSE), IF(LEN(A64)=10, IF(MOD(MOD(H64,11),10)=--RIGHT(A64,1), "OK", "ОШИБКА"), IF(LEN(A64)=12, IF(AND(MOD(MOD(H64,11),10)=--MID(A64,11,1), MOD(MOD(I64,11),10)=--RIGHT(A64,1)), "OK", "ОШИБКА"), "ДЛИНА (10 или 12)")), "НЕ ЦИФРЫ"))</f>
        <v/>
      </c>
      <c r="E64">
        <f>MID(B64,1,1)*9+MID(B64,2,1)*8+MID(B64,3,1)*7+MID(B64,4,1)*6+MID(B64,5,1)*5+MID(B64,6,1)*4+MID(B64,7,1)*3+MID(B64,8,1)*2+MID(B64,9,1)</f>
        <v/>
      </c>
      <c r="F64">
        <f>IF(B64="", " ", IF(LEN(B64)&lt;&gt;11, "ДЛИНА", IF(NOT(ISNUMBER(--B64)), "НЕ ЦИФРЫ", IF(LEFT(B64,9)*1&lt;=1001998, "OK", IF(RIGHT(B64,2)*1=IF(MOD(E64,101)&gt;=100,0,MOD(E64,101)),"OK","ОШИБКА")))))</f>
        <v/>
      </c>
      <c r="G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">
        <f>IF(LEN(TRIM(A64))=10, --MID(A64,1,1)*2+--MID(A64,2,1)*4+--MID(A64,3,1)*10+--MID(A64,4,1)*3+--MID(A64,5,1)*5+--MID(A64,6,1)*9+--MID(A64,7,1)*4+--MID(A64,8,1)*6+--MID(A64,9,1)*8, IF(LEN(TRIM(A64))=12, --MID(A64,1,1)*7+--MID(A64,2,1)*2+--MID(A64,3,1)*4+--MID(A64,4,1)*10+--MID(A64,5,1)*3+--MID(A64,6,1)*5+--MID(A64,7,1)*9+--MID(A64,8,1)*4+--MID(A64,9,1)*6+--MID(A64,10,1)*8, ""))</f>
        <v/>
      </c>
      <c r="I64">
        <f>IF(LEN(TRIM(A64))=12, --MID(A64,1,1)*3+--MID(A64,2,1)*7+--MID(A64,3,1)*2+--MID(A64,4,1)*4+--MID(A64,5,1)*10+--MID(A64,6,1)*3+--MID(A64,7,1)*5+--MID(A64,8,1)*9+--MID(A64,9,1)*4+--MID(A64,10,1)*6+--MID(A64,11,1)*8, "")</f>
        <v/>
      </c>
    </row>
    <row r="65">
      <c r="A65">
        <f>SUBSTITUTE(SUBSTITUTE(SUBSTITUTE(SUBSTITUTE(TRIM(INDEX(Реестр!$B:$B,ROW())),CHAR(160),""),CHAR(9),""),CHAR(10),""),CHAR(13),"")</f>
        <v/>
      </c>
      <c r="B65">
        <f>SUBSTITUTE(SUBSTITUTE(SUBSTITUTE(SUBSTITUTE(SUBSTITUTE(SUBSTITUTE(SUBSTITUTE(TRIM(INDEX(Реестр!$D:$D, ROW())), "-", ""), " ", ""), CHAR(160), ""), CHAR(9), ""), CHAR(10), ""), CHAR(13), ""), CHAR(32), "")</f>
        <v/>
      </c>
      <c r="C65">
        <f>INDEX(Реестр!$H:$H, ROW())</f>
        <v/>
      </c>
      <c r="D65">
        <f>IF(OR(ISBLANK(INDEX(Реестр!$B:$B, ROW())), INDEX(Реестр!$B:$B, ROW())=""), " ", IF(IFERROR(ISNUMBER(--A65),FALSE), IF(LEN(A65)=10, IF(MOD(MOD(H65,11),10)=--RIGHT(A65,1), "OK", "ОШИБКА"), IF(LEN(A65)=12, IF(AND(MOD(MOD(H65,11),10)=--MID(A65,11,1), MOD(MOD(I65,11),10)=--RIGHT(A65,1)), "OK", "ОШИБКА"), "ДЛИНА (10 или 12)")), "НЕ ЦИФРЫ"))</f>
        <v/>
      </c>
      <c r="E65">
        <f>MID(B65,1,1)*9+MID(B65,2,1)*8+MID(B65,3,1)*7+MID(B65,4,1)*6+MID(B65,5,1)*5+MID(B65,6,1)*4+MID(B65,7,1)*3+MID(B65,8,1)*2+MID(B65,9,1)</f>
        <v/>
      </c>
      <c r="F65">
        <f>IF(B65="", " ", IF(LEN(B65)&lt;&gt;11, "ДЛИНА", IF(NOT(ISNUMBER(--B65)), "НЕ ЦИФРЫ", IF(LEFT(B65,9)*1&lt;=1001998, "OK", IF(RIGHT(B65,2)*1=IF(MOD(E65,101)&gt;=100,0,MOD(E65,101)),"OK","ОШИБКА")))))</f>
        <v/>
      </c>
      <c r="G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">
        <f>IF(LEN(TRIM(A65))=10, --MID(A65,1,1)*2+--MID(A65,2,1)*4+--MID(A65,3,1)*10+--MID(A65,4,1)*3+--MID(A65,5,1)*5+--MID(A65,6,1)*9+--MID(A65,7,1)*4+--MID(A65,8,1)*6+--MID(A65,9,1)*8, IF(LEN(TRIM(A65))=12, --MID(A65,1,1)*7+--MID(A65,2,1)*2+--MID(A65,3,1)*4+--MID(A65,4,1)*10+--MID(A65,5,1)*3+--MID(A65,6,1)*5+--MID(A65,7,1)*9+--MID(A65,8,1)*4+--MID(A65,9,1)*6+--MID(A65,10,1)*8, ""))</f>
        <v/>
      </c>
      <c r="I65">
        <f>IF(LEN(TRIM(A65))=12, --MID(A65,1,1)*3+--MID(A65,2,1)*7+--MID(A65,3,1)*2+--MID(A65,4,1)*4+--MID(A65,5,1)*10+--MID(A65,6,1)*3+--MID(A65,7,1)*5+--MID(A65,8,1)*9+--MID(A65,9,1)*4+--MID(A65,10,1)*6+--MID(A65,11,1)*8, "")</f>
        <v/>
      </c>
    </row>
    <row r="66">
      <c r="A66">
        <f>SUBSTITUTE(SUBSTITUTE(SUBSTITUTE(SUBSTITUTE(TRIM(INDEX(Реестр!$B:$B,ROW())),CHAR(160),""),CHAR(9),""),CHAR(10),""),CHAR(13),"")</f>
        <v/>
      </c>
      <c r="B66">
        <f>SUBSTITUTE(SUBSTITUTE(SUBSTITUTE(SUBSTITUTE(SUBSTITUTE(SUBSTITUTE(SUBSTITUTE(TRIM(INDEX(Реестр!$D:$D, ROW())), "-", ""), " ", ""), CHAR(160), ""), CHAR(9), ""), CHAR(10), ""), CHAR(13), ""), CHAR(32), "")</f>
        <v/>
      </c>
      <c r="C66">
        <f>INDEX(Реестр!$H:$H, ROW())</f>
        <v/>
      </c>
      <c r="D66">
        <f>IF(OR(ISBLANK(INDEX(Реестр!$B:$B, ROW())), INDEX(Реестр!$B:$B, ROW())=""), " ", IF(IFERROR(ISNUMBER(--A66),FALSE), IF(LEN(A66)=10, IF(MOD(MOD(H66,11),10)=--RIGHT(A66,1), "OK", "ОШИБКА"), IF(LEN(A66)=12, IF(AND(MOD(MOD(H66,11),10)=--MID(A66,11,1), MOD(MOD(I66,11),10)=--RIGHT(A66,1)), "OK", "ОШИБКА"), "ДЛИНА (10 или 12)")), "НЕ ЦИФРЫ"))</f>
        <v/>
      </c>
      <c r="E66">
        <f>MID(B66,1,1)*9+MID(B66,2,1)*8+MID(B66,3,1)*7+MID(B66,4,1)*6+MID(B66,5,1)*5+MID(B66,6,1)*4+MID(B66,7,1)*3+MID(B66,8,1)*2+MID(B66,9,1)</f>
        <v/>
      </c>
      <c r="F66">
        <f>IF(B66="", " ", IF(LEN(B66)&lt;&gt;11, "ДЛИНА", IF(NOT(ISNUMBER(--B66)), "НЕ ЦИФРЫ", IF(LEFT(B66,9)*1&lt;=1001998, "OK", IF(RIGHT(B66,2)*1=IF(MOD(E66,101)&gt;=100,0,MOD(E66,101)),"OK","ОШИБКА")))))</f>
        <v/>
      </c>
      <c r="G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">
        <f>IF(LEN(TRIM(A66))=10, --MID(A66,1,1)*2+--MID(A66,2,1)*4+--MID(A66,3,1)*10+--MID(A66,4,1)*3+--MID(A66,5,1)*5+--MID(A66,6,1)*9+--MID(A66,7,1)*4+--MID(A66,8,1)*6+--MID(A66,9,1)*8, IF(LEN(TRIM(A66))=12, --MID(A66,1,1)*7+--MID(A66,2,1)*2+--MID(A66,3,1)*4+--MID(A66,4,1)*10+--MID(A66,5,1)*3+--MID(A66,6,1)*5+--MID(A66,7,1)*9+--MID(A66,8,1)*4+--MID(A66,9,1)*6+--MID(A66,10,1)*8, ""))</f>
        <v/>
      </c>
      <c r="I66">
        <f>IF(LEN(TRIM(A66))=12, --MID(A66,1,1)*3+--MID(A66,2,1)*7+--MID(A66,3,1)*2+--MID(A66,4,1)*4+--MID(A66,5,1)*10+--MID(A66,6,1)*3+--MID(A66,7,1)*5+--MID(A66,8,1)*9+--MID(A66,9,1)*4+--MID(A66,10,1)*6+--MID(A66,11,1)*8, "")</f>
        <v/>
      </c>
    </row>
    <row r="67">
      <c r="A67">
        <f>SUBSTITUTE(SUBSTITUTE(SUBSTITUTE(SUBSTITUTE(TRIM(INDEX(Реестр!$B:$B,ROW())),CHAR(160),""),CHAR(9),""),CHAR(10),""),CHAR(13),"")</f>
        <v/>
      </c>
      <c r="B67">
        <f>SUBSTITUTE(SUBSTITUTE(SUBSTITUTE(SUBSTITUTE(SUBSTITUTE(SUBSTITUTE(SUBSTITUTE(TRIM(INDEX(Реестр!$D:$D, ROW())), "-", ""), " ", ""), CHAR(160), ""), CHAR(9), ""), CHAR(10), ""), CHAR(13), ""), CHAR(32), "")</f>
        <v/>
      </c>
      <c r="C67">
        <f>INDEX(Реестр!$H:$H, ROW())</f>
        <v/>
      </c>
      <c r="D67">
        <f>IF(OR(ISBLANK(INDEX(Реестр!$B:$B, ROW())), INDEX(Реестр!$B:$B, ROW())=""), " ", IF(IFERROR(ISNUMBER(--A67),FALSE), IF(LEN(A67)=10, IF(MOD(MOD(H67,11),10)=--RIGHT(A67,1), "OK", "ОШИБКА"), IF(LEN(A67)=12, IF(AND(MOD(MOD(H67,11),10)=--MID(A67,11,1), MOD(MOD(I67,11),10)=--RIGHT(A67,1)), "OK", "ОШИБКА"), "ДЛИНА (10 или 12)")), "НЕ ЦИФРЫ"))</f>
        <v/>
      </c>
      <c r="E67">
        <f>MID(B67,1,1)*9+MID(B67,2,1)*8+MID(B67,3,1)*7+MID(B67,4,1)*6+MID(B67,5,1)*5+MID(B67,6,1)*4+MID(B67,7,1)*3+MID(B67,8,1)*2+MID(B67,9,1)</f>
        <v/>
      </c>
      <c r="F67">
        <f>IF(B67="", " ", IF(LEN(B67)&lt;&gt;11, "ДЛИНА", IF(NOT(ISNUMBER(--B67)), "НЕ ЦИФРЫ", IF(LEFT(B67,9)*1&lt;=1001998, "OK", IF(RIGHT(B67,2)*1=IF(MOD(E67,101)&gt;=100,0,MOD(E67,101)),"OK","ОШИБКА")))))</f>
        <v/>
      </c>
      <c r="G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">
        <f>IF(LEN(TRIM(A67))=10, --MID(A67,1,1)*2+--MID(A67,2,1)*4+--MID(A67,3,1)*10+--MID(A67,4,1)*3+--MID(A67,5,1)*5+--MID(A67,6,1)*9+--MID(A67,7,1)*4+--MID(A67,8,1)*6+--MID(A67,9,1)*8, IF(LEN(TRIM(A67))=12, --MID(A67,1,1)*7+--MID(A67,2,1)*2+--MID(A67,3,1)*4+--MID(A67,4,1)*10+--MID(A67,5,1)*3+--MID(A67,6,1)*5+--MID(A67,7,1)*9+--MID(A67,8,1)*4+--MID(A67,9,1)*6+--MID(A67,10,1)*8, ""))</f>
        <v/>
      </c>
      <c r="I67">
        <f>IF(LEN(TRIM(A67))=12, --MID(A67,1,1)*3+--MID(A67,2,1)*7+--MID(A67,3,1)*2+--MID(A67,4,1)*4+--MID(A67,5,1)*10+--MID(A67,6,1)*3+--MID(A67,7,1)*5+--MID(A67,8,1)*9+--MID(A67,9,1)*4+--MID(A67,10,1)*6+--MID(A67,11,1)*8, "")</f>
        <v/>
      </c>
    </row>
    <row r="68">
      <c r="A68">
        <f>SUBSTITUTE(SUBSTITUTE(SUBSTITUTE(SUBSTITUTE(TRIM(INDEX(Реестр!$B:$B,ROW())),CHAR(160),""),CHAR(9),""),CHAR(10),""),CHAR(13),"")</f>
        <v/>
      </c>
      <c r="B68">
        <f>SUBSTITUTE(SUBSTITUTE(SUBSTITUTE(SUBSTITUTE(SUBSTITUTE(SUBSTITUTE(SUBSTITUTE(TRIM(INDEX(Реестр!$D:$D, ROW())), "-", ""), " ", ""), CHAR(160), ""), CHAR(9), ""), CHAR(10), ""), CHAR(13), ""), CHAR(32), "")</f>
        <v/>
      </c>
      <c r="C68">
        <f>INDEX(Реестр!$H:$H, ROW())</f>
        <v/>
      </c>
      <c r="D68">
        <f>IF(OR(ISBLANK(INDEX(Реестр!$B:$B, ROW())), INDEX(Реестр!$B:$B, ROW())=""), " ", IF(IFERROR(ISNUMBER(--A68),FALSE), IF(LEN(A68)=10, IF(MOD(MOD(H68,11),10)=--RIGHT(A68,1), "OK", "ОШИБКА"), IF(LEN(A68)=12, IF(AND(MOD(MOD(H68,11),10)=--MID(A68,11,1), MOD(MOD(I68,11),10)=--RIGHT(A68,1)), "OK", "ОШИБКА"), "ДЛИНА (10 или 12)")), "НЕ ЦИФРЫ"))</f>
        <v/>
      </c>
      <c r="E68">
        <f>MID(B68,1,1)*9+MID(B68,2,1)*8+MID(B68,3,1)*7+MID(B68,4,1)*6+MID(B68,5,1)*5+MID(B68,6,1)*4+MID(B68,7,1)*3+MID(B68,8,1)*2+MID(B68,9,1)</f>
        <v/>
      </c>
      <c r="F68">
        <f>IF(B68="", " ", IF(LEN(B68)&lt;&gt;11, "ДЛИНА", IF(NOT(ISNUMBER(--B68)), "НЕ ЦИФРЫ", IF(LEFT(B68,9)*1&lt;=1001998, "OK", IF(RIGHT(B68,2)*1=IF(MOD(E68,101)&gt;=100,0,MOD(E68,101)),"OK","ОШИБКА")))))</f>
        <v/>
      </c>
      <c r="G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">
        <f>IF(LEN(TRIM(A68))=10, --MID(A68,1,1)*2+--MID(A68,2,1)*4+--MID(A68,3,1)*10+--MID(A68,4,1)*3+--MID(A68,5,1)*5+--MID(A68,6,1)*9+--MID(A68,7,1)*4+--MID(A68,8,1)*6+--MID(A68,9,1)*8, IF(LEN(TRIM(A68))=12, --MID(A68,1,1)*7+--MID(A68,2,1)*2+--MID(A68,3,1)*4+--MID(A68,4,1)*10+--MID(A68,5,1)*3+--MID(A68,6,1)*5+--MID(A68,7,1)*9+--MID(A68,8,1)*4+--MID(A68,9,1)*6+--MID(A68,10,1)*8, ""))</f>
        <v/>
      </c>
      <c r="I68">
        <f>IF(LEN(TRIM(A68))=12, --MID(A68,1,1)*3+--MID(A68,2,1)*7+--MID(A68,3,1)*2+--MID(A68,4,1)*4+--MID(A68,5,1)*10+--MID(A68,6,1)*3+--MID(A68,7,1)*5+--MID(A68,8,1)*9+--MID(A68,9,1)*4+--MID(A68,10,1)*6+--MID(A68,11,1)*8, "")</f>
        <v/>
      </c>
    </row>
    <row r="69">
      <c r="A69">
        <f>SUBSTITUTE(SUBSTITUTE(SUBSTITUTE(SUBSTITUTE(TRIM(INDEX(Реестр!$B:$B,ROW())),CHAR(160),""),CHAR(9),""),CHAR(10),""),CHAR(13),"")</f>
        <v/>
      </c>
      <c r="B69">
        <f>SUBSTITUTE(SUBSTITUTE(SUBSTITUTE(SUBSTITUTE(SUBSTITUTE(SUBSTITUTE(SUBSTITUTE(TRIM(INDEX(Реестр!$D:$D, ROW())), "-", ""), " ", ""), CHAR(160), ""), CHAR(9), ""), CHAR(10), ""), CHAR(13), ""), CHAR(32), "")</f>
        <v/>
      </c>
      <c r="C69">
        <f>INDEX(Реестр!$H:$H, ROW())</f>
        <v/>
      </c>
      <c r="D69">
        <f>IF(OR(ISBLANK(INDEX(Реестр!$B:$B, ROW())), INDEX(Реестр!$B:$B, ROW())=""), " ", IF(IFERROR(ISNUMBER(--A69),FALSE), IF(LEN(A69)=10, IF(MOD(MOD(H69,11),10)=--RIGHT(A69,1), "OK", "ОШИБКА"), IF(LEN(A69)=12, IF(AND(MOD(MOD(H69,11),10)=--MID(A69,11,1), MOD(MOD(I69,11),10)=--RIGHT(A69,1)), "OK", "ОШИБКА"), "ДЛИНА (10 или 12)")), "НЕ ЦИФРЫ"))</f>
        <v/>
      </c>
      <c r="E69">
        <f>MID(B69,1,1)*9+MID(B69,2,1)*8+MID(B69,3,1)*7+MID(B69,4,1)*6+MID(B69,5,1)*5+MID(B69,6,1)*4+MID(B69,7,1)*3+MID(B69,8,1)*2+MID(B69,9,1)</f>
        <v/>
      </c>
      <c r="F69">
        <f>IF(B69="", " ", IF(LEN(B69)&lt;&gt;11, "ДЛИНА", IF(NOT(ISNUMBER(--B69)), "НЕ ЦИФРЫ", IF(LEFT(B69,9)*1&lt;=1001998, "OK", IF(RIGHT(B69,2)*1=IF(MOD(E69,101)&gt;=100,0,MOD(E69,101)),"OK","ОШИБКА")))))</f>
        <v/>
      </c>
      <c r="G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">
        <f>IF(LEN(TRIM(A69))=10, --MID(A69,1,1)*2+--MID(A69,2,1)*4+--MID(A69,3,1)*10+--MID(A69,4,1)*3+--MID(A69,5,1)*5+--MID(A69,6,1)*9+--MID(A69,7,1)*4+--MID(A69,8,1)*6+--MID(A69,9,1)*8, IF(LEN(TRIM(A69))=12, --MID(A69,1,1)*7+--MID(A69,2,1)*2+--MID(A69,3,1)*4+--MID(A69,4,1)*10+--MID(A69,5,1)*3+--MID(A69,6,1)*5+--MID(A69,7,1)*9+--MID(A69,8,1)*4+--MID(A69,9,1)*6+--MID(A69,10,1)*8, ""))</f>
        <v/>
      </c>
      <c r="I69">
        <f>IF(LEN(TRIM(A69))=12, --MID(A69,1,1)*3+--MID(A69,2,1)*7+--MID(A69,3,1)*2+--MID(A69,4,1)*4+--MID(A69,5,1)*10+--MID(A69,6,1)*3+--MID(A69,7,1)*5+--MID(A69,8,1)*9+--MID(A69,9,1)*4+--MID(A69,10,1)*6+--MID(A69,11,1)*8, "")</f>
        <v/>
      </c>
    </row>
    <row r="70">
      <c r="A70">
        <f>SUBSTITUTE(SUBSTITUTE(SUBSTITUTE(SUBSTITUTE(TRIM(INDEX(Реестр!$B:$B,ROW())),CHAR(160),""),CHAR(9),""),CHAR(10),""),CHAR(13),"")</f>
        <v/>
      </c>
      <c r="B70">
        <f>SUBSTITUTE(SUBSTITUTE(SUBSTITUTE(SUBSTITUTE(SUBSTITUTE(SUBSTITUTE(SUBSTITUTE(TRIM(INDEX(Реестр!$D:$D, ROW())), "-", ""), " ", ""), CHAR(160), ""), CHAR(9), ""), CHAR(10), ""), CHAR(13), ""), CHAR(32), "")</f>
        <v/>
      </c>
      <c r="C70">
        <f>INDEX(Реестр!$H:$H, ROW())</f>
        <v/>
      </c>
      <c r="D70">
        <f>IF(OR(ISBLANK(INDEX(Реестр!$B:$B, ROW())), INDEX(Реестр!$B:$B, ROW())=""), " ", IF(IFERROR(ISNUMBER(--A70),FALSE), IF(LEN(A70)=10, IF(MOD(MOD(H70,11),10)=--RIGHT(A70,1), "OK", "ОШИБКА"), IF(LEN(A70)=12, IF(AND(MOD(MOD(H70,11),10)=--MID(A70,11,1), MOD(MOD(I70,11),10)=--RIGHT(A70,1)), "OK", "ОШИБКА"), "ДЛИНА (10 или 12)")), "НЕ ЦИФРЫ"))</f>
        <v/>
      </c>
      <c r="E70">
        <f>MID(B70,1,1)*9+MID(B70,2,1)*8+MID(B70,3,1)*7+MID(B70,4,1)*6+MID(B70,5,1)*5+MID(B70,6,1)*4+MID(B70,7,1)*3+MID(B70,8,1)*2+MID(B70,9,1)</f>
        <v/>
      </c>
      <c r="F70">
        <f>IF(B70="", " ", IF(LEN(B70)&lt;&gt;11, "ДЛИНА", IF(NOT(ISNUMBER(--B70)), "НЕ ЦИФРЫ", IF(LEFT(B70,9)*1&lt;=1001998, "OK", IF(RIGHT(B70,2)*1=IF(MOD(E70,101)&gt;=100,0,MOD(E70,101)),"OK","ОШИБКА")))))</f>
        <v/>
      </c>
      <c r="G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">
        <f>IF(LEN(TRIM(A70))=10, --MID(A70,1,1)*2+--MID(A70,2,1)*4+--MID(A70,3,1)*10+--MID(A70,4,1)*3+--MID(A70,5,1)*5+--MID(A70,6,1)*9+--MID(A70,7,1)*4+--MID(A70,8,1)*6+--MID(A70,9,1)*8, IF(LEN(TRIM(A70))=12, --MID(A70,1,1)*7+--MID(A70,2,1)*2+--MID(A70,3,1)*4+--MID(A70,4,1)*10+--MID(A70,5,1)*3+--MID(A70,6,1)*5+--MID(A70,7,1)*9+--MID(A70,8,1)*4+--MID(A70,9,1)*6+--MID(A70,10,1)*8, ""))</f>
        <v/>
      </c>
      <c r="I70">
        <f>IF(LEN(TRIM(A70))=12, --MID(A70,1,1)*3+--MID(A70,2,1)*7+--MID(A70,3,1)*2+--MID(A70,4,1)*4+--MID(A70,5,1)*10+--MID(A70,6,1)*3+--MID(A70,7,1)*5+--MID(A70,8,1)*9+--MID(A70,9,1)*4+--MID(A70,10,1)*6+--MID(A70,11,1)*8, "")</f>
        <v/>
      </c>
    </row>
    <row r="71">
      <c r="A71">
        <f>SUBSTITUTE(SUBSTITUTE(SUBSTITUTE(SUBSTITUTE(TRIM(INDEX(Реестр!$B:$B,ROW())),CHAR(160),""),CHAR(9),""),CHAR(10),""),CHAR(13),"")</f>
        <v/>
      </c>
      <c r="B71">
        <f>SUBSTITUTE(SUBSTITUTE(SUBSTITUTE(SUBSTITUTE(SUBSTITUTE(SUBSTITUTE(SUBSTITUTE(TRIM(INDEX(Реестр!$D:$D, ROW())), "-", ""), " ", ""), CHAR(160), ""), CHAR(9), ""), CHAR(10), ""), CHAR(13), ""), CHAR(32), "")</f>
        <v/>
      </c>
      <c r="C71">
        <f>INDEX(Реестр!$H:$H, ROW())</f>
        <v/>
      </c>
      <c r="D71">
        <f>IF(OR(ISBLANK(INDEX(Реестр!$B:$B, ROW())), INDEX(Реестр!$B:$B, ROW())=""), " ", IF(IFERROR(ISNUMBER(--A71),FALSE), IF(LEN(A71)=10, IF(MOD(MOD(H71,11),10)=--RIGHT(A71,1), "OK", "ОШИБКА"), IF(LEN(A71)=12, IF(AND(MOD(MOD(H71,11),10)=--MID(A71,11,1), MOD(MOD(I71,11),10)=--RIGHT(A71,1)), "OK", "ОШИБКА"), "ДЛИНА (10 или 12)")), "НЕ ЦИФРЫ"))</f>
        <v/>
      </c>
      <c r="E71">
        <f>MID(B71,1,1)*9+MID(B71,2,1)*8+MID(B71,3,1)*7+MID(B71,4,1)*6+MID(B71,5,1)*5+MID(B71,6,1)*4+MID(B71,7,1)*3+MID(B71,8,1)*2+MID(B71,9,1)</f>
        <v/>
      </c>
      <c r="F71">
        <f>IF(B71="", " ", IF(LEN(B71)&lt;&gt;11, "ДЛИНА", IF(NOT(ISNUMBER(--B71)), "НЕ ЦИФРЫ", IF(LEFT(B71,9)*1&lt;=1001998, "OK", IF(RIGHT(B71,2)*1=IF(MOD(E71,101)&gt;=100,0,MOD(E71,101)),"OK","ОШИБКА")))))</f>
        <v/>
      </c>
      <c r="G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">
        <f>IF(LEN(TRIM(A71))=10, --MID(A71,1,1)*2+--MID(A71,2,1)*4+--MID(A71,3,1)*10+--MID(A71,4,1)*3+--MID(A71,5,1)*5+--MID(A71,6,1)*9+--MID(A71,7,1)*4+--MID(A71,8,1)*6+--MID(A71,9,1)*8, IF(LEN(TRIM(A71))=12, --MID(A71,1,1)*7+--MID(A71,2,1)*2+--MID(A71,3,1)*4+--MID(A71,4,1)*10+--MID(A71,5,1)*3+--MID(A71,6,1)*5+--MID(A71,7,1)*9+--MID(A71,8,1)*4+--MID(A71,9,1)*6+--MID(A71,10,1)*8, ""))</f>
        <v/>
      </c>
      <c r="I71">
        <f>IF(LEN(TRIM(A71))=12, --MID(A71,1,1)*3+--MID(A71,2,1)*7+--MID(A71,3,1)*2+--MID(A71,4,1)*4+--MID(A71,5,1)*10+--MID(A71,6,1)*3+--MID(A71,7,1)*5+--MID(A71,8,1)*9+--MID(A71,9,1)*4+--MID(A71,10,1)*6+--MID(A71,11,1)*8, "")</f>
        <v/>
      </c>
    </row>
    <row r="72">
      <c r="A72">
        <f>SUBSTITUTE(SUBSTITUTE(SUBSTITUTE(SUBSTITUTE(TRIM(INDEX(Реестр!$B:$B,ROW())),CHAR(160),""),CHAR(9),""),CHAR(10),""),CHAR(13),"")</f>
        <v/>
      </c>
      <c r="B72">
        <f>SUBSTITUTE(SUBSTITUTE(SUBSTITUTE(SUBSTITUTE(SUBSTITUTE(SUBSTITUTE(SUBSTITUTE(TRIM(INDEX(Реестр!$D:$D, ROW())), "-", ""), " ", ""), CHAR(160), ""), CHAR(9), ""), CHAR(10), ""), CHAR(13), ""), CHAR(32), "")</f>
        <v/>
      </c>
      <c r="C72">
        <f>INDEX(Реестр!$H:$H, ROW())</f>
        <v/>
      </c>
      <c r="D72">
        <f>IF(OR(ISBLANK(INDEX(Реестр!$B:$B, ROW())), INDEX(Реестр!$B:$B, ROW())=""), " ", IF(IFERROR(ISNUMBER(--A72),FALSE), IF(LEN(A72)=10, IF(MOD(MOD(H72,11),10)=--RIGHT(A72,1), "OK", "ОШИБКА"), IF(LEN(A72)=12, IF(AND(MOD(MOD(H72,11),10)=--MID(A72,11,1), MOD(MOD(I72,11),10)=--RIGHT(A72,1)), "OK", "ОШИБКА"), "ДЛИНА (10 или 12)")), "НЕ ЦИФРЫ"))</f>
        <v/>
      </c>
      <c r="E72">
        <f>MID(B72,1,1)*9+MID(B72,2,1)*8+MID(B72,3,1)*7+MID(B72,4,1)*6+MID(B72,5,1)*5+MID(B72,6,1)*4+MID(B72,7,1)*3+MID(B72,8,1)*2+MID(B72,9,1)</f>
        <v/>
      </c>
      <c r="F72">
        <f>IF(B72="", " ", IF(LEN(B72)&lt;&gt;11, "ДЛИНА", IF(NOT(ISNUMBER(--B72)), "НЕ ЦИФРЫ", IF(LEFT(B72,9)*1&lt;=1001998, "OK", IF(RIGHT(B72,2)*1=IF(MOD(E72,101)&gt;=100,0,MOD(E72,101)),"OK","ОШИБКА")))))</f>
        <v/>
      </c>
      <c r="G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">
        <f>IF(LEN(TRIM(A72))=10, --MID(A72,1,1)*2+--MID(A72,2,1)*4+--MID(A72,3,1)*10+--MID(A72,4,1)*3+--MID(A72,5,1)*5+--MID(A72,6,1)*9+--MID(A72,7,1)*4+--MID(A72,8,1)*6+--MID(A72,9,1)*8, IF(LEN(TRIM(A72))=12, --MID(A72,1,1)*7+--MID(A72,2,1)*2+--MID(A72,3,1)*4+--MID(A72,4,1)*10+--MID(A72,5,1)*3+--MID(A72,6,1)*5+--MID(A72,7,1)*9+--MID(A72,8,1)*4+--MID(A72,9,1)*6+--MID(A72,10,1)*8, ""))</f>
        <v/>
      </c>
      <c r="I72">
        <f>IF(LEN(TRIM(A72))=12, --MID(A72,1,1)*3+--MID(A72,2,1)*7+--MID(A72,3,1)*2+--MID(A72,4,1)*4+--MID(A72,5,1)*10+--MID(A72,6,1)*3+--MID(A72,7,1)*5+--MID(A72,8,1)*9+--MID(A72,9,1)*4+--MID(A72,10,1)*6+--MID(A72,11,1)*8, "")</f>
        <v/>
      </c>
    </row>
    <row r="73">
      <c r="A73">
        <f>SUBSTITUTE(SUBSTITUTE(SUBSTITUTE(SUBSTITUTE(TRIM(INDEX(Реестр!$B:$B,ROW())),CHAR(160),""),CHAR(9),""),CHAR(10),""),CHAR(13),"")</f>
        <v/>
      </c>
      <c r="B73">
        <f>SUBSTITUTE(SUBSTITUTE(SUBSTITUTE(SUBSTITUTE(SUBSTITUTE(SUBSTITUTE(SUBSTITUTE(TRIM(INDEX(Реестр!$D:$D, ROW())), "-", ""), " ", ""), CHAR(160), ""), CHAR(9), ""), CHAR(10), ""), CHAR(13), ""), CHAR(32), "")</f>
        <v/>
      </c>
      <c r="C73">
        <f>INDEX(Реестр!$H:$H, ROW())</f>
        <v/>
      </c>
      <c r="D73">
        <f>IF(OR(ISBLANK(INDEX(Реестр!$B:$B, ROW())), INDEX(Реестр!$B:$B, ROW())=""), " ", IF(IFERROR(ISNUMBER(--A73),FALSE), IF(LEN(A73)=10, IF(MOD(MOD(H73,11),10)=--RIGHT(A73,1), "OK", "ОШИБКА"), IF(LEN(A73)=12, IF(AND(MOD(MOD(H73,11),10)=--MID(A73,11,1), MOD(MOD(I73,11),10)=--RIGHT(A73,1)), "OK", "ОШИБКА"), "ДЛИНА (10 или 12)")), "НЕ ЦИФРЫ"))</f>
        <v/>
      </c>
      <c r="E73">
        <f>MID(B73,1,1)*9+MID(B73,2,1)*8+MID(B73,3,1)*7+MID(B73,4,1)*6+MID(B73,5,1)*5+MID(B73,6,1)*4+MID(B73,7,1)*3+MID(B73,8,1)*2+MID(B73,9,1)</f>
        <v/>
      </c>
      <c r="F73">
        <f>IF(B73="", " ", IF(LEN(B73)&lt;&gt;11, "ДЛИНА", IF(NOT(ISNUMBER(--B73)), "НЕ ЦИФРЫ", IF(LEFT(B73,9)*1&lt;=1001998, "OK", IF(RIGHT(B73,2)*1=IF(MOD(E73,101)&gt;=100,0,MOD(E73,101)),"OK","ОШИБКА")))))</f>
        <v/>
      </c>
      <c r="G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">
        <f>IF(LEN(TRIM(A73))=10, --MID(A73,1,1)*2+--MID(A73,2,1)*4+--MID(A73,3,1)*10+--MID(A73,4,1)*3+--MID(A73,5,1)*5+--MID(A73,6,1)*9+--MID(A73,7,1)*4+--MID(A73,8,1)*6+--MID(A73,9,1)*8, IF(LEN(TRIM(A73))=12, --MID(A73,1,1)*7+--MID(A73,2,1)*2+--MID(A73,3,1)*4+--MID(A73,4,1)*10+--MID(A73,5,1)*3+--MID(A73,6,1)*5+--MID(A73,7,1)*9+--MID(A73,8,1)*4+--MID(A73,9,1)*6+--MID(A73,10,1)*8, ""))</f>
        <v/>
      </c>
      <c r="I73">
        <f>IF(LEN(TRIM(A73))=12, --MID(A73,1,1)*3+--MID(A73,2,1)*7+--MID(A73,3,1)*2+--MID(A73,4,1)*4+--MID(A73,5,1)*10+--MID(A73,6,1)*3+--MID(A73,7,1)*5+--MID(A73,8,1)*9+--MID(A73,9,1)*4+--MID(A73,10,1)*6+--MID(A73,11,1)*8, "")</f>
        <v/>
      </c>
    </row>
    <row r="74">
      <c r="A74">
        <f>SUBSTITUTE(SUBSTITUTE(SUBSTITUTE(SUBSTITUTE(TRIM(INDEX(Реестр!$B:$B,ROW())),CHAR(160),""),CHAR(9),""),CHAR(10),""),CHAR(13),"")</f>
        <v/>
      </c>
      <c r="B74">
        <f>SUBSTITUTE(SUBSTITUTE(SUBSTITUTE(SUBSTITUTE(SUBSTITUTE(SUBSTITUTE(SUBSTITUTE(TRIM(INDEX(Реестр!$D:$D, ROW())), "-", ""), " ", ""), CHAR(160), ""), CHAR(9), ""), CHAR(10), ""), CHAR(13), ""), CHAR(32), "")</f>
        <v/>
      </c>
      <c r="C74">
        <f>INDEX(Реестр!$H:$H, ROW())</f>
        <v/>
      </c>
      <c r="D74">
        <f>IF(OR(ISBLANK(INDEX(Реестр!$B:$B, ROW())), INDEX(Реестр!$B:$B, ROW())=""), " ", IF(IFERROR(ISNUMBER(--A74),FALSE), IF(LEN(A74)=10, IF(MOD(MOD(H74,11),10)=--RIGHT(A74,1), "OK", "ОШИБКА"), IF(LEN(A74)=12, IF(AND(MOD(MOD(H74,11),10)=--MID(A74,11,1), MOD(MOD(I74,11),10)=--RIGHT(A74,1)), "OK", "ОШИБКА"), "ДЛИНА (10 или 12)")), "НЕ ЦИФРЫ"))</f>
        <v/>
      </c>
      <c r="E74">
        <f>MID(B74,1,1)*9+MID(B74,2,1)*8+MID(B74,3,1)*7+MID(B74,4,1)*6+MID(B74,5,1)*5+MID(B74,6,1)*4+MID(B74,7,1)*3+MID(B74,8,1)*2+MID(B74,9,1)</f>
        <v/>
      </c>
      <c r="F74">
        <f>IF(B74="", " ", IF(LEN(B74)&lt;&gt;11, "ДЛИНА", IF(NOT(ISNUMBER(--B74)), "НЕ ЦИФРЫ", IF(LEFT(B74,9)*1&lt;=1001998, "OK", IF(RIGHT(B74,2)*1=IF(MOD(E74,101)&gt;=100,0,MOD(E74,101)),"OK","ОШИБКА")))))</f>
        <v/>
      </c>
      <c r="G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">
        <f>IF(LEN(TRIM(A74))=10, --MID(A74,1,1)*2+--MID(A74,2,1)*4+--MID(A74,3,1)*10+--MID(A74,4,1)*3+--MID(A74,5,1)*5+--MID(A74,6,1)*9+--MID(A74,7,1)*4+--MID(A74,8,1)*6+--MID(A74,9,1)*8, IF(LEN(TRIM(A74))=12, --MID(A74,1,1)*7+--MID(A74,2,1)*2+--MID(A74,3,1)*4+--MID(A74,4,1)*10+--MID(A74,5,1)*3+--MID(A74,6,1)*5+--MID(A74,7,1)*9+--MID(A74,8,1)*4+--MID(A74,9,1)*6+--MID(A74,10,1)*8, ""))</f>
        <v/>
      </c>
      <c r="I74">
        <f>IF(LEN(TRIM(A74))=12, --MID(A74,1,1)*3+--MID(A74,2,1)*7+--MID(A74,3,1)*2+--MID(A74,4,1)*4+--MID(A74,5,1)*10+--MID(A74,6,1)*3+--MID(A74,7,1)*5+--MID(A74,8,1)*9+--MID(A74,9,1)*4+--MID(A74,10,1)*6+--MID(A74,11,1)*8, "")</f>
        <v/>
      </c>
    </row>
    <row r="75">
      <c r="A75">
        <f>SUBSTITUTE(SUBSTITUTE(SUBSTITUTE(SUBSTITUTE(TRIM(INDEX(Реестр!$B:$B,ROW())),CHAR(160),""),CHAR(9),""),CHAR(10),""),CHAR(13),"")</f>
        <v/>
      </c>
      <c r="B75">
        <f>SUBSTITUTE(SUBSTITUTE(SUBSTITUTE(SUBSTITUTE(SUBSTITUTE(SUBSTITUTE(SUBSTITUTE(TRIM(INDEX(Реестр!$D:$D, ROW())), "-", ""), " ", ""), CHAR(160), ""), CHAR(9), ""), CHAR(10), ""), CHAR(13), ""), CHAR(32), "")</f>
        <v/>
      </c>
      <c r="C75">
        <f>INDEX(Реестр!$H:$H, ROW())</f>
        <v/>
      </c>
      <c r="D75">
        <f>IF(OR(ISBLANK(INDEX(Реестр!$B:$B, ROW())), INDEX(Реестр!$B:$B, ROW())=""), " ", IF(IFERROR(ISNUMBER(--A75),FALSE), IF(LEN(A75)=10, IF(MOD(MOD(H75,11),10)=--RIGHT(A75,1), "OK", "ОШИБКА"), IF(LEN(A75)=12, IF(AND(MOD(MOD(H75,11),10)=--MID(A75,11,1), MOD(MOD(I75,11),10)=--RIGHT(A75,1)), "OK", "ОШИБКА"), "ДЛИНА (10 или 12)")), "НЕ ЦИФРЫ"))</f>
        <v/>
      </c>
      <c r="E75">
        <f>MID(B75,1,1)*9+MID(B75,2,1)*8+MID(B75,3,1)*7+MID(B75,4,1)*6+MID(B75,5,1)*5+MID(B75,6,1)*4+MID(B75,7,1)*3+MID(B75,8,1)*2+MID(B75,9,1)</f>
        <v/>
      </c>
      <c r="F75">
        <f>IF(B75="", " ", IF(LEN(B75)&lt;&gt;11, "ДЛИНА", IF(NOT(ISNUMBER(--B75)), "НЕ ЦИФРЫ", IF(LEFT(B75,9)*1&lt;=1001998, "OK", IF(RIGHT(B75,2)*1=IF(MOD(E75,101)&gt;=100,0,MOD(E75,101)),"OK","ОШИБКА")))))</f>
        <v/>
      </c>
      <c r="G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">
        <f>IF(LEN(TRIM(A75))=10, --MID(A75,1,1)*2+--MID(A75,2,1)*4+--MID(A75,3,1)*10+--MID(A75,4,1)*3+--MID(A75,5,1)*5+--MID(A75,6,1)*9+--MID(A75,7,1)*4+--MID(A75,8,1)*6+--MID(A75,9,1)*8, IF(LEN(TRIM(A75))=12, --MID(A75,1,1)*7+--MID(A75,2,1)*2+--MID(A75,3,1)*4+--MID(A75,4,1)*10+--MID(A75,5,1)*3+--MID(A75,6,1)*5+--MID(A75,7,1)*9+--MID(A75,8,1)*4+--MID(A75,9,1)*6+--MID(A75,10,1)*8, ""))</f>
        <v/>
      </c>
      <c r="I75">
        <f>IF(LEN(TRIM(A75))=12, --MID(A75,1,1)*3+--MID(A75,2,1)*7+--MID(A75,3,1)*2+--MID(A75,4,1)*4+--MID(A75,5,1)*10+--MID(A75,6,1)*3+--MID(A75,7,1)*5+--MID(A75,8,1)*9+--MID(A75,9,1)*4+--MID(A75,10,1)*6+--MID(A75,11,1)*8, "")</f>
        <v/>
      </c>
    </row>
    <row r="76">
      <c r="A76">
        <f>SUBSTITUTE(SUBSTITUTE(SUBSTITUTE(SUBSTITUTE(TRIM(INDEX(Реестр!$B:$B,ROW())),CHAR(160),""),CHAR(9),""),CHAR(10),""),CHAR(13),"")</f>
        <v/>
      </c>
      <c r="B76">
        <f>SUBSTITUTE(SUBSTITUTE(SUBSTITUTE(SUBSTITUTE(SUBSTITUTE(SUBSTITUTE(SUBSTITUTE(TRIM(INDEX(Реестр!$D:$D, ROW())), "-", ""), " ", ""), CHAR(160), ""), CHAR(9), ""), CHAR(10), ""), CHAR(13), ""), CHAR(32), "")</f>
        <v/>
      </c>
      <c r="C76">
        <f>INDEX(Реестр!$H:$H, ROW())</f>
        <v/>
      </c>
      <c r="D76">
        <f>IF(OR(ISBLANK(INDEX(Реестр!$B:$B, ROW())), INDEX(Реестр!$B:$B, ROW())=""), " ", IF(IFERROR(ISNUMBER(--A76),FALSE), IF(LEN(A76)=10, IF(MOD(MOD(H76,11),10)=--RIGHT(A76,1), "OK", "ОШИБКА"), IF(LEN(A76)=12, IF(AND(MOD(MOD(H76,11),10)=--MID(A76,11,1), MOD(MOD(I76,11),10)=--RIGHT(A76,1)), "OK", "ОШИБКА"), "ДЛИНА (10 или 12)")), "НЕ ЦИФРЫ"))</f>
        <v/>
      </c>
      <c r="E76">
        <f>MID(B76,1,1)*9+MID(B76,2,1)*8+MID(B76,3,1)*7+MID(B76,4,1)*6+MID(B76,5,1)*5+MID(B76,6,1)*4+MID(B76,7,1)*3+MID(B76,8,1)*2+MID(B76,9,1)</f>
        <v/>
      </c>
      <c r="F76">
        <f>IF(B76="", " ", IF(LEN(B76)&lt;&gt;11, "ДЛИНА", IF(NOT(ISNUMBER(--B76)), "НЕ ЦИФРЫ", IF(LEFT(B76,9)*1&lt;=1001998, "OK", IF(RIGHT(B76,2)*1=IF(MOD(E76,101)&gt;=100,0,MOD(E76,101)),"OK","ОШИБКА")))))</f>
        <v/>
      </c>
      <c r="G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">
        <f>IF(LEN(TRIM(A76))=10, --MID(A76,1,1)*2+--MID(A76,2,1)*4+--MID(A76,3,1)*10+--MID(A76,4,1)*3+--MID(A76,5,1)*5+--MID(A76,6,1)*9+--MID(A76,7,1)*4+--MID(A76,8,1)*6+--MID(A76,9,1)*8, IF(LEN(TRIM(A76))=12, --MID(A76,1,1)*7+--MID(A76,2,1)*2+--MID(A76,3,1)*4+--MID(A76,4,1)*10+--MID(A76,5,1)*3+--MID(A76,6,1)*5+--MID(A76,7,1)*9+--MID(A76,8,1)*4+--MID(A76,9,1)*6+--MID(A76,10,1)*8, ""))</f>
        <v/>
      </c>
      <c r="I76">
        <f>IF(LEN(TRIM(A76))=12, --MID(A76,1,1)*3+--MID(A76,2,1)*7+--MID(A76,3,1)*2+--MID(A76,4,1)*4+--MID(A76,5,1)*10+--MID(A76,6,1)*3+--MID(A76,7,1)*5+--MID(A76,8,1)*9+--MID(A76,9,1)*4+--MID(A76,10,1)*6+--MID(A76,11,1)*8, "")</f>
        <v/>
      </c>
    </row>
    <row r="77">
      <c r="A77">
        <f>SUBSTITUTE(SUBSTITUTE(SUBSTITUTE(SUBSTITUTE(TRIM(INDEX(Реестр!$B:$B,ROW())),CHAR(160),""),CHAR(9),""),CHAR(10),""),CHAR(13),"")</f>
        <v/>
      </c>
      <c r="B77">
        <f>SUBSTITUTE(SUBSTITUTE(SUBSTITUTE(SUBSTITUTE(SUBSTITUTE(SUBSTITUTE(SUBSTITUTE(TRIM(INDEX(Реестр!$D:$D, ROW())), "-", ""), " ", ""), CHAR(160), ""), CHAR(9), ""), CHAR(10), ""), CHAR(13), ""), CHAR(32), "")</f>
        <v/>
      </c>
      <c r="C77">
        <f>INDEX(Реестр!$H:$H, ROW())</f>
        <v/>
      </c>
      <c r="D77">
        <f>IF(OR(ISBLANK(INDEX(Реестр!$B:$B, ROW())), INDEX(Реестр!$B:$B, ROW())=""), " ", IF(IFERROR(ISNUMBER(--A77),FALSE), IF(LEN(A77)=10, IF(MOD(MOD(H77,11),10)=--RIGHT(A77,1), "OK", "ОШИБКА"), IF(LEN(A77)=12, IF(AND(MOD(MOD(H77,11),10)=--MID(A77,11,1), MOD(MOD(I77,11),10)=--RIGHT(A77,1)), "OK", "ОШИБКА"), "ДЛИНА (10 или 12)")), "НЕ ЦИФРЫ"))</f>
        <v/>
      </c>
      <c r="E77">
        <f>MID(B77,1,1)*9+MID(B77,2,1)*8+MID(B77,3,1)*7+MID(B77,4,1)*6+MID(B77,5,1)*5+MID(B77,6,1)*4+MID(B77,7,1)*3+MID(B77,8,1)*2+MID(B77,9,1)</f>
        <v/>
      </c>
      <c r="F77">
        <f>IF(B77="", " ", IF(LEN(B77)&lt;&gt;11, "ДЛИНА", IF(NOT(ISNUMBER(--B77)), "НЕ ЦИФРЫ", IF(LEFT(B77,9)*1&lt;=1001998, "OK", IF(RIGHT(B77,2)*1=IF(MOD(E77,101)&gt;=100,0,MOD(E77,101)),"OK","ОШИБКА")))))</f>
        <v/>
      </c>
      <c r="G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">
        <f>IF(LEN(TRIM(A77))=10, --MID(A77,1,1)*2+--MID(A77,2,1)*4+--MID(A77,3,1)*10+--MID(A77,4,1)*3+--MID(A77,5,1)*5+--MID(A77,6,1)*9+--MID(A77,7,1)*4+--MID(A77,8,1)*6+--MID(A77,9,1)*8, IF(LEN(TRIM(A77))=12, --MID(A77,1,1)*7+--MID(A77,2,1)*2+--MID(A77,3,1)*4+--MID(A77,4,1)*10+--MID(A77,5,1)*3+--MID(A77,6,1)*5+--MID(A77,7,1)*9+--MID(A77,8,1)*4+--MID(A77,9,1)*6+--MID(A77,10,1)*8, ""))</f>
        <v/>
      </c>
      <c r="I77">
        <f>IF(LEN(TRIM(A77))=12, --MID(A77,1,1)*3+--MID(A77,2,1)*7+--MID(A77,3,1)*2+--MID(A77,4,1)*4+--MID(A77,5,1)*10+--MID(A77,6,1)*3+--MID(A77,7,1)*5+--MID(A77,8,1)*9+--MID(A77,9,1)*4+--MID(A77,10,1)*6+--MID(A77,11,1)*8, "")</f>
        <v/>
      </c>
    </row>
    <row r="78">
      <c r="A78">
        <f>SUBSTITUTE(SUBSTITUTE(SUBSTITUTE(SUBSTITUTE(TRIM(INDEX(Реестр!$B:$B,ROW())),CHAR(160),""),CHAR(9),""),CHAR(10),""),CHAR(13),"")</f>
        <v/>
      </c>
      <c r="B78">
        <f>SUBSTITUTE(SUBSTITUTE(SUBSTITUTE(SUBSTITUTE(SUBSTITUTE(SUBSTITUTE(SUBSTITUTE(TRIM(INDEX(Реестр!$D:$D, ROW())), "-", ""), " ", ""), CHAR(160), ""), CHAR(9), ""), CHAR(10), ""), CHAR(13), ""), CHAR(32), "")</f>
        <v/>
      </c>
      <c r="C78">
        <f>INDEX(Реестр!$H:$H, ROW())</f>
        <v/>
      </c>
      <c r="D78">
        <f>IF(OR(ISBLANK(INDEX(Реестр!$B:$B, ROW())), INDEX(Реестр!$B:$B, ROW())=""), " ", IF(IFERROR(ISNUMBER(--A78),FALSE), IF(LEN(A78)=10, IF(MOD(MOD(H78,11),10)=--RIGHT(A78,1), "OK", "ОШИБКА"), IF(LEN(A78)=12, IF(AND(MOD(MOD(H78,11),10)=--MID(A78,11,1), MOD(MOD(I78,11),10)=--RIGHT(A78,1)), "OK", "ОШИБКА"), "ДЛИНА (10 или 12)")), "НЕ ЦИФРЫ"))</f>
        <v/>
      </c>
      <c r="E78">
        <f>MID(B78,1,1)*9+MID(B78,2,1)*8+MID(B78,3,1)*7+MID(B78,4,1)*6+MID(B78,5,1)*5+MID(B78,6,1)*4+MID(B78,7,1)*3+MID(B78,8,1)*2+MID(B78,9,1)</f>
        <v/>
      </c>
      <c r="F78">
        <f>IF(B78="", " ", IF(LEN(B78)&lt;&gt;11, "ДЛИНА", IF(NOT(ISNUMBER(--B78)), "НЕ ЦИФРЫ", IF(LEFT(B78,9)*1&lt;=1001998, "OK", IF(RIGHT(B78,2)*1=IF(MOD(E78,101)&gt;=100,0,MOD(E78,101)),"OK","ОШИБКА")))))</f>
        <v/>
      </c>
      <c r="G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">
        <f>IF(LEN(TRIM(A78))=10, --MID(A78,1,1)*2+--MID(A78,2,1)*4+--MID(A78,3,1)*10+--MID(A78,4,1)*3+--MID(A78,5,1)*5+--MID(A78,6,1)*9+--MID(A78,7,1)*4+--MID(A78,8,1)*6+--MID(A78,9,1)*8, IF(LEN(TRIM(A78))=12, --MID(A78,1,1)*7+--MID(A78,2,1)*2+--MID(A78,3,1)*4+--MID(A78,4,1)*10+--MID(A78,5,1)*3+--MID(A78,6,1)*5+--MID(A78,7,1)*9+--MID(A78,8,1)*4+--MID(A78,9,1)*6+--MID(A78,10,1)*8, ""))</f>
        <v/>
      </c>
      <c r="I78">
        <f>IF(LEN(TRIM(A78))=12, --MID(A78,1,1)*3+--MID(A78,2,1)*7+--MID(A78,3,1)*2+--MID(A78,4,1)*4+--MID(A78,5,1)*10+--MID(A78,6,1)*3+--MID(A78,7,1)*5+--MID(A78,8,1)*9+--MID(A78,9,1)*4+--MID(A78,10,1)*6+--MID(A78,11,1)*8, "")</f>
        <v/>
      </c>
    </row>
    <row r="79">
      <c r="A79">
        <f>SUBSTITUTE(SUBSTITUTE(SUBSTITUTE(SUBSTITUTE(TRIM(INDEX(Реестр!$B:$B,ROW())),CHAR(160),""),CHAR(9),""),CHAR(10),""),CHAR(13),"")</f>
        <v/>
      </c>
      <c r="B79">
        <f>SUBSTITUTE(SUBSTITUTE(SUBSTITUTE(SUBSTITUTE(SUBSTITUTE(SUBSTITUTE(SUBSTITUTE(TRIM(INDEX(Реестр!$D:$D, ROW())), "-", ""), " ", ""), CHAR(160), ""), CHAR(9), ""), CHAR(10), ""), CHAR(13), ""), CHAR(32), "")</f>
        <v/>
      </c>
      <c r="C79">
        <f>INDEX(Реестр!$H:$H, ROW())</f>
        <v/>
      </c>
      <c r="D79">
        <f>IF(OR(ISBLANK(INDEX(Реестр!$B:$B, ROW())), INDEX(Реестр!$B:$B, ROW())=""), " ", IF(IFERROR(ISNUMBER(--A79),FALSE), IF(LEN(A79)=10, IF(MOD(MOD(H79,11),10)=--RIGHT(A79,1), "OK", "ОШИБКА"), IF(LEN(A79)=12, IF(AND(MOD(MOD(H79,11),10)=--MID(A79,11,1), MOD(MOD(I79,11),10)=--RIGHT(A79,1)), "OK", "ОШИБКА"), "ДЛИНА (10 или 12)")), "НЕ ЦИФРЫ"))</f>
        <v/>
      </c>
      <c r="E79">
        <f>MID(B79,1,1)*9+MID(B79,2,1)*8+MID(B79,3,1)*7+MID(B79,4,1)*6+MID(B79,5,1)*5+MID(B79,6,1)*4+MID(B79,7,1)*3+MID(B79,8,1)*2+MID(B79,9,1)</f>
        <v/>
      </c>
      <c r="F79">
        <f>IF(B79="", " ", IF(LEN(B79)&lt;&gt;11, "ДЛИНА", IF(NOT(ISNUMBER(--B79)), "НЕ ЦИФРЫ", IF(LEFT(B79,9)*1&lt;=1001998, "OK", IF(RIGHT(B79,2)*1=IF(MOD(E79,101)&gt;=100,0,MOD(E79,101)),"OK","ОШИБКА")))))</f>
        <v/>
      </c>
      <c r="G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">
        <f>IF(LEN(TRIM(A79))=10, --MID(A79,1,1)*2+--MID(A79,2,1)*4+--MID(A79,3,1)*10+--MID(A79,4,1)*3+--MID(A79,5,1)*5+--MID(A79,6,1)*9+--MID(A79,7,1)*4+--MID(A79,8,1)*6+--MID(A79,9,1)*8, IF(LEN(TRIM(A79))=12, --MID(A79,1,1)*7+--MID(A79,2,1)*2+--MID(A79,3,1)*4+--MID(A79,4,1)*10+--MID(A79,5,1)*3+--MID(A79,6,1)*5+--MID(A79,7,1)*9+--MID(A79,8,1)*4+--MID(A79,9,1)*6+--MID(A79,10,1)*8, ""))</f>
        <v/>
      </c>
      <c r="I79">
        <f>IF(LEN(TRIM(A79))=12, --MID(A79,1,1)*3+--MID(A79,2,1)*7+--MID(A79,3,1)*2+--MID(A79,4,1)*4+--MID(A79,5,1)*10+--MID(A79,6,1)*3+--MID(A79,7,1)*5+--MID(A79,8,1)*9+--MID(A79,9,1)*4+--MID(A79,10,1)*6+--MID(A79,11,1)*8, "")</f>
        <v/>
      </c>
    </row>
    <row r="80">
      <c r="A80">
        <f>SUBSTITUTE(SUBSTITUTE(SUBSTITUTE(SUBSTITUTE(TRIM(INDEX(Реестр!$B:$B,ROW())),CHAR(160),""),CHAR(9),""),CHAR(10),""),CHAR(13),"")</f>
        <v/>
      </c>
      <c r="B80">
        <f>SUBSTITUTE(SUBSTITUTE(SUBSTITUTE(SUBSTITUTE(SUBSTITUTE(SUBSTITUTE(SUBSTITUTE(TRIM(INDEX(Реестр!$D:$D, ROW())), "-", ""), " ", ""), CHAR(160), ""), CHAR(9), ""), CHAR(10), ""), CHAR(13), ""), CHAR(32), "")</f>
        <v/>
      </c>
      <c r="C80">
        <f>INDEX(Реестр!$H:$H, ROW())</f>
        <v/>
      </c>
      <c r="D80">
        <f>IF(OR(ISBLANK(INDEX(Реестр!$B:$B, ROW())), INDEX(Реестр!$B:$B, ROW())=""), " ", IF(IFERROR(ISNUMBER(--A80),FALSE), IF(LEN(A80)=10, IF(MOD(MOD(H80,11),10)=--RIGHT(A80,1), "OK", "ОШИБКА"), IF(LEN(A80)=12, IF(AND(MOD(MOD(H80,11),10)=--MID(A80,11,1), MOD(MOD(I80,11),10)=--RIGHT(A80,1)), "OK", "ОШИБКА"), "ДЛИНА (10 или 12)")), "НЕ ЦИФРЫ"))</f>
        <v/>
      </c>
      <c r="E80">
        <f>MID(B80,1,1)*9+MID(B80,2,1)*8+MID(B80,3,1)*7+MID(B80,4,1)*6+MID(B80,5,1)*5+MID(B80,6,1)*4+MID(B80,7,1)*3+MID(B80,8,1)*2+MID(B80,9,1)</f>
        <v/>
      </c>
      <c r="F80">
        <f>IF(B80="", " ", IF(LEN(B80)&lt;&gt;11, "ДЛИНА", IF(NOT(ISNUMBER(--B80)), "НЕ ЦИФРЫ", IF(LEFT(B80,9)*1&lt;=1001998, "OK", IF(RIGHT(B80,2)*1=IF(MOD(E80,101)&gt;=100,0,MOD(E80,101)),"OK","ОШИБКА")))))</f>
        <v/>
      </c>
      <c r="G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">
        <f>IF(LEN(TRIM(A80))=10, --MID(A80,1,1)*2+--MID(A80,2,1)*4+--MID(A80,3,1)*10+--MID(A80,4,1)*3+--MID(A80,5,1)*5+--MID(A80,6,1)*9+--MID(A80,7,1)*4+--MID(A80,8,1)*6+--MID(A80,9,1)*8, IF(LEN(TRIM(A80))=12, --MID(A80,1,1)*7+--MID(A80,2,1)*2+--MID(A80,3,1)*4+--MID(A80,4,1)*10+--MID(A80,5,1)*3+--MID(A80,6,1)*5+--MID(A80,7,1)*9+--MID(A80,8,1)*4+--MID(A80,9,1)*6+--MID(A80,10,1)*8, ""))</f>
        <v/>
      </c>
      <c r="I80">
        <f>IF(LEN(TRIM(A80))=12, --MID(A80,1,1)*3+--MID(A80,2,1)*7+--MID(A80,3,1)*2+--MID(A80,4,1)*4+--MID(A80,5,1)*10+--MID(A80,6,1)*3+--MID(A80,7,1)*5+--MID(A80,8,1)*9+--MID(A80,9,1)*4+--MID(A80,10,1)*6+--MID(A80,11,1)*8, "")</f>
        <v/>
      </c>
    </row>
    <row r="81">
      <c r="A81">
        <f>SUBSTITUTE(SUBSTITUTE(SUBSTITUTE(SUBSTITUTE(TRIM(INDEX(Реестр!$B:$B,ROW())),CHAR(160),""),CHAR(9),""),CHAR(10),""),CHAR(13),"")</f>
        <v/>
      </c>
      <c r="B81">
        <f>SUBSTITUTE(SUBSTITUTE(SUBSTITUTE(SUBSTITUTE(SUBSTITUTE(SUBSTITUTE(SUBSTITUTE(TRIM(INDEX(Реестр!$D:$D, ROW())), "-", ""), " ", ""), CHAR(160), ""), CHAR(9), ""), CHAR(10), ""), CHAR(13), ""), CHAR(32), "")</f>
        <v/>
      </c>
      <c r="C81">
        <f>INDEX(Реестр!$H:$H, ROW())</f>
        <v/>
      </c>
      <c r="D81">
        <f>IF(OR(ISBLANK(INDEX(Реестр!$B:$B, ROW())), INDEX(Реестр!$B:$B, ROW())=""), " ", IF(IFERROR(ISNUMBER(--A81),FALSE), IF(LEN(A81)=10, IF(MOD(MOD(H81,11),10)=--RIGHT(A81,1), "OK", "ОШИБКА"), IF(LEN(A81)=12, IF(AND(MOD(MOD(H81,11),10)=--MID(A81,11,1), MOD(MOD(I81,11),10)=--RIGHT(A81,1)), "OK", "ОШИБКА"), "ДЛИНА (10 или 12)")), "НЕ ЦИФРЫ"))</f>
        <v/>
      </c>
      <c r="E81">
        <f>MID(B81,1,1)*9+MID(B81,2,1)*8+MID(B81,3,1)*7+MID(B81,4,1)*6+MID(B81,5,1)*5+MID(B81,6,1)*4+MID(B81,7,1)*3+MID(B81,8,1)*2+MID(B81,9,1)</f>
        <v/>
      </c>
      <c r="F81">
        <f>IF(B81="", " ", IF(LEN(B81)&lt;&gt;11, "ДЛИНА", IF(NOT(ISNUMBER(--B81)), "НЕ ЦИФРЫ", IF(LEFT(B81,9)*1&lt;=1001998, "OK", IF(RIGHT(B81,2)*1=IF(MOD(E81,101)&gt;=100,0,MOD(E81,101)),"OK","ОШИБКА")))))</f>
        <v/>
      </c>
      <c r="G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">
        <f>IF(LEN(TRIM(A81))=10, --MID(A81,1,1)*2+--MID(A81,2,1)*4+--MID(A81,3,1)*10+--MID(A81,4,1)*3+--MID(A81,5,1)*5+--MID(A81,6,1)*9+--MID(A81,7,1)*4+--MID(A81,8,1)*6+--MID(A81,9,1)*8, IF(LEN(TRIM(A81))=12, --MID(A81,1,1)*7+--MID(A81,2,1)*2+--MID(A81,3,1)*4+--MID(A81,4,1)*10+--MID(A81,5,1)*3+--MID(A81,6,1)*5+--MID(A81,7,1)*9+--MID(A81,8,1)*4+--MID(A81,9,1)*6+--MID(A81,10,1)*8, ""))</f>
        <v/>
      </c>
      <c r="I81">
        <f>IF(LEN(TRIM(A81))=12, --MID(A81,1,1)*3+--MID(A81,2,1)*7+--MID(A81,3,1)*2+--MID(A81,4,1)*4+--MID(A81,5,1)*10+--MID(A81,6,1)*3+--MID(A81,7,1)*5+--MID(A81,8,1)*9+--MID(A81,9,1)*4+--MID(A81,10,1)*6+--MID(A81,11,1)*8, "")</f>
        <v/>
      </c>
    </row>
    <row r="82">
      <c r="A82">
        <f>SUBSTITUTE(SUBSTITUTE(SUBSTITUTE(SUBSTITUTE(TRIM(INDEX(Реестр!$B:$B,ROW())),CHAR(160),""),CHAR(9),""),CHAR(10),""),CHAR(13),"")</f>
        <v/>
      </c>
      <c r="B82">
        <f>SUBSTITUTE(SUBSTITUTE(SUBSTITUTE(SUBSTITUTE(SUBSTITUTE(SUBSTITUTE(SUBSTITUTE(TRIM(INDEX(Реестр!$D:$D, ROW())), "-", ""), " ", ""), CHAR(160), ""), CHAR(9), ""), CHAR(10), ""), CHAR(13), ""), CHAR(32), "")</f>
        <v/>
      </c>
      <c r="C82">
        <f>INDEX(Реестр!$H:$H, ROW())</f>
        <v/>
      </c>
      <c r="D82">
        <f>IF(OR(ISBLANK(INDEX(Реестр!$B:$B, ROW())), INDEX(Реестр!$B:$B, ROW())=""), " ", IF(IFERROR(ISNUMBER(--A82),FALSE), IF(LEN(A82)=10, IF(MOD(MOD(H82,11),10)=--RIGHT(A82,1), "OK", "ОШИБКА"), IF(LEN(A82)=12, IF(AND(MOD(MOD(H82,11),10)=--MID(A82,11,1), MOD(MOD(I82,11),10)=--RIGHT(A82,1)), "OK", "ОШИБКА"), "ДЛИНА (10 или 12)")), "НЕ ЦИФРЫ"))</f>
        <v/>
      </c>
      <c r="E82">
        <f>MID(B82,1,1)*9+MID(B82,2,1)*8+MID(B82,3,1)*7+MID(B82,4,1)*6+MID(B82,5,1)*5+MID(B82,6,1)*4+MID(B82,7,1)*3+MID(B82,8,1)*2+MID(B82,9,1)</f>
        <v/>
      </c>
      <c r="F82">
        <f>IF(B82="", " ", IF(LEN(B82)&lt;&gt;11, "ДЛИНА", IF(NOT(ISNUMBER(--B82)), "НЕ ЦИФРЫ", IF(LEFT(B82,9)*1&lt;=1001998, "OK", IF(RIGHT(B82,2)*1=IF(MOD(E82,101)&gt;=100,0,MOD(E82,101)),"OK","ОШИБКА")))))</f>
        <v/>
      </c>
      <c r="G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">
        <f>IF(LEN(TRIM(A82))=10, --MID(A82,1,1)*2+--MID(A82,2,1)*4+--MID(A82,3,1)*10+--MID(A82,4,1)*3+--MID(A82,5,1)*5+--MID(A82,6,1)*9+--MID(A82,7,1)*4+--MID(A82,8,1)*6+--MID(A82,9,1)*8, IF(LEN(TRIM(A82))=12, --MID(A82,1,1)*7+--MID(A82,2,1)*2+--MID(A82,3,1)*4+--MID(A82,4,1)*10+--MID(A82,5,1)*3+--MID(A82,6,1)*5+--MID(A82,7,1)*9+--MID(A82,8,1)*4+--MID(A82,9,1)*6+--MID(A82,10,1)*8, ""))</f>
        <v/>
      </c>
      <c r="I82">
        <f>IF(LEN(TRIM(A82))=12, --MID(A82,1,1)*3+--MID(A82,2,1)*7+--MID(A82,3,1)*2+--MID(A82,4,1)*4+--MID(A82,5,1)*10+--MID(A82,6,1)*3+--MID(A82,7,1)*5+--MID(A82,8,1)*9+--MID(A82,9,1)*4+--MID(A82,10,1)*6+--MID(A82,11,1)*8, "")</f>
        <v/>
      </c>
    </row>
    <row r="83">
      <c r="A83">
        <f>SUBSTITUTE(SUBSTITUTE(SUBSTITUTE(SUBSTITUTE(TRIM(INDEX(Реестр!$B:$B,ROW())),CHAR(160),""),CHAR(9),""),CHAR(10),""),CHAR(13),"")</f>
        <v/>
      </c>
      <c r="B83">
        <f>SUBSTITUTE(SUBSTITUTE(SUBSTITUTE(SUBSTITUTE(SUBSTITUTE(SUBSTITUTE(SUBSTITUTE(TRIM(INDEX(Реестр!$D:$D, ROW())), "-", ""), " ", ""), CHAR(160), ""), CHAR(9), ""), CHAR(10), ""), CHAR(13), ""), CHAR(32), "")</f>
        <v/>
      </c>
      <c r="C83">
        <f>INDEX(Реестр!$H:$H, ROW())</f>
        <v/>
      </c>
      <c r="D83">
        <f>IF(OR(ISBLANK(INDEX(Реестр!$B:$B, ROW())), INDEX(Реестр!$B:$B, ROW())=""), " ", IF(IFERROR(ISNUMBER(--A83),FALSE), IF(LEN(A83)=10, IF(MOD(MOD(H83,11),10)=--RIGHT(A83,1), "OK", "ОШИБКА"), IF(LEN(A83)=12, IF(AND(MOD(MOD(H83,11),10)=--MID(A83,11,1), MOD(MOD(I83,11),10)=--RIGHT(A83,1)), "OK", "ОШИБКА"), "ДЛИНА (10 или 12)")), "НЕ ЦИФРЫ"))</f>
        <v/>
      </c>
      <c r="E83">
        <f>MID(B83,1,1)*9+MID(B83,2,1)*8+MID(B83,3,1)*7+MID(B83,4,1)*6+MID(B83,5,1)*5+MID(B83,6,1)*4+MID(B83,7,1)*3+MID(B83,8,1)*2+MID(B83,9,1)</f>
        <v/>
      </c>
      <c r="F83">
        <f>IF(B83="", " ", IF(LEN(B83)&lt;&gt;11, "ДЛИНА", IF(NOT(ISNUMBER(--B83)), "НЕ ЦИФРЫ", IF(LEFT(B83,9)*1&lt;=1001998, "OK", IF(RIGHT(B83,2)*1=IF(MOD(E83,101)&gt;=100,0,MOD(E83,101)),"OK","ОШИБКА")))))</f>
        <v/>
      </c>
      <c r="G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">
        <f>IF(LEN(TRIM(A83))=10, --MID(A83,1,1)*2+--MID(A83,2,1)*4+--MID(A83,3,1)*10+--MID(A83,4,1)*3+--MID(A83,5,1)*5+--MID(A83,6,1)*9+--MID(A83,7,1)*4+--MID(A83,8,1)*6+--MID(A83,9,1)*8, IF(LEN(TRIM(A83))=12, --MID(A83,1,1)*7+--MID(A83,2,1)*2+--MID(A83,3,1)*4+--MID(A83,4,1)*10+--MID(A83,5,1)*3+--MID(A83,6,1)*5+--MID(A83,7,1)*9+--MID(A83,8,1)*4+--MID(A83,9,1)*6+--MID(A83,10,1)*8, ""))</f>
        <v/>
      </c>
      <c r="I83">
        <f>IF(LEN(TRIM(A83))=12, --MID(A83,1,1)*3+--MID(A83,2,1)*7+--MID(A83,3,1)*2+--MID(A83,4,1)*4+--MID(A83,5,1)*10+--MID(A83,6,1)*3+--MID(A83,7,1)*5+--MID(A83,8,1)*9+--MID(A83,9,1)*4+--MID(A83,10,1)*6+--MID(A83,11,1)*8, "")</f>
        <v/>
      </c>
    </row>
    <row r="84">
      <c r="A84">
        <f>SUBSTITUTE(SUBSTITUTE(SUBSTITUTE(SUBSTITUTE(TRIM(INDEX(Реестр!$B:$B,ROW())),CHAR(160),""),CHAR(9),""),CHAR(10),""),CHAR(13),"")</f>
        <v/>
      </c>
      <c r="B84">
        <f>SUBSTITUTE(SUBSTITUTE(SUBSTITUTE(SUBSTITUTE(SUBSTITUTE(SUBSTITUTE(SUBSTITUTE(TRIM(INDEX(Реестр!$D:$D, ROW())), "-", ""), " ", ""), CHAR(160), ""), CHAR(9), ""), CHAR(10), ""), CHAR(13), ""), CHAR(32), "")</f>
        <v/>
      </c>
      <c r="C84">
        <f>INDEX(Реестр!$H:$H, ROW())</f>
        <v/>
      </c>
      <c r="D84">
        <f>IF(OR(ISBLANK(INDEX(Реестр!$B:$B, ROW())), INDEX(Реестр!$B:$B, ROW())=""), " ", IF(IFERROR(ISNUMBER(--A84),FALSE), IF(LEN(A84)=10, IF(MOD(MOD(H84,11),10)=--RIGHT(A84,1), "OK", "ОШИБКА"), IF(LEN(A84)=12, IF(AND(MOD(MOD(H84,11),10)=--MID(A84,11,1), MOD(MOD(I84,11),10)=--RIGHT(A84,1)), "OK", "ОШИБКА"), "ДЛИНА (10 или 12)")), "НЕ ЦИФРЫ"))</f>
        <v/>
      </c>
      <c r="E84">
        <f>MID(B84,1,1)*9+MID(B84,2,1)*8+MID(B84,3,1)*7+MID(B84,4,1)*6+MID(B84,5,1)*5+MID(B84,6,1)*4+MID(B84,7,1)*3+MID(B84,8,1)*2+MID(B84,9,1)</f>
        <v/>
      </c>
      <c r="F84">
        <f>IF(B84="", " ", IF(LEN(B84)&lt;&gt;11, "ДЛИНА", IF(NOT(ISNUMBER(--B84)), "НЕ ЦИФРЫ", IF(LEFT(B84,9)*1&lt;=1001998, "OK", IF(RIGHT(B84,2)*1=IF(MOD(E84,101)&gt;=100,0,MOD(E84,101)),"OK","ОШИБКА")))))</f>
        <v/>
      </c>
      <c r="G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">
        <f>IF(LEN(TRIM(A84))=10, --MID(A84,1,1)*2+--MID(A84,2,1)*4+--MID(A84,3,1)*10+--MID(A84,4,1)*3+--MID(A84,5,1)*5+--MID(A84,6,1)*9+--MID(A84,7,1)*4+--MID(A84,8,1)*6+--MID(A84,9,1)*8, IF(LEN(TRIM(A84))=12, --MID(A84,1,1)*7+--MID(A84,2,1)*2+--MID(A84,3,1)*4+--MID(A84,4,1)*10+--MID(A84,5,1)*3+--MID(A84,6,1)*5+--MID(A84,7,1)*9+--MID(A84,8,1)*4+--MID(A84,9,1)*6+--MID(A84,10,1)*8, ""))</f>
        <v/>
      </c>
      <c r="I84">
        <f>IF(LEN(TRIM(A84))=12, --MID(A84,1,1)*3+--MID(A84,2,1)*7+--MID(A84,3,1)*2+--MID(A84,4,1)*4+--MID(A84,5,1)*10+--MID(A84,6,1)*3+--MID(A84,7,1)*5+--MID(A84,8,1)*9+--MID(A84,9,1)*4+--MID(A84,10,1)*6+--MID(A84,11,1)*8, "")</f>
        <v/>
      </c>
    </row>
    <row r="85">
      <c r="A85">
        <f>SUBSTITUTE(SUBSTITUTE(SUBSTITUTE(SUBSTITUTE(TRIM(INDEX(Реестр!$B:$B,ROW())),CHAR(160),""),CHAR(9),""),CHAR(10),""),CHAR(13),"")</f>
        <v/>
      </c>
      <c r="B85">
        <f>SUBSTITUTE(SUBSTITUTE(SUBSTITUTE(SUBSTITUTE(SUBSTITUTE(SUBSTITUTE(SUBSTITUTE(TRIM(INDEX(Реестр!$D:$D, ROW())), "-", ""), " ", ""), CHAR(160), ""), CHAR(9), ""), CHAR(10), ""), CHAR(13), ""), CHAR(32), "")</f>
        <v/>
      </c>
      <c r="C85">
        <f>INDEX(Реестр!$H:$H, ROW())</f>
        <v/>
      </c>
      <c r="D85">
        <f>IF(OR(ISBLANK(INDEX(Реестр!$B:$B, ROW())), INDEX(Реестр!$B:$B, ROW())=""), " ", IF(IFERROR(ISNUMBER(--A85),FALSE), IF(LEN(A85)=10, IF(MOD(MOD(H85,11),10)=--RIGHT(A85,1), "OK", "ОШИБКА"), IF(LEN(A85)=12, IF(AND(MOD(MOD(H85,11),10)=--MID(A85,11,1), MOD(MOD(I85,11),10)=--RIGHT(A85,1)), "OK", "ОШИБКА"), "ДЛИНА (10 или 12)")), "НЕ ЦИФРЫ"))</f>
        <v/>
      </c>
      <c r="E85">
        <f>MID(B85,1,1)*9+MID(B85,2,1)*8+MID(B85,3,1)*7+MID(B85,4,1)*6+MID(B85,5,1)*5+MID(B85,6,1)*4+MID(B85,7,1)*3+MID(B85,8,1)*2+MID(B85,9,1)</f>
        <v/>
      </c>
      <c r="F85">
        <f>IF(B85="", " ", IF(LEN(B85)&lt;&gt;11, "ДЛИНА", IF(NOT(ISNUMBER(--B85)), "НЕ ЦИФРЫ", IF(LEFT(B85,9)*1&lt;=1001998, "OK", IF(RIGHT(B85,2)*1=IF(MOD(E85,101)&gt;=100,0,MOD(E85,101)),"OK","ОШИБКА")))))</f>
        <v/>
      </c>
      <c r="G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">
        <f>IF(LEN(TRIM(A85))=10, --MID(A85,1,1)*2+--MID(A85,2,1)*4+--MID(A85,3,1)*10+--MID(A85,4,1)*3+--MID(A85,5,1)*5+--MID(A85,6,1)*9+--MID(A85,7,1)*4+--MID(A85,8,1)*6+--MID(A85,9,1)*8, IF(LEN(TRIM(A85))=12, --MID(A85,1,1)*7+--MID(A85,2,1)*2+--MID(A85,3,1)*4+--MID(A85,4,1)*10+--MID(A85,5,1)*3+--MID(A85,6,1)*5+--MID(A85,7,1)*9+--MID(A85,8,1)*4+--MID(A85,9,1)*6+--MID(A85,10,1)*8, ""))</f>
        <v/>
      </c>
      <c r="I85">
        <f>IF(LEN(TRIM(A85))=12, --MID(A85,1,1)*3+--MID(A85,2,1)*7+--MID(A85,3,1)*2+--MID(A85,4,1)*4+--MID(A85,5,1)*10+--MID(A85,6,1)*3+--MID(A85,7,1)*5+--MID(A85,8,1)*9+--MID(A85,9,1)*4+--MID(A85,10,1)*6+--MID(A85,11,1)*8, "")</f>
        <v/>
      </c>
    </row>
    <row r="86">
      <c r="A86">
        <f>SUBSTITUTE(SUBSTITUTE(SUBSTITUTE(SUBSTITUTE(TRIM(INDEX(Реестр!$B:$B,ROW())),CHAR(160),""),CHAR(9),""),CHAR(10),""),CHAR(13),"")</f>
        <v/>
      </c>
      <c r="B86">
        <f>SUBSTITUTE(SUBSTITUTE(SUBSTITUTE(SUBSTITUTE(SUBSTITUTE(SUBSTITUTE(SUBSTITUTE(TRIM(INDEX(Реестр!$D:$D, ROW())), "-", ""), " ", ""), CHAR(160), ""), CHAR(9), ""), CHAR(10), ""), CHAR(13), ""), CHAR(32), "")</f>
        <v/>
      </c>
      <c r="C86">
        <f>INDEX(Реестр!$H:$H, ROW())</f>
        <v/>
      </c>
      <c r="D86">
        <f>IF(OR(ISBLANK(INDEX(Реестр!$B:$B, ROW())), INDEX(Реестр!$B:$B, ROW())=""), " ", IF(IFERROR(ISNUMBER(--A86),FALSE), IF(LEN(A86)=10, IF(MOD(MOD(H86,11),10)=--RIGHT(A86,1), "OK", "ОШИБКА"), IF(LEN(A86)=12, IF(AND(MOD(MOD(H86,11),10)=--MID(A86,11,1), MOD(MOD(I86,11),10)=--RIGHT(A86,1)), "OK", "ОШИБКА"), "ДЛИНА (10 или 12)")), "НЕ ЦИФРЫ"))</f>
        <v/>
      </c>
      <c r="E86">
        <f>MID(B86,1,1)*9+MID(B86,2,1)*8+MID(B86,3,1)*7+MID(B86,4,1)*6+MID(B86,5,1)*5+MID(B86,6,1)*4+MID(B86,7,1)*3+MID(B86,8,1)*2+MID(B86,9,1)</f>
        <v/>
      </c>
      <c r="F86">
        <f>IF(B86="", " ", IF(LEN(B86)&lt;&gt;11, "ДЛИНА", IF(NOT(ISNUMBER(--B86)), "НЕ ЦИФРЫ", IF(LEFT(B86,9)*1&lt;=1001998, "OK", IF(RIGHT(B86,2)*1=IF(MOD(E86,101)&gt;=100,0,MOD(E86,101)),"OK","ОШИБКА")))))</f>
        <v/>
      </c>
      <c r="G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">
        <f>IF(LEN(TRIM(A86))=10, --MID(A86,1,1)*2+--MID(A86,2,1)*4+--MID(A86,3,1)*10+--MID(A86,4,1)*3+--MID(A86,5,1)*5+--MID(A86,6,1)*9+--MID(A86,7,1)*4+--MID(A86,8,1)*6+--MID(A86,9,1)*8, IF(LEN(TRIM(A86))=12, --MID(A86,1,1)*7+--MID(A86,2,1)*2+--MID(A86,3,1)*4+--MID(A86,4,1)*10+--MID(A86,5,1)*3+--MID(A86,6,1)*5+--MID(A86,7,1)*9+--MID(A86,8,1)*4+--MID(A86,9,1)*6+--MID(A86,10,1)*8, ""))</f>
        <v/>
      </c>
      <c r="I86">
        <f>IF(LEN(TRIM(A86))=12, --MID(A86,1,1)*3+--MID(A86,2,1)*7+--MID(A86,3,1)*2+--MID(A86,4,1)*4+--MID(A86,5,1)*10+--MID(A86,6,1)*3+--MID(A86,7,1)*5+--MID(A86,8,1)*9+--MID(A86,9,1)*4+--MID(A86,10,1)*6+--MID(A86,11,1)*8, "")</f>
        <v/>
      </c>
    </row>
    <row r="87">
      <c r="A87">
        <f>SUBSTITUTE(SUBSTITUTE(SUBSTITUTE(SUBSTITUTE(TRIM(INDEX(Реестр!$B:$B,ROW())),CHAR(160),""),CHAR(9),""),CHAR(10),""),CHAR(13),"")</f>
        <v/>
      </c>
      <c r="B87">
        <f>SUBSTITUTE(SUBSTITUTE(SUBSTITUTE(SUBSTITUTE(SUBSTITUTE(SUBSTITUTE(SUBSTITUTE(TRIM(INDEX(Реестр!$D:$D, ROW())), "-", ""), " ", ""), CHAR(160), ""), CHAR(9), ""), CHAR(10), ""), CHAR(13), ""), CHAR(32), "")</f>
        <v/>
      </c>
      <c r="C87">
        <f>INDEX(Реестр!$H:$H, ROW())</f>
        <v/>
      </c>
      <c r="D87">
        <f>IF(OR(ISBLANK(INDEX(Реестр!$B:$B, ROW())), INDEX(Реестр!$B:$B, ROW())=""), " ", IF(IFERROR(ISNUMBER(--A87),FALSE), IF(LEN(A87)=10, IF(MOD(MOD(H87,11),10)=--RIGHT(A87,1), "OK", "ОШИБКА"), IF(LEN(A87)=12, IF(AND(MOD(MOD(H87,11),10)=--MID(A87,11,1), MOD(MOD(I87,11),10)=--RIGHT(A87,1)), "OK", "ОШИБКА"), "ДЛИНА (10 или 12)")), "НЕ ЦИФРЫ"))</f>
        <v/>
      </c>
      <c r="E87">
        <f>MID(B87,1,1)*9+MID(B87,2,1)*8+MID(B87,3,1)*7+MID(B87,4,1)*6+MID(B87,5,1)*5+MID(B87,6,1)*4+MID(B87,7,1)*3+MID(B87,8,1)*2+MID(B87,9,1)</f>
        <v/>
      </c>
      <c r="F87">
        <f>IF(B87="", " ", IF(LEN(B87)&lt;&gt;11, "ДЛИНА", IF(NOT(ISNUMBER(--B87)), "НЕ ЦИФРЫ", IF(LEFT(B87,9)*1&lt;=1001998, "OK", IF(RIGHT(B87,2)*1=IF(MOD(E87,101)&gt;=100,0,MOD(E87,101)),"OK","ОШИБКА")))))</f>
        <v/>
      </c>
      <c r="G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">
        <f>IF(LEN(TRIM(A87))=10, --MID(A87,1,1)*2+--MID(A87,2,1)*4+--MID(A87,3,1)*10+--MID(A87,4,1)*3+--MID(A87,5,1)*5+--MID(A87,6,1)*9+--MID(A87,7,1)*4+--MID(A87,8,1)*6+--MID(A87,9,1)*8, IF(LEN(TRIM(A87))=12, --MID(A87,1,1)*7+--MID(A87,2,1)*2+--MID(A87,3,1)*4+--MID(A87,4,1)*10+--MID(A87,5,1)*3+--MID(A87,6,1)*5+--MID(A87,7,1)*9+--MID(A87,8,1)*4+--MID(A87,9,1)*6+--MID(A87,10,1)*8, ""))</f>
        <v/>
      </c>
      <c r="I87">
        <f>IF(LEN(TRIM(A87))=12, --MID(A87,1,1)*3+--MID(A87,2,1)*7+--MID(A87,3,1)*2+--MID(A87,4,1)*4+--MID(A87,5,1)*10+--MID(A87,6,1)*3+--MID(A87,7,1)*5+--MID(A87,8,1)*9+--MID(A87,9,1)*4+--MID(A87,10,1)*6+--MID(A87,11,1)*8, "")</f>
        <v/>
      </c>
    </row>
    <row r="88">
      <c r="A88">
        <f>SUBSTITUTE(SUBSTITUTE(SUBSTITUTE(SUBSTITUTE(TRIM(INDEX(Реестр!$B:$B,ROW())),CHAR(160),""),CHAR(9),""),CHAR(10),""),CHAR(13),"")</f>
        <v/>
      </c>
      <c r="B88">
        <f>SUBSTITUTE(SUBSTITUTE(SUBSTITUTE(SUBSTITUTE(SUBSTITUTE(SUBSTITUTE(SUBSTITUTE(TRIM(INDEX(Реестр!$D:$D, ROW())), "-", ""), " ", ""), CHAR(160), ""), CHAR(9), ""), CHAR(10), ""), CHAR(13), ""), CHAR(32), "")</f>
        <v/>
      </c>
      <c r="C88">
        <f>INDEX(Реестр!$H:$H, ROW())</f>
        <v/>
      </c>
      <c r="D88">
        <f>IF(OR(ISBLANK(INDEX(Реестр!$B:$B, ROW())), INDEX(Реестр!$B:$B, ROW())=""), " ", IF(IFERROR(ISNUMBER(--A88),FALSE), IF(LEN(A88)=10, IF(MOD(MOD(H88,11),10)=--RIGHT(A88,1), "OK", "ОШИБКА"), IF(LEN(A88)=12, IF(AND(MOD(MOD(H88,11),10)=--MID(A88,11,1), MOD(MOD(I88,11),10)=--RIGHT(A88,1)), "OK", "ОШИБКА"), "ДЛИНА (10 или 12)")), "НЕ ЦИФРЫ"))</f>
        <v/>
      </c>
      <c r="E88">
        <f>MID(B88,1,1)*9+MID(B88,2,1)*8+MID(B88,3,1)*7+MID(B88,4,1)*6+MID(B88,5,1)*5+MID(B88,6,1)*4+MID(B88,7,1)*3+MID(B88,8,1)*2+MID(B88,9,1)</f>
        <v/>
      </c>
      <c r="F88">
        <f>IF(B88="", " ", IF(LEN(B88)&lt;&gt;11, "ДЛИНА", IF(NOT(ISNUMBER(--B88)), "НЕ ЦИФРЫ", IF(LEFT(B88,9)*1&lt;=1001998, "OK", IF(RIGHT(B88,2)*1=IF(MOD(E88,101)&gt;=100,0,MOD(E88,101)),"OK","ОШИБКА")))))</f>
        <v/>
      </c>
      <c r="G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">
        <f>IF(LEN(TRIM(A88))=10, --MID(A88,1,1)*2+--MID(A88,2,1)*4+--MID(A88,3,1)*10+--MID(A88,4,1)*3+--MID(A88,5,1)*5+--MID(A88,6,1)*9+--MID(A88,7,1)*4+--MID(A88,8,1)*6+--MID(A88,9,1)*8, IF(LEN(TRIM(A88))=12, --MID(A88,1,1)*7+--MID(A88,2,1)*2+--MID(A88,3,1)*4+--MID(A88,4,1)*10+--MID(A88,5,1)*3+--MID(A88,6,1)*5+--MID(A88,7,1)*9+--MID(A88,8,1)*4+--MID(A88,9,1)*6+--MID(A88,10,1)*8, ""))</f>
        <v/>
      </c>
      <c r="I88">
        <f>IF(LEN(TRIM(A88))=12, --MID(A88,1,1)*3+--MID(A88,2,1)*7+--MID(A88,3,1)*2+--MID(A88,4,1)*4+--MID(A88,5,1)*10+--MID(A88,6,1)*3+--MID(A88,7,1)*5+--MID(A88,8,1)*9+--MID(A88,9,1)*4+--MID(A88,10,1)*6+--MID(A88,11,1)*8, "")</f>
        <v/>
      </c>
    </row>
    <row r="89">
      <c r="A89">
        <f>SUBSTITUTE(SUBSTITUTE(SUBSTITUTE(SUBSTITUTE(TRIM(INDEX(Реестр!$B:$B,ROW())),CHAR(160),""),CHAR(9),""),CHAR(10),""),CHAR(13),"")</f>
        <v/>
      </c>
      <c r="B89">
        <f>SUBSTITUTE(SUBSTITUTE(SUBSTITUTE(SUBSTITUTE(SUBSTITUTE(SUBSTITUTE(SUBSTITUTE(TRIM(INDEX(Реестр!$D:$D, ROW())), "-", ""), " ", ""), CHAR(160), ""), CHAR(9), ""), CHAR(10), ""), CHAR(13), ""), CHAR(32), "")</f>
        <v/>
      </c>
      <c r="C89">
        <f>INDEX(Реестр!$H:$H, ROW())</f>
        <v/>
      </c>
      <c r="D89">
        <f>IF(OR(ISBLANK(INDEX(Реестр!$B:$B, ROW())), INDEX(Реестр!$B:$B, ROW())=""), " ", IF(IFERROR(ISNUMBER(--A89),FALSE), IF(LEN(A89)=10, IF(MOD(MOD(H89,11),10)=--RIGHT(A89,1), "OK", "ОШИБКА"), IF(LEN(A89)=12, IF(AND(MOD(MOD(H89,11),10)=--MID(A89,11,1), MOD(MOD(I89,11),10)=--RIGHT(A89,1)), "OK", "ОШИБКА"), "ДЛИНА (10 или 12)")), "НЕ ЦИФРЫ"))</f>
        <v/>
      </c>
      <c r="E89">
        <f>MID(B89,1,1)*9+MID(B89,2,1)*8+MID(B89,3,1)*7+MID(B89,4,1)*6+MID(B89,5,1)*5+MID(B89,6,1)*4+MID(B89,7,1)*3+MID(B89,8,1)*2+MID(B89,9,1)</f>
        <v/>
      </c>
      <c r="F89">
        <f>IF(B89="", " ", IF(LEN(B89)&lt;&gt;11, "ДЛИНА", IF(NOT(ISNUMBER(--B89)), "НЕ ЦИФРЫ", IF(LEFT(B89,9)*1&lt;=1001998, "OK", IF(RIGHT(B89,2)*1=IF(MOD(E89,101)&gt;=100,0,MOD(E89,101)),"OK","ОШИБКА")))))</f>
        <v/>
      </c>
      <c r="G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">
        <f>IF(LEN(TRIM(A89))=10, --MID(A89,1,1)*2+--MID(A89,2,1)*4+--MID(A89,3,1)*10+--MID(A89,4,1)*3+--MID(A89,5,1)*5+--MID(A89,6,1)*9+--MID(A89,7,1)*4+--MID(A89,8,1)*6+--MID(A89,9,1)*8, IF(LEN(TRIM(A89))=12, --MID(A89,1,1)*7+--MID(A89,2,1)*2+--MID(A89,3,1)*4+--MID(A89,4,1)*10+--MID(A89,5,1)*3+--MID(A89,6,1)*5+--MID(A89,7,1)*9+--MID(A89,8,1)*4+--MID(A89,9,1)*6+--MID(A89,10,1)*8, ""))</f>
        <v/>
      </c>
      <c r="I89">
        <f>IF(LEN(TRIM(A89))=12, --MID(A89,1,1)*3+--MID(A89,2,1)*7+--MID(A89,3,1)*2+--MID(A89,4,1)*4+--MID(A89,5,1)*10+--MID(A89,6,1)*3+--MID(A89,7,1)*5+--MID(A89,8,1)*9+--MID(A89,9,1)*4+--MID(A89,10,1)*6+--MID(A89,11,1)*8, "")</f>
        <v/>
      </c>
    </row>
    <row r="90">
      <c r="A90">
        <f>SUBSTITUTE(SUBSTITUTE(SUBSTITUTE(SUBSTITUTE(TRIM(INDEX(Реестр!$B:$B,ROW())),CHAR(160),""),CHAR(9),""),CHAR(10),""),CHAR(13),"")</f>
        <v/>
      </c>
      <c r="B90">
        <f>SUBSTITUTE(SUBSTITUTE(SUBSTITUTE(SUBSTITUTE(SUBSTITUTE(SUBSTITUTE(SUBSTITUTE(TRIM(INDEX(Реестр!$D:$D, ROW())), "-", ""), " ", ""), CHAR(160), ""), CHAR(9), ""), CHAR(10), ""), CHAR(13), ""), CHAR(32), "")</f>
        <v/>
      </c>
      <c r="C90">
        <f>INDEX(Реестр!$H:$H, ROW())</f>
        <v/>
      </c>
      <c r="D90">
        <f>IF(OR(ISBLANK(INDEX(Реестр!$B:$B, ROW())), INDEX(Реестр!$B:$B, ROW())=""), " ", IF(IFERROR(ISNUMBER(--A90),FALSE), IF(LEN(A90)=10, IF(MOD(MOD(H90,11),10)=--RIGHT(A90,1), "OK", "ОШИБКА"), IF(LEN(A90)=12, IF(AND(MOD(MOD(H90,11),10)=--MID(A90,11,1), MOD(MOD(I90,11),10)=--RIGHT(A90,1)), "OK", "ОШИБКА"), "ДЛИНА (10 или 12)")), "НЕ ЦИФРЫ"))</f>
        <v/>
      </c>
      <c r="E90">
        <f>MID(B90,1,1)*9+MID(B90,2,1)*8+MID(B90,3,1)*7+MID(B90,4,1)*6+MID(B90,5,1)*5+MID(B90,6,1)*4+MID(B90,7,1)*3+MID(B90,8,1)*2+MID(B90,9,1)</f>
        <v/>
      </c>
      <c r="F90">
        <f>IF(B90="", " ", IF(LEN(B90)&lt;&gt;11, "ДЛИНА", IF(NOT(ISNUMBER(--B90)), "НЕ ЦИФРЫ", IF(LEFT(B90,9)*1&lt;=1001998, "OK", IF(RIGHT(B90,2)*1=IF(MOD(E90,101)&gt;=100,0,MOD(E90,101)),"OK","ОШИБКА")))))</f>
        <v/>
      </c>
      <c r="G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">
        <f>IF(LEN(TRIM(A90))=10, --MID(A90,1,1)*2+--MID(A90,2,1)*4+--MID(A90,3,1)*10+--MID(A90,4,1)*3+--MID(A90,5,1)*5+--MID(A90,6,1)*9+--MID(A90,7,1)*4+--MID(A90,8,1)*6+--MID(A90,9,1)*8, IF(LEN(TRIM(A90))=12, --MID(A90,1,1)*7+--MID(A90,2,1)*2+--MID(A90,3,1)*4+--MID(A90,4,1)*10+--MID(A90,5,1)*3+--MID(A90,6,1)*5+--MID(A90,7,1)*9+--MID(A90,8,1)*4+--MID(A90,9,1)*6+--MID(A90,10,1)*8, ""))</f>
        <v/>
      </c>
      <c r="I90">
        <f>IF(LEN(TRIM(A90))=12, --MID(A90,1,1)*3+--MID(A90,2,1)*7+--MID(A90,3,1)*2+--MID(A90,4,1)*4+--MID(A90,5,1)*10+--MID(A90,6,1)*3+--MID(A90,7,1)*5+--MID(A90,8,1)*9+--MID(A90,9,1)*4+--MID(A90,10,1)*6+--MID(A90,11,1)*8, "")</f>
        <v/>
      </c>
    </row>
    <row r="91">
      <c r="A91">
        <f>SUBSTITUTE(SUBSTITUTE(SUBSTITUTE(SUBSTITUTE(TRIM(INDEX(Реестр!$B:$B,ROW())),CHAR(160),""),CHAR(9),""),CHAR(10),""),CHAR(13),"")</f>
        <v/>
      </c>
      <c r="B91">
        <f>SUBSTITUTE(SUBSTITUTE(SUBSTITUTE(SUBSTITUTE(SUBSTITUTE(SUBSTITUTE(SUBSTITUTE(TRIM(INDEX(Реестр!$D:$D, ROW())), "-", ""), " ", ""), CHAR(160), ""), CHAR(9), ""), CHAR(10), ""), CHAR(13), ""), CHAR(32), "")</f>
        <v/>
      </c>
      <c r="C91">
        <f>INDEX(Реестр!$H:$H, ROW())</f>
        <v/>
      </c>
      <c r="D91">
        <f>IF(OR(ISBLANK(INDEX(Реестр!$B:$B, ROW())), INDEX(Реестр!$B:$B, ROW())=""), " ", IF(IFERROR(ISNUMBER(--A91),FALSE), IF(LEN(A91)=10, IF(MOD(MOD(H91,11),10)=--RIGHT(A91,1), "OK", "ОШИБКА"), IF(LEN(A91)=12, IF(AND(MOD(MOD(H91,11),10)=--MID(A91,11,1), MOD(MOD(I91,11),10)=--RIGHT(A91,1)), "OK", "ОШИБКА"), "ДЛИНА (10 или 12)")), "НЕ ЦИФРЫ"))</f>
        <v/>
      </c>
      <c r="E91">
        <f>MID(B91,1,1)*9+MID(B91,2,1)*8+MID(B91,3,1)*7+MID(B91,4,1)*6+MID(B91,5,1)*5+MID(B91,6,1)*4+MID(B91,7,1)*3+MID(B91,8,1)*2+MID(B91,9,1)</f>
        <v/>
      </c>
      <c r="F91">
        <f>IF(B91="", " ", IF(LEN(B91)&lt;&gt;11, "ДЛИНА", IF(NOT(ISNUMBER(--B91)), "НЕ ЦИФРЫ", IF(LEFT(B91,9)*1&lt;=1001998, "OK", IF(RIGHT(B91,2)*1=IF(MOD(E91,101)&gt;=100,0,MOD(E91,101)),"OK","ОШИБКА")))))</f>
        <v/>
      </c>
      <c r="G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">
        <f>IF(LEN(TRIM(A91))=10, --MID(A91,1,1)*2+--MID(A91,2,1)*4+--MID(A91,3,1)*10+--MID(A91,4,1)*3+--MID(A91,5,1)*5+--MID(A91,6,1)*9+--MID(A91,7,1)*4+--MID(A91,8,1)*6+--MID(A91,9,1)*8, IF(LEN(TRIM(A91))=12, --MID(A91,1,1)*7+--MID(A91,2,1)*2+--MID(A91,3,1)*4+--MID(A91,4,1)*10+--MID(A91,5,1)*3+--MID(A91,6,1)*5+--MID(A91,7,1)*9+--MID(A91,8,1)*4+--MID(A91,9,1)*6+--MID(A91,10,1)*8, ""))</f>
        <v/>
      </c>
      <c r="I91">
        <f>IF(LEN(TRIM(A91))=12, --MID(A91,1,1)*3+--MID(A91,2,1)*7+--MID(A91,3,1)*2+--MID(A91,4,1)*4+--MID(A91,5,1)*10+--MID(A91,6,1)*3+--MID(A91,7,1)*5+--MID(A91,8,1)*9+--MID(A91,9,1)*4+--MID(A91,10,1)*6+--MID(A91,11,1)*8, "")</f>
        <v/>
      </c>
    </row>
    <row r="92">
      <c r="A92">
        <f>SUBSTITUTE(SUBSTITUTE(SUBSTITUTE(SUBSTITUTE(TRIM(INDEX(Реестр!$B:$B,ROW())),CHAR(160),""),CHAR(9),""),CHAR(10),""),CHAR(13),"")</f>
        <v/>
      </c>
      <c r="B92">
        <f>SUBSTITUTE(SUBSTITUTE(SUBSTITUTE(SUBSTITUTE(SUBSTITUTE(SUBSTITUTE(SUBSTITUTE(TRIM(INDEX(Реестр!$D:$D, ROW())), "-", ""), " ", ""), CHAR(160), ""), CHAR(9), ""), CHAR(10), ""), CHAR(13), ""), CHAR(32), "")</f>
        <v/>
      </c>
      <c r="C92">
        <f>INDEX(Реестр!$H:$H, ROW())</f>
        <v/>
      </c>
      <c r="D92">
        <f>IF(OR(ISBLANK(INDEX(Реестр!$B:$B, ROW())), INDEX(Реестр!$B:$B, ROW())=""), " ", IF(IFERROR(ISNUMBER(--A92),FALSE), IF(LEN(A92)=10, IF(MOD(MOD(H92,11),10)=--RIGHT(A92,1), "OK", "ОШИБКА"), IF(LEN(A92)=12, IF(AND(MOD(MOD(H92,11),10)=--MID(A92,11,1), MOD(MOD(I92,11),10)=--RIGHT(A92,1)), "OK", "ОШИБКА"), "ДЛИНА (10 или 12)")), "НЕ ЦИФРЫ"))</f>
        <v/>
      </c>
      <c r="E92">
        <f>MID(B92,1,1)*9+MID(B92,2,1)*8+MID(B92,3,1)*7+MID(B92,4,1)*6+MID(B92,5,1)*5+MID(B92,6,1)*4+MID(B92,7,1)*3+MID(B92,8,1)*2+MID(B92,9,1)</f>
        <v/>
      </c>
      <c r="F92">
        <f>IF(B92="", " ", IF(LEN(B92)&lt;&gt;11, "ДЛИНА", IF(NOT(ISNUMBER(--B92)), "НЕ ЦИФРЫ", IF(LEFT(B92,9)*1&lt;=1001998, "OK", IF(RIGHT(B92,2)*1=IF(MOD(E92,101)&gt;=100,0,MOD(E92,101)),"OK","ОШИБКА")))))</f>
        <v/>
      </c>
      <c r="G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">
        <f>IF(LEN(TRIM(A92))=10, --MID(A92,1,1)*2+--MID(A92,2,1)*4+--MID(A92,3,1)*10+--MID(A92,4,1)*3+--MID(A92,5,1)*5+--MID(A92,6,1)*9+--MID(A92,7,1)*4+--MID(A92,8,1)*6+--MID(A92,9,1)*8, IF(LEN(TRIM(A92))=12, --MID(A92,1,1)*7+--MID(A92,2,1)*2+--MID(A92,3,1)*4+--MID(A92,4,1)*10+--MID(A92,5,1)*3+--MID(A92,6,1)*5+--MID(A92,7,1)*9+--MID(A92,8,1)*4+--MID(A92,9,1)*6+--MID(A92,10,1)*8, ""))</f>
        <v/>
      </c>
      <c r="I92">
        <f>IF(LEN(TRIM(A92))=12, --MID(A92,1,1)*3+--MID(A92,2,1)*7+--MID(A92,3,1)*2+--MID(A92,4,1)*4+--MID(A92,5,1)*10+--MID(A92,6,1)*3+--MID(A92,7,1)*5+--MID(A92,8,1)*9+--MID(A92,9,1)*4+--MID(A92,10,1)*6+--MID(A92,11,1)*8, "")</f>
        <v/>
      </c>
    </row>
    <row r="93">
      <c r="A93">
        <f>SUBSTITUTE(SUBSTITUTE(SUBSTITUTE(SUBSTITUTE(TRIM(INDEX(Реестр!$B:$B,ROW())),CHAR(160),""),CHAR(9),""),CHAR(10),""),CHAR(13),"")</f>
        <v/>
      </c>
      <c r="B93">
        <f>SUBSTITUTE(SUBSTITUTE(SUBSTITUTE(SUBSTITUTE(SUBSTITUTE(SUBSTITUTE(SUBSTITUTE(TRIM(INDEX(Реестр!$D:$D, ROW())), "-", ""), " ", ""), CHAR(160), ""), CHAR(9), ""), CHAR(10), ""), CHAR(13), ""), CHAR(32), "")</f>
        <v/>
      </c>
      <c r="C93">
        <f>INDEX(Реестр!$H:$H, ROW())</f>
        <v/>
      </c>
      <c r="D93">
        <f>IF(OR(ISBLANK(INDEX(Реестр!$B:$B, ROW())), INDEX(Реестр!$B:$B, ROW())=""), " ", IF(IFERROR(ISNUMBER(--A93),FALSE), IF(LEN(A93)=10, IF(MOD(MOD(H93,11),10)=--RIGHT(A93,1), "OK", "ОШИБКА"), IF(LEN(A93)=12, IF(AND(MOD(MOD(H93,11),10)=--MID(A93,11,1), MOD(MOD(I93,11),10)=--RIGHT(A93,1)), "OK", "ОШИБКА"), "ДЛИНА (10 или 12)")), "НЕ ЦИФРЫ"))</f>
        <v/>
      </c>
      <c r="E93">
        <f>MID(B93,1,1)*9+MID(B93,2,1)*8+MID(B93,3,1)*7+MID(B93,4,1)*6+MID(B93,5,1)*5+MID(B93,6,1)*4+MID(B93,7,1)*3+MID(B93,8,1)*2+MID(B93,9,1)</f>
        <v/>
      </c>
      <c r="F93">
        <f>IF(B93="", " ", IF(LEN(B93)&lt;&gt;11, "ДЛИНА", IF(NOT(ISNUMBER(--B93)), "НЕ ЦИФРЫ", IF(LEFT(B93,9)*1&lt;=1001998, "OK", IF(RIGHT(B93,2)*1=IF(MOD(E93,101)&gt;=100,0,MOD(E93,101)),"OK","ОШИБКА")))))</f>
        <v/>
      </c>
      <c r="G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">
        <f>IF(LEN(TRIM(A93))=10, --MID(A93,1,1)*2+--MID(A93,2,1)*4+--MID(A93,3,1)*10+--MID(A93,4,1)*3+--MID(A93,5,1)*5+--MID(A93,6,1)*9+--MID(A93,7,1)*4+--MID(A93,8,1)*6+--MID(A93,9,1)*8, IF(LEN(TRIM(A93))=12, --MID(A93,1,1)*7+--MID(A93,2,1)*2+--MID(A93,3,1)*4+--MID(A93,4,1)*10+--MID(A93,5,1)*3+--MID(A93,6,1)*5+--MID(A93,7,1)*9+--MID(A93,8,1)*4+--MID(A93,9,1)*6+--MID(A93,10,1)*8, ""))</f>
        <v/>
      </c>
      <c r="I93">
        <f>IF(LEN(TRIM(A93))=12, --MID(A93,1,1)*3+--MID(A93,2,1)*7+--MID(A93,3,1)*2+--MID(A93,4,1)*4+--MID(A93,5,1)*10+--MID(A93,6,1)*3+--MID(A93,7,1)*5+--MID(A93,8,1)*9+--MID(A93,9,1)*4+--MID(A93,10,1)*6+--MID(A93,11,1)*8, "")</f>
        <v/>
      </c>
    </row>
    <row r="94">
      <c r="A94">
        <f>SUBSTITUTE(SUBSTITUTE(SUBSTITUTE(SUBSTITUTE(TRIM(INDEX(Реестр!$B:$B,ROW())),CHAR(160),""),CHAR(9),""),CHAR(10),""),CHAR(13),"")</f>
        <v/>
      </c>
      <c r="B94">
        <f>SUBSTITUTE(SUBSTITUTE(SUBSTITUTE(SUBSTITUTE(SUBSTITUTE(SUBSTITUTE(SUBSTITUTE(TRIM(INDEX(Реестр!$D:$D, ROW())), "-", ""), " ", ""), CHAR(160), ""), CHAR(9), ""), CHAR(10), ""), CHAR(13), ""), CHAR(32), "")</f>
        <v/>
      </c>
      <c r="C94">
        <f>INDEX(Реестр!$H:$H, ROW())</f>
        <v/>
      </c>
      <c r="D94">
        <f>IF(OR(ISBLANK(INDEX(Реестр!$B:$B, ROW())), INDEX(Реестр!$B:$B, ROW())=""), " ", IF(IFERROR(ISNUMBER(--A94),FALSE), IF(LEN(A94)=10, IF(MOD(MOD(H94,11),10)=--RIGHT(A94,1), "OK", "ОШИБКА"), IF(LEN(A94)=12, IF(AND(MOD(MOD(H94,11),10)=--MID(A94,11,1), MOD(MOD(I94,11),10)=--RIGHT(A94,1)), "OK", "ОШИБКА"), "ДЛИНА (10 или 12)")), "НЕ ЦИФРЫ"))</f>
        <v/>
      </c>
      <c r="E94">
        <f>MID(B94,1,1)*9+MID(B94,2,1)*8+MID(B94,3,1)*7+MID(B94,4,1)*6+MID(B94,5,1)*5+MID(B94,6,1)*4+MID(B94,7,1)*3+MID(B94,8,1)*2+MID(B94,9,1)</f>
        <v/>
      </c>
      <c r="F94">
        <f>IF(B94="", " ", IF(LEN(B94)&lt;&gt;11, "ДЛИНА", IF(NOT(ISNUMBER(--B94)), "НЕ ЦИФРЫ", IF(LEFT(B94,9)*1&lt;=1001998, "OK", IF(RIGHT(B94,2)*1=IF(MOD(E94,101)&gt;=100,0,MOD(E94,101)),"OK","ОШИБКА")))))</f>
        <v/>
      </c>
      <c r="G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">
        <f>IF(LEN(TRIM(A94))=10, --MID(A94,1,1)*2+--MID(A94,2,1)*4+--MID(A94,3,1)*10+--MID(A94,4,1)*3+--MID(A94,5,1)*5+--MID(A94,6,1)*9+--MID(A94,7,1)*4+--MID(A94,8,1)*6+--MID(A94,9,1)*8, IF(LEN(TRIM(A94))=12, --MID(A94,1,1)*7+--MID(A94,2,1)*2+--MID(A94,3,1)*4+--MID(A94,4,1)*10+--MID(A94,5,1)*3+--MID(A94,6,1)*5+--MID(A94,7,1)*9+--MID(A94,8,1)*4+--MID(A94,9,1)*6+--MID(A94,10,1)*8, ""))</f>
        <v/>
      </c>
      <c r="I94">
        <f>IF(LEN(TRIM(A94))=12, --MID(A94,1,1)*3+--MID(A94,2,1)*7+--MID(A94,3,1)*2+--MID(A94,4,1)*4+--MID(A94,5,1)*10+--MID(A94,6,1)*3+--MID(A94,7,1)*5+--MID(A94,8,1)*9+--MID(A94,9,1)*4+--MID(A94,10,1)*6+--MID(A94,11,1)*8, "")</f>
        <v/>
      </c>
    </row>
    <row r="95">
      <c r="A95">
        <f>SUBSTITUTE(SUBSTITUTE(SUBSTITUTE(SUBSTITUTE(TRIM(INDEX(Реестр!$B:$B,ROW())),CHAR(160),""),CHAR(9),""),CHAR(10),""),CHAR(13),"")</f>
        <v/>
      </c>
      <c r="B95">
        <f>SUBSTITUTE(SUBSTITUTE(SUBSTITUTE(SUBSTITUTE(SUBSTITUTE(SUBSTITUTE(SUBSTITUTE(TRIM(INDEX(Реестр!$D:$D, ROW())), "-", ""), " ", ""), CHAR(160), ""), CHAR(9), ""), CHAR(10), ""), CHAR(13), ""), CHAR(32), "")</f>
        <v/>
      </c>
      <c r="C95">
        <f>INDEX(Реестр!$H:$H, ROW())</f>
        <v/>
      </c>
      <c r="D95">
        <f>IF(OR(ISBLANK(INDEX(Реестр!$B:$B, ROW())), INDEX(Реестр!$B:$B, ROW())=""), " ", IF(IFERROR(ISNUMBER(--A95),FALSE), IF(LEN(A95)=10, IF(MOD(MOD(H95,11),10)=--RIGHT(A95,1), "OK", "ОШИБКА"), IF(LEN(A95)=12, IF(AND(MOD(MOD(H95,11),10)=--MID(A95,11,1), MOD(MOD(I95,11),10)=--RIGHT(A95,1)), "OK", "ОШИБКА"), "ДЛИНА (10 или 12)")), "НЕ ЦИФРЫ"))</f>
        <v/>
      </c>
      <c r="E95">
        <f>MID(B95,1,1)*9+MID(B95,2,1)*8+MID(B95,3,1)*7+MID(B95,4,1)*6+MID(B95,5,1)*5+MID(B95,6,1)*4+MID(B95,7,1)*3+MID(B95,8,1)*2+MID(B95,9,1)</f>
        <v/>
      </c>
      <c r="F95">
        <f>IF(B95="", " ", IF(LEN(B95)&lt;&gt;11, "ДЛИНА", IF(NOT(ISNUMBER(--B95)), "НЕ ЦИФРЫ", IF(LEFT(B95,9)*1&lt;=1001998, "OK", IF(RIGHT(B95,2)*1=IF(MOD(E95,101)&gt;=100,0,MOD(E95,101)),"OK","ОШИБКА")))))</f>
        <v/>
      </c>
      <c r="G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">
        <f>IF(LEN(TRIM(A95))=10, --MID(A95,1,1)*2+--MID(A95,2,1)*4+--MID(A95,3,1)*10+--MID(A95,4,1)*3+--MID(A95,5,1)*5+--MID(A95,6,1)*9+--MID(A95,7,1)*4+--MID(A95,8,1)*6+--MID(A95,9,1)*8, IF(LEN(TRIM(A95))=12, --MID(A95,1,1)*7+--MID(A95,2,1)*2+--MID(A95,3,1)*4+--MID(A95,4,1)*10+--MID(A95,5,1)*3+--MID(A95,6,1)*5+--MID(A95,7,1)*9+--MID(A95,8,1)*4+--MID(A95,9,1)*6+--MID(A95,10,1)*8, ""))</f>
        <v/>
      </c>
      <c r="I95">
        <f>IF(LEN(TRIM(A95))=12, --MID(A95,1,1)*3+--MID(A95,2,1)*7+--MID(A95,3,1)*2+--MID(A95,4,1)*4+--MID(A95,5,1)*10+--MID(A95,6,1)*3+--MID(A95,7,1)*5+--MID(A95,8,1)*9+--MID(A95,9,1)*4+--MID(A95,10,1)*6+--MID(A95,11,1)*8, "")</f>
        <v/>
      </c>
    </row>
    <row r="96">
      <c r="A96">
        <f>SUBSTITUTE(SUBSTITUTE(SUBSTITUTE(SUBSTITUTE(TRIM(INDEX(Реестр!$B:$B,ROW())),CHAR(160),""),CHAR(9),""),CHAR(10),""),CHAR(13),"")</f>
        <v/>
      </c>
      <c r="B96">
        <f>SUBSTITUTE(SUBSTITUTE(SUBSTITUTE(SUBSTITUTE(SUBSTITUTE(SUBSTITUTE(SUBSTITUTE(TRIM(INDEX(Реестр!$D:$D, ROW())), "-", ""), " ", ""), CHAR(160), ""), CHAR(9), ""), CHAR(10), ""), CHAR(13), ""), CHAR(32), "")</f>
        <v/>
      </c>
      <c r="C96">
        <f>INDEX(Реестр!$H:$H, ROW())</f>
        <v/>
      </c>
      <c r="D96">
        <f>IF(OR(ISBLANK(INDEX(Реестр!$B:$B, ROW())), INDEX(Реестр!$B:$B, ROW())=""), " ", IF(IFERROR(ISNUMBER(--A96),FALSE), IF(LEN(A96)=10, IF(MOD(MOD(H96,11),10)=--RIGHT(A96,1), "OK", "ОШИБКА"), IF(LEN(A96)=12, IF(AND(MOD(MOD(H96,11),10)=--MID(A96,11,1), MOD(MOD(I96,11),10)=--RIGHT(A96,1)), "OK", "ОШИБКА"), "ДЛИНА (10 или 12)")), "НЕ ЦИФРЫ"))</f>
        <v/>
      </c>
      <c r="E96">
        <f>MID(B96,1,1)*9+MID(B96,2,1)*8+MID(B96,3,1)*7+MID(B96,4,1)*6+MID(B96,5,1)*5+MID(B96,6,1)*4+MID(B96,7,1)*3+MID(B96,8,1)*2+MID(B96,9,1)</f>
        <v/>
      </c>
      <c r="F96">
        <f>IF(B96="", " ", IF(LEN(B96)&lt;&gt;11, "ДЛИНА", IF(NOT(ISNUMBER(--B96)), "НЕ ЦИФРЫ", IF(LEFT(B96,9)*1&lt;=1001998, "OK", IF(RIGHT(B96,2)*1=IF(MOD(E96,101)&gt;=100,0,MOD(E96,101)),"OK","ОШИБКА")))))</f>
        <v/>
      </c>
      <c r="G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">
        <f>IF(LEN(TRIM(A96))=10, --MID(A96,1,1)*2+--MID(A96,2,1)*4+--MID(A96,3,1)*10+--MID(A96,4,1)*3+--MID(A96,5,1)*5+--MID(A96,6,1)*9+--MID(A96,7,1)*4+--MID(A96,8,1)*6+--MID(A96,9,1)*8, IF(LEN(TRIM(A96))=12, --MID(A96,1,1)*7+--MID(A96,2,1)*2+--MID(A96,3,1)*4+--MID(A96,4,1)*10+--MID(A96,5,1)*3+--MID(A96,6,1)*5+--MID(A96,7,1)*9+--MID(A96,8,1)*4+--MID(A96,9,1)*6+--MID(A96,10,1)*8, ""))</f>
        <v/>
      </c>
      <c r="I96">
        <f>IF(LEN(TRIM(A96))=12, --MID(A96,1,1)*3+--MID(A96,2,1)*7+--MID(A96,3,1)*2+--MID(A96,4,1)*4+--MID(A96,5,1)*10+--MID(A96,6,1)*3+--MID(A96,7,1)*5+--MID(A96,8,1)*9+--MID(A96,9,1)*4+--MID(A96,10,1)*6+--MID(A96,11,1)*8, "")</f>
        <v/>
      </c>
    </row>
    <row r="97">
      <c r="A97">
        <f>SUBSTITUTE(SUBSTITUTE(SUBSTITUTE(SUBSTITUTE(TRIM(INDEX(Реестр!$B:$B,ROW())),CHAR(160),""),CHAR(9),""),CHAR(10),""),CHAR(13),"")</f>
        <v/>
      </c>
      <c r="B97">
        <f>SUBSTITUTE(SUBSTITUTE(SUBSTITUTE(SUBSTITUTE(SUBSTITUTE(SUBSTITUTE(SUBSTITUTE(TRIM(INDEX(Реестр!$D:$D, ROW())), "-", ""), " ", ""), CHAR(160), ""), CHAR(9), ""), CHAR(10), ""), CHAR(13), ""), CHAR(32), "")</f>
        <v/>
      </c>
      <c r="C97">
        <f>INDEX(Реестр!$H:$H, ROW())</f>
        <v/>
      </c>
      <c r="D97">
        <f>IF(OR(ISBLANK(INDEX(Реестр!$B:$B, ROW())), INDEX(Реестр!$B:$B, ROW())=""), " ", IF(IFERROR(ISNUMBER(--A97),FALSE), IF(LEN(A97)=10, IF(MOD(MOD(H97,11),10)=--RIGHT(A97,1), "OK", "ОШИБКА"), IF(LEN(A97)=12, IF(AND(MOD(MOD(H97,11),10)=--MID(A97,11,1), MOD(MOD(I97,11),10)=--RIGHT(A97,1)), "OK", "ОШИБКА"), "ДЛИНА (10 или 12)")), "НЕ ЦИФРЫ"))</f>
        <v/>
      </c>
      <c r="E97">
        <f>MID(B97,1,1)*9+MID(B97,2,1)*8+MID(B97,3,1)*7+MID(B97,4,1)*6+MID(B97,5,1)*5+MID(B97,6,1)*4+MID(B97,7,1)*3+MID(B97,8,1)*2+MID(B97,9,1)</f>
        <v/>
      </c>
      <c r="F97">
        <f>IF(B97="", " ", IF(LEN(B97)&lt;&gt;11, "ДЛИНА", IF(NOT(ISNUMBER(--B97)), "НЕ ЦИФРЫ", IF(LEFT(B97,9)*1&lt;=1001998, "OK", IF(RIGHT(B97,2)*1=IF(MOD(E97,101)&gt;=100,0,MOD(E97,101)),"OK","ОШИБКА")))))</f>
        <v/>
      </c>
      <c r="G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">
        <f>IF(LEN(TRIM(A97))=10, --MID(A97,1,1)*2+--MID(A97,2,1)*4+--MID(A97,3,1)*10+--MID(A97,4,1)*3+--MID(A97,5,1)*5+--MID(A97,6,1)*9+--MID(A97,7,1)*4+--MID(A97,8,1)*6+--MID(A97,9,1)*8, IF(LEN(TRIM(A97))=12, --MID(A97,1,1)*7+--MID(A97,2,1)*2+--MID(A97,3,1)*4+--MID(A97,4,1)*10+--MID(A97,5,1)*3+--MID(A97,6,1)*5+--MID(A97,7,1)*9+--MID(A97,8,1)*4+--MID(A97,9,1)*6+--MID(A97,10,1)*8, ""))</f>
        <v/>
      </c>
      <c r="I97">
        <f>IF(LEN(TRIM(A97))=12, --MID(A97,1,1)*3+--MID(A97,2,1)*7+--MID(A97,3,1)*2+--MID(A97,4,1)*4+--MID(A97,5,1)*10+--MID(A97,6,1)*3+--MID(A97,7,1)*5+--MID(A97,8,1)*9+--MID(A97,9,1)*4+--MID(A97,10,1)*6+--MID(A97,11,1)*8, "")</f>
        <v/>
      </c>
    </row>
    <row r="98">
      <c r="A98">
        <f>SUBSTITUTE(SUBSTITUTE(SUBSTITUTE(SUBSTITUTE(TRIM(INDEX(Реестр!$B:$B,ROW())),CHAR(160),""),CHAR(9),""),CHAR(10),""),CHAR(13),"")</f>
        <v/>
      </c>
      <c r="B98">
        <f>SUBSTITUTE(SUBSTITUTE(SUBSTITUTE(SUBSTITUTE(SUBSTITUTE(SUBSTITUTE(SUBSTITUTE(TRIM(INDEX(Реестр!$D:$D, ROW())), "-", ""), " ", ""), CHAR(160), ""), CHAR(9), ""), CHAR(10), ""), CHAR(13), ""), CHAR(32), "")</f>
        <v/>
      </c>
      <c r="C98">
        <f>INDEX(Реестр!$H:$H, ROW())</f>
        <v/>
      </c>
      <c r="D98">
        <f>IF(OR(ISBLANK(INDEX(Реестр!$B:$B, ROW())), INDEX(Реестр!$B:$B, ROW())=""), " ", IF(IFERROR(ISNUMBER(--A98),FALSE), IF(LEN(A98)=10, IF(MOD(MOD(H98,11),10)=--RIGHT(A98,1), "OK", "ОШИБКА"), IF(LEN(A98)=12, IF(AND(MOD(MOD(H98,11),10)=--MID(A98,11,1), MOD(MOD(I98,11),10)=--RIGHT(A98,1)), "OK", "ОШИБКА"), "ДЛИНА (10 или 12)")), "НЕ ЦИФРЫ"))</f>
        <v/>
      </c>
      <c r="E98">
        <f>MID(B98,1,1)*9+MID(B98,2,1)*8+MID(B98,3,1)*7+MID(B98,4,1)*6+MID(B98,5,1)*5+MID(B98,6,1)*4+MID(B98,7,1)*3+MID(B98,8,1)*2+MID(B98,9,1)</f>
        <v/>
      </c>
      <c r="F98">
        <f>IF(B98="", " ", IF(LEN(B98)&lt;&gt;11, "ДЛИНА", IF(NOT(ISNUMBER(--B98)), "НЕ ЦИФРЫ", IF(LEFT(B98,9)*1&lt;=1001998, "OK", IF(RIGHT(B98,2)*1=IF(MOD(E98,101)&gt;=100,0,MOD(E98,101)),"OK","ОШИБКА")))))</f>
        <v/>
      </c>
      <c r="G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">
        <f>IF(LEN(TRIM(A98))=10, --MID(A98,1,1)*2+--MID(A98,2,1)*4+--MID(A98,3,1)*10+--MID(A98,4,1)*3+--MID(A98,5,1)*5+--MID(A98,6,1)*9+--MID(A98,7,1)*4+--MID(A98,8,1)*6+--MID(A98,9,1)*8, IF(LEN(TRIM(A98))=12, --MID(A98,1,1)*7+--MID(A98,2,1)*2+--MID(A98,3,1)*4+--MID(A98,4,1)*10+--MID(A98,5,1)*3+--MID(A98,6,1)*5+--MID(A98,7,1)*9+--MID(A98,8,1)*4+--MID(A98,9,1)*6+--MID(A98,10,1)*8, ""))</f>
        <v/>
      </c>
      <c r="I98">
        <f>IF(LEN(TRIM(A98))=12, --MID(A98,1,1)*3+--MID(A98,2,1)*7+--MID(A98,3,1)*2+--MID(A98,4,1)*4+--MID(A98,5,1)*10+--MID(A98,6,1)*3+--MID(A98,7,1)*5+--MID(A98,8,1)*9+--MID(A98,9,1)*4+--MID(A98,10,1)*6+--MID(A98,11,1)*8, "")</f>
        <v/>
      </c>
    </row>
    <row r="99">
      <c r="A99">
        <f>SUBSTITUTE(SUBSTITUTE(SUBSTITUTE(SUBSTITUTE(TRIM(INDEX(Реестр!$B:$B,ROW())),CHAR(160),""),CHAR(9),""),CHAR(10),""),CHAR(13),"")</f>
        <v/>
      </c>
      <c r="B99">
        <f>SUBSTITUTE(SUBSTITUTE(SUBSTITUTE(SUBSTITUTE(SUBSTITUTE(SUBSTITUTE(SUBSTITUTE(TRIM(INDEX(Реестр!$D:$D, ROW())), "-", ""), " ", ""), CHAR(160), ""), CHAR(9), ""), CHAR(10), ""), CHAR(13), ""), CHAR(32), "")</f>
        <v/>
      </c>
      <c r="C99">
        <f>INDEX(Реестр!$H:$H, ROW())</f>
        <v/>
      </c>
      <c r="D99">
        <f>IF(OR(ISBLANK(INDEX(Реестр!$B:$B, ROW())), INDEX(Реестр!$B:$B, ROW())=""), " ", IF(IFERROR(ISNUMBER(--A99),FALSE), IF(LEN(A99)=10, IF(MOD(MOD(H99,11),10)=--RIGHT(A99,1), "OK", "ОШИБКА"), IF(LEN(A99)=12, IF(AND(MOD(MOD(H99,11),10)=--MID(A99,11,1), MOD(MOD(I99,11),10)=--RIGHT(A99,1)), "OK", "ОШИБКА"), "ДЛИНА (10 или 12)")), "НЕ ЦИФРЫ"))</f>
        <v/>
      </c>
      <c r="E99">
        <f>MID(B99,1,1)*9+MID(B99,2,1)*8+MID(B99,3,1)*7+MID(B99,4,1)*6+MID(B99,5,1)*5+MID(B99,6,1)*4+MID(B99,7,1)*3+MID(B99,8,1)*2+MID(B99,9,1)</f>
        <v/>
      </c>
      <c r="F99">
        <f>IF(B99="", " ", IF(LEN(B99)&lt;&gt;11, "ДЛИНА", IF(NOT(ISNUMBER(--B99)), "НЕ ЦИФРЫ", IF(LEFT(B99,9)*1&lt;=1001998, "OK", IF(RIGHT(B99,2)*1=IF(MOD(E99,101)&gt;=100,0,MOD(E99,101)),"OK","ОШИБКА")))))</f>
        <v/>
      </c>
      <c r="G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">
        <f>IF(LEN(TRIM(A99))=10, --MID(A99,1,1)*2+--MID(A99,2,1)*4+--MID(A99,3,1)*10+--MID(A99,4,1)*3+--MID(A99,5,1)*5+--MID(A99,6,1)*9+--MID(A99,7,1)*4+--MID(A99,8,1)*6+--MID(A99,9,1)*8, IF(LEN(TRIM(A99))=12, --MID(A99,1,1)*7+--MID(A99,2,1)*2+--MID(A99,3,1)*4+--MID(A99,4,1)*10+--MID(A99,5,1)*3+--MID(A99,6,1)*5+--MID(A99,7,1)*9+--MID(A99,8,1)*4+--MID(A99,9,1)*6+--MID(A99,10,1)*8, ""))</f>
        <v/>
      </c>
      <c r="I99">
        <f>IF(LEN(TRIM(A99))=12, --MID(A99,1,1)*3+--MID(A99,2,1)*7+--MID(A99,3,1)*2+--MID(A99,4,1)*4+--MID(A99,5,1)*10+--MID(A99,6,1)*3+--MID(A99,7,1)*5+--MID(A99,8,1)*9+--MID(A99,9,1)*4+--MID(A99,10,1)*6+--MID(A99,11,1)*8, "")</f>
        <v/>
      </c>
    </row>
    <row r="100">
      <c r="A100">
        <f>SUBSTITUTE(SUBSTITUTE(SUBSTITUTE(SUBSTITUTE(TRIM(INDEX(Реестр!$B:$B,ROW())),CHAR(160),""),CHAR(9),""),CHAR(10),""),CHAR(13),"")</f>
        <v/>
      </c>
      <c r="B100">
        <f>SUBSTITUTE(SUBSTITUTE(SUBSTITUTE(SUBSTITUTE(SUBSTITUTE(SUBSTITUTE(SUBSTITUTE(TRIM(INDEX(Реестр!$D:$D, ROW())), "-", ""), " ", ""), CHAR(160), ""), CHAR(9), ""), CHAR(10), ""), CHAR(13), ""), CHAR(32), "")</f>
        <v/>
      </c>
      <c r="C100">
        <f>INDEX(Реестр!$H:$H, ROW())</f>
        <v/>
      </c>
      <c r="D100">
        <f>IF(OR(ISBLANK(INDEX(Реестр!$B:$B, ROW())), INDEX(Реестр!$B:$B, ROW())=""), " ", IF(IFERROR(ISNUMBER(--A100),FALSE), IF(LEN(A100)=10, IF(MOD(MOD(H100,11),10)=--RIGHT(A100,1), "OK", "ОШИБКА"), IF(LEN(A100)=12, IF(AND(MOD(MOD(H100,11),10)=--MID(A100,11,1), MOD(MOD(I100,11),10)=--RIGHT(A100,1)), "OK", "ОШИБКА"), "ДЛИНА (10 или 12)")), "НЕ ЦИФРЫ"))</f>
        <v/>
      </c>
      <c r="E100">
        <f>MID(B100,1,1)*9+MID(B100,2,1)*8+MID(B100,3,1)*7+MID(B100,4,1)*6+MID(B100,5,1)*5+MID(B100,6,1)*4+MID(B100,7,1)*3+MID(B100,8,1)*2+MID(B100,9,1)</f>
        <v/>
      </c>
      <c r="F100">
        <f>IF(B100="", " ", IF(LEN(B100)&lt;&gt;11, "ДЛИНА", IF(NOT(ISNUMBER(--B100)), "НЕ ЦИФРЫ", IF(LEFT(B100,9)*1&lt;=1001998, "OK", IF(RIGHT(B100,2)*1=IF(MOD(E100,101)&gt;=100,0,MOD(E100,101)),"OK","ОШИБКА")))))</f>
        <v/>
      </c>
      <c r="G1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0">
        <f>IF(LEN(TRIM(A100))=10, --MID(A100,1,1)*2+--MID(A100,2,1)*4+--MID(A100,3,1)*10+--MID(A100,4,1)*3+--MID(A100,5,1)*5+--MID(A100,6,1)*9+--MID(A100,7,1)*4+--MID(A100,8,1)*6+--MID(A100,9,1)*8, IF(LEN(TRIM(A100))=12, --MID(A100,1,1)*7+--MID(A100,2,1)*2+--MID(A100,3,1)*4+--MID(A100,4,1)*10+--MID(A100,5,1)*3+--MID(A100,6,1)*5+--MID(A100,7,1)*9+--MID(A100,8,1)*4+--MID(A100,9,1)*6+--MID(A100,10,1)*8, ""))</f>
        <v/>
      </c>
      <c r="I100">
        <f>IF(LEN(TRIM(A100))=12, --MID(A100,1,1)*3+--MID(A100,2,1)*7+--MID(A100,3,1)*2+--MID(A100,4,1)*4+--MID(A100,5,1)*10+--MID(A100,6,1)*3+--MID(A100,7,1)*5+--MID(A100,8,1)*9+--MID(A100,9,1)*4+--MID(A100,10,1)*6+--MID(A100,11,1)*8, "")</f>
        <v/>
      </c>
    </row>
    <row r="101">
      <c r="A101">
        <f>SUBSTITUTE(SUBSTITUTE(SUBSTITUTE(SUBSTITUTE(TRIM(INDEX(Реестр!$B:$B,ROW())),CHAR(160),""),CHAR(9),""),CHAR(10),""),CHAR(13),"")</f>
        <v/>
      </c>
      <c r="B101">
        <f>SUBSTITUTE(SUBSTITUTE(SUBSTITUTE(SUBSTITUTE(SUBSTITUTE(SUBSTITUTE(SUBSTITUTE(TRIM(INDEX(Реестр!$D:$D, ROW())), "-", ""), " ", ""), CHAR(160), ""), CHAR(9), ""), CHAR(10), ""), CHAR(13), ""), CHAR(32), "")</f>
        <v/>
      </c>
      <c r="C101">
        <f>INDEX(Реестр!$H:$H, ROW())</f>
        <v/>
      </c>
      <c r="D101">
        <f>IF(OR(ISBLANK(INDEX(Реестр!$B:$B, ROW())), INDEX(Реестр!$B:$B, ROW())=""), " ", IF(IFERROR(ISNUMBER(--A101),FALSE), IF(LEN(A101)=10, IF(MOD(MOD(H101,11),10)=--RIGHT(A101,1), "OK", "ОШИБКА"), IF(LEN(A101)=12, IF(AND(MOD(MOD(H101,11),10)=--MID(A101,11,1), MOD(MOD(I101,11),10)=--RIGHT(A101,1)), "OK", "ОШИБКА"), "ДЛИНА (10 или 12)")), "НЕ ЦИФРЫ"))</f>
        <v/>
      </c>
      <c r="E101">
        <f>MID(B101,1,1)*9+MID(B101,2,1)*8+MID(B101,3,1)*7+MID(B101,4,1)*6+MID(B101,5,1)*5+MID(B101,6,1)*4+MID(B101,7,1)*3+MID(B101,8,1)*2+MID(B101,9,1)</f>
        <v/>
      </c>
      <c r="F101">
        <f>IF(B101="", " ", IF(LEN(B101)&lt;&gt;11, "ДЛИНА", IF(NOT(ISNUMBER(--B101)), "НЕ ЦИФРЫ", IF(LEFT(B101,9)*1&lt;=1001998, "OK", IF(RIGHT(B101,2)*1=IF(MOD(E101,101)&gt;=100,0,MOD(E101,101)),"OK","ОШИБКА")))))</f>
        <v/>
      </c>
      <c r="G1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1">
        <f>IF(LEN(TRIM(A101))=10, --MID(A101,1,1)*2+--MID(A101,2,1)*4+--MID(A101,3,1)*10+--MID(A101,4,1)*3+--MID(A101,5,1)*5+--MID(A101,6,1)*9+--MID(A101,7,1)*4+--MID(A101,8,1)*6+--MID(A101,9,1)*8, IF(LEN(TRIM(A101))=12, --MID(A101,1,1)*7+--MID(A101,2,1)*2+--MID(A101,3,1)*4+--MID(A101,4,1)*10+--MID(A101,5,1)*3+--MID(A101,6,1)*5+--MID(A101,7,1)*9+--MID(A101,8,1)*4+--MID(A101,9,1)*6+--MID(A101,10,1)*8, ""))</f>
        <v/>
      </c>
      <c r="I101">
        <f>IF(LEN(TRIM(A101))=12, --MID(A101,1,1)*3+--MID(A101,2,1)*7+--MID(A101,3,1)*2+--MID(A101,4,1)*4+--MID(A101,5,1)*10+--MID(A101,6,1)*3+--MID(A101,7,1)*5+--MID(A101,8,1)*9+--MID(A101,9,1)*4+--MID(A101,10,1)*6+--MID(A101,11,1)*8, "")</f>
        <v/>
      </c>
    </row>
    <row r="102">
      <c r="A102">
        <f>SUBSTITUTE(SUBSTITUTE(SUBSTITUTE(SUBSTITUTE(TRIM(INDEX(Реестр!$B:$B,ROW())),CHAR(160),""),CHAR(9),""),CHAR(10),""),CHAR(13),"")</f>
        <v/>
      </c>
      <c r="B102">
        <f>SUBSTITUTE(SUBSTITUTE(SUBSTITUTE(SUBSTITUTE(SUBSTITUTE(SUBSTITUTE(SUBSTITUTE(TRIM(INDEX(Реестр!$D:$D, ROW())), "-", ""), " ", ""), CHAR(160), ""), CHAR(9), ""), CHAR(10), ""), CHAR(13), ""), CHAR(32), "")</f>
        <v/>
      </c>
      <c r="C102">
        <f>INDEX(Реестр!$H:$H, ROW())</f>
        <v/>
      </c>
      <c r="D102">
        <f>IF(OR(ISBLANK(INDEX(Реестр!$B:$B, ROW())), INDEX(Реестр!$B:$B, ROW())=""), " ", IF(IFERROR(ISNUMBER(--A102),FALSE), IF(LEN(A102)=10, IF(MOD(MOD(H102,11),10)=--RIGHT(A102,1), "OK", "ОШИБКА"), IF(LEN(A102)=12, IF(AND(MOD(MOD(H102,11),10)=--MID(A102,11,1), MOD(MOD(I102,11),10)=--RIGHT(A102,1)), "OK", "ОШИБКА"), "ДЛИНА (10 или 12)")), "НЕ ЦИФРЫ"))</f>
        <v/>
      </c>
      <c r="E102">
        <f>MID(B102,1,1)*9+MID(B102,2,1)*8+MID(B102,3,1)*7+MID(B102,4,1)*6+MID(B102,5,1)*5+MID(B102,6,1)*4+MID(B102,7,1)*3+MID(B102,8,1)*2+MID(B102,9,1)</f>
        <v/>
      </c>
      <c r="F102">
        <f>IF(B102="", " ", IF(LEN(B102)&lt;&gt;11, "ДЛИНА", IF(NOT(ISNUMBER(--B102)), "НЕ ЦИФРЫ", IF(LEFT(B102,9)*1&lt;=1001998, "OK", IF(RIGHT(B102,2)*1=IF(MOD(E102,101)&gt;=100,0,MOD(E102,101)),"OK","ОШИБКА")))))</f>
        <v/>
      </c>
      <c r="G1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2">
        <f>IF(LEN(TRIM(A102))=10, --MID(A102,1,1)*2+--MID(A102,2,1)*4+--MID(A102,3,1)*10+--MID(A102,4,1)*3+--MID(A102,5,1)*5+--MID(A102,6,1)*9+--MID(A102,7,1)*4+--MID(A102,8,1)*6+--MID(A102,9,1)*8, IF(LEN(TRIM(A102))=12, --MID(A102,1,1)*7+--MID(A102,2,1)*2+--MID(A102,3,1)*4+--MID(A102,4,1)*10+--MID(A102,5,1)*3+--MID(A102,6,1)*5+--MID(A102,7,1)*9+--MID(A102,8,1)*4+--MID(A102,9,1)*6+--MID(A102,10,1)*8, ""))</f>
        <v/>
      </c>
      <c r="I102">
        <f>IF(LEN(TRIM(A102))=12, --MID(A102,1,1)*3+--MID(A102,2,1)*7+--MID(A102,3,1)*2+--MID(A102,4,1)*4+--MID(A102,5,1)*10+--MID(A102,6,1)*3+--MID(A102,7,1)*5+--MID(A102,8,1)*9+--MID(A102,9,1)*4+--MID(A102,10,1)*6+--MID(A102,11,1)*8, "")</f>
        <v/>
      </c>
    </row>
    <row r="103">
      <c r="A103">
        <f>SUBSTITUTE(SUBSTITUTE(SUBSTITUTE(SUBSTITUTE(TRIM(INDEX(Реестр!$B:$B,ROW())),CHAR(160),""),CHAR(9),""),CHAR(10),""),CHAR(13),"")</f>
        <v/>
      </c>
      <c r="B103">
        <f>SUBSTITUTE(SUBSTITUTE(SUBSTITUTE(SUBSTITUTE(SUBSTITUTE(SUBSTITUTE(SUBSTITUTE(TRIM(INDEX(Реестр!$D:$D, ROW())), "-", ""), " ", ""), CHAR(160), ""), CHAR(9), ""), CHAR(10), ""), CHAR(13), ""), CHAR(32), "")</f>
        <v/>
      </c>
      <c r="C103">
        <f>INDEX(Реестр!$H:$H, ROW())</f>
        <v/>
      </c>
      <c r="D103">
        <f>IF(OR(ISBLANK(INDEX(Реестр!$B:$B, ROW())), INDEX(Реестр!$B:$B, ROW())=""), " ", IF(IFERROR(ISNUMBER(--A103),FALSE), IF(LEN(A103)=10, IF(MOD(MOD(H103,11),10)=--RIGHT(A103,1), "OK", "ОШИБКА"), IF(LEN(A103)=12, IF(AND(MOD(MOD(H103,11),10)=--MID(A103,11,1), MOD(MOD(I103,11),10)=--RIGHT(A103,1)), "OK", "ОШИБКА"), "ДЛИНА (10 или 12)")), "НЕ ЦИФРЫ"))</f>
        <v/>
      </c>
      <c r="E103">
        <f>MID(B103,1,1)*9+MID(B103,2,1)*8+MID(B103,3,1)*7+MID(B103,4,1)*6+MID(B103,5,1)*5+MID(B103,6,1)*4+MID(B103,7,1)*3+MID(B103,8,1)*2+MID(B103,9,1)</f>
        <v/>
      </c>
      <c r="F103">
        <f>IF(B103="", " ", IF(LEN(B103)&lt;&gt;11, "ДЛИНА", IF(NOT(ISNUMBER(--B103)), "НЕ ЦИФРЫ", IF(LEFT(B103,9)*1&lt;=1001998, "OK", IF(RIGHT(B103,2)*1=IF(MOD(E103,101)&gt;=100,0,MOD(E103,101)),"OK","ОШИБКА")))))</f>
        <v/>
      </c>
      <c r="G1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3">
        <f>IF(LEN(TRIM(A103))=10, --MID(A103,1,1)*2+--MID(A103,2,1)*4+--MID(A103,3,1)*10+--MID(A103,4,1)*3+--MID(A103,5,1)*5+--MID(A103,6,1)*9+--MID(A103,7,1)*4+--MID(A103,8,1)*6+--MID(A103,9,1)*8, IF(LEN(TRIM(A103))=12, --MID(A103,1,1)*7+--MID(A103,2,1)*2+--MID(A103,3,1)*4+--MID(A103,4,1)*10+--MID(A103,5,1)*3+--MID(A103,6,1)*5+--MID(A103,7,1)*9+--MID(A103,8,1)*4+--MID(A103,9,1)*6+--MID(A103,10,1)*8, ""))</f>
        <v/>
      </c>
      <c r="I103">
        <f>IF(LEN(TRIM(A103))=12, --MID(A103,1,1)*3+--MID(A103,2,1)*7+--MID(A103,3,1)*2+--MID(A103,4,1)*4+--MID(A103,5,1)*10+--MID(A103,6,1)*3+--MID(A103,7,1)*5+--MID(A103,8,1)*9+--MID(A103,9,1)*4+--MID(A103,10,1)*6+--MID(A103,11,1)*8, "")</f>
        <v/>
      </c>
    </row>
    <row r="104">
      <c r="A104">
        <f>SUBSTITUTE(SUBSTITUTE(SUBSTITUTE(SUBSTITUTE(TRIM(INDEX(Реестр!$B:$B,ROW())),CHAR(160),""),CHAR(9),""),CHAR(10),""),CHAR(13),"")</f>
        <v/>
      </c>
      <c r="B104">
        <f>SUBSTITUTE(SUBSTITUTE(SUBSTITUTE(SUBSTITUTE(SUBSTITUTE(SUBSTITUTE(SUBSTITUTE(TRIM(INDEX(Реестр!$D:$D, ROW())), "-", ""), " ", ""), CHAR(160), ""), CHAR(9), ""), CHAR(10), ""), CHAR(13), ""), CHAR(32), "")</f>
        <v/>
      </c>
      <c r="C104">
        <f>INDEX(Реестр!$H:$H, ROW())</f>
        <v/>
      </c>
      <c r="D104">
        <f>IF(OR(ISBLANK(INDEX(Реестр!$B:$B, ROW())), INDEX(Реестр!$B:$B, ROW())=""), " ", IF(IFERROR(ISNUMBER(--A104),FALSE), IF(LEN(A104)=10, IF(MOD(MOD(H104,11),10)=--RIGHT(A104,1), "OK", "ОШИБКА"), IF(LEN(A104)=12, IF(AND(MOD(MOD(H104,11),10)=--MID(A104,11,1), MOD(MOD(I104,11),10)=--RIGHT(A104,1)), "OK", "ОШИБКА"), "ДЛИНА (10 или 12)")), "НЕ ЦИФРЫ"))</f>
        <v/>
      </c>
      <c r="E104">
        <f>MID(B104,1,1)*9+MID(B104,2,1)*8+MID(B104,3,1)*7+MID(B104,4,1)*6+MID(B104,5,1)*5+MID(B104,6,1)*4+MID(B104,7,1)*3+MID(B104,8,1)*2+MID(B104,9,1)</f>
        <v/>
      </c>
      <c r="F104">
        <f>IF(B104="", " ", IF(LEN(B104)&lt;&gt;11, "ДЛИНА", IF(NOT(ISNUMBER(--B104)), "НЕ ЦИФРЫ", IF(LEFT(B104,9)*1&lt;=1001998, "OK", IF(RIGHT(B104,2)*1=IF(MOD(E104,101)&gt;=100,0,MOD(E104,101)),"OK","ОШИБКА")))))</f>
        <v/>
      </c>
      <c r="G1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4">
        <f>IF(LEN(TRIM(A104))=10, --MID(A104,1,1)*2+--MID(A104,2,1)*4+--MID(A104,3,1)*10+--MID(A104,4,1)*3+--MID(A104,5,1)*5+--MID(A104,6,1)*9+--MID(A104,7,1)*4+--MID(A104,8,1)*6+--MID(A104,9,1)*8, IF(LEN(TRIM(A104))=12, --MID(A104,1,1)*7+--MID(A104,2,1)*2+--MID(A104,3,1)*4+--MID(A104,4,1)*10+--MID(A104,5,1)*3+--MID(A104,6,1)*5+--MID(A104,7,1)*9+--MID(A104,8,1)*4+--MID(A104,9,1)*6+--MID(A104,10,1)*8, ""))</f>
        <v/>
      </c>
      <c r="I104">
        <f>IF(LEN(TRIM(A104))=12, --MID(A104,1,1)*3+--MID(A104,2,1)*7+--MID(A104,3,1)*2+--MID(A104,4,1)*4+--MID(A104,5,1)*10+--MID(A104,6,1)*3+--MID(A104,7,1)*5+--MID(A104,8,1)*9+--MID(A104,9,1)*4+--MID(A104,10,1)*6+--MID(A104,11,1)*8, "")</f>
        <v/>
      </c>
    </row>
    <row r="105">
      <c r="A105">
        <f>SUBSTITUTE(SUBSTITUTE(SUBSTITUTE(SUBSTITUTE(TRIM(INDEX(Реестр!$B:$B,ROW())),CHAR(160),""),CHAR(9),""),CHAR(10),""),CHAR(13),"")</f>
        <v/>
      </c>
      <c r="B105">
        <f>SUBSTITUTE(SUBSTITUTE(SUBSTITUTE(SUBSTITUTE(SUBSTITUTE(SUBSTITUTE(SUBSTITUTE(TRIM(INDEX(Реестр!$D:$D, ROW())), "-", ""), " ", ""), CHAR(160), ""), CHAR(9), ""), CHAR(10), ""), CHAR(13), ""), CHAR(32), "")</f>
        <v/>
      </c>
      <c r="C105">
        <f>INDEX(Реестр!$H:$H, ROW())</f>
        <v/>
      </c>
      <c r="D105">
        <f>IF(OR(ISBLANK(INDEX(Реестр!$B:$B, ROW())), INDEX(Реестр!$B:$B, ROW())=""), " ", IF(IFERROR(ISNUMBER(--A105),FALSE), IF(LEN(A105)=10, IF(MOD(MOD(H105,11),10)=--RIGHT(A105,1), "OK", "ОШИБКА"), IF(LEN(A105)=12, IF(AND(MOD(MOD(H105,11),10)=--MID(A105,11,1), MOD(MOD(I105,11),10)=--RIGHT(A105,1)), "OK", "ОШИБКА"), "ДЛИНА (10 или 12)")), "НЕ ЦИФРЫ"))</f>
        <v/>
      </c>
      <c r="E105">
        <f>MID(B105,1,1)*9+MID(B105,2,1)*8+MID(B105,3,1)*7+MID(B105,4,1)*6+MID(B105,5,1)*5+MID(B105,6,1)*4+MID(B105,7,1)*3+MID(B105,8,1)*2+MID(B105,9,1)</f>
        <v/>
      </c>
      <c r="F105">
        <f>IF(B105="", " ", IF(LEN(B105)&lt;&gt;11, "ДЛИНА", IF(NOT(ISNUMBER(--B105)), "НЕ ЦИФРЫ", IF(LEFT(B105,9)*1&lt;=1001998, "OK", IF(RIGHT(B105,2)*1=IF(MOD(E105,101)&gt;=100,0,MOD(E105,101)),"OK","ОШИБКА")))))</f>
        <v/>
      </c>
      <c r="G1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5">
        <f>IF(LEN(TRIM(A105))=10, --MID(A105,1,1)*2+--MID(A105,2,1)*4+--MID(A105,3,1)*10+--MID(A105,4,1)*3+--MID(A105,5,1)*5+--MID(A105,6,1)*9+--MID(A105,7,1)*4+--MID(A105,8,1)*6+--MID(A105,9,1)*8, IF(LEN(TRIM(A105))=12, --MID(A105,1,1)*7+--MID(A105,2,1)*2+--MID(A105,3,1)*4+--MID(A105,4,1)*10+--MID(A105,5,1)*3+--MID(A105,6,1)*5+--MID(A105,7,1)*9+--MID(A105,8,1)*4+--MID(A105,9,1)*6+--MID(A105,10,1)*8, ""))</f>
        <v/>
      </c>
      <c r="I105">
        <f>IF(LEN(TRIM(A105))=12, --MID(A105,1,1)*3+--MID(A105,2,1)*7+--MID(A105,3,1)*2+--MID(A105,4,1)*4+--MID(A105,5,1)*10+--MID(A105,6,1)*3+--MID(A105,7,1)*5+--MID(A105,8,1)*9+--MID(A105,9,1)*4+--MID(A105,10,1)*6+--MID(A105,11,1)*8, "")</f>
        <v/>
      </c>
    </row>
    <row r="106">
      <c r="A106">
        <f>SUBSTITUTE(SUBSTITUTE(SUBSTITUTE(SUBSTITUTE(TRIM(INDEX(Реестр!$B:$B,ROW())),CHAR(160),""),CHAR(9),""),CHAR(10),""),CHAR(13),"")</f>
        <v/>
      </c>
      <c r="B106">
        <f>SUBSTITUTE(SUBSTITUTE(SUBSTITUTE(SUBSTITUTE(SUBSTITUTE(SUBSTITUTE(SUBSTITUTE(TRIM(INDEX(Реестр!$D:$D, ROW())), "-", ""), " ", ""), CHAR(160), ""), CHAR(9), ""), CHAR(10), ""), CHAR(13), ""), CHAR(32), "")</f>
        <v/>
      </c>
      <c r="C106">
        <f>INDEX(Реестр!$H:$H, ROW())</f>
        <v/>
      </c>
      <c r="D106">
        <f>IF(OR(ISBLANK(INDEX(Реестр!$B:$B, ROW())), INDEX(Реестр!$B:$B, ROW())=""), " ", IF(IFERROR(ISNUMBER(--A106),FALSE), IF(LEN(A106)=10, IF(MOD(MOD(H106,11),10)=--RIGHT(A106,1), "OK", "ОШИБКА"), IF(LEN(A106)=12, IF(AND(MOD(MOD(H106,11),10)=--MID(A106,11,1), MOD(MOD(I106,11),10)=--RIGHT(A106,1)), "OK", "ОШИБКА"), "ДЛИНА (10 или 12)")), "НЕ ЦИФРЫ"))</f>
        <v/>
      </c>
      <c r="E106">
        <f>MID(B106,1,1)*9+MID(B106,2,1)*8+MID(B106,3,1)*7+MID(B106,4,1)*6+MID(B106,5,1)*5+MID(B106,6,1)*4+MID(B106,7,1)*3+MID(B106,8,1)*2+MID(B106,9,1)</f>
        <v/>
      </c>
      <c r="F106">
        <f>IF(B106="", " ", IF(LEN(B106)&lt;&gt;11, "ДЛИНА", IF(NOT(ISNUMBER(--B106)), "НЕ ЦИФРЫ", IF(LEFT(B106,9)*1&lt;=1001998, "OK", IF(RIGHT(B106,2)*1=IF(MOD(E106,101)&gt;=100,0,MOD(E106,101)),"OK","ОШИБКА")))))</f>
        <v/>
      </c>
      <c r="G1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6">
        <f>IF(LEN(TRIM(A106))=10, --MID(A106,1,1)*2+--MID(A106,2,1)*4+--MID(A106,3,1)*10+--MID(A106,4,1)*3+--MID(A106,5,1)*5+--MID(A106,6,1)*9+--MID(A106,7,1)*4+--MID(A106,8,1)*6+--MID(A106,9,1)*8, IF(LEN(TRIM(A106))=12, --MID(A106,1,1)*7+--MID(A106,2,1)*2+--MID(A106,3,1)*4+--MID(A106,4,1)*10+--MID(A106,5,1)*3+--MID(A106,6,1)*5+--MID(A106,7,1)*9+--MID(A106,8,1)*4+--MID(A106,9,1)*6+--MID(A106,10,1)*8, ""))</f>
        <v/>
      </c>
      <c r="I106">
        <f>IF(LEN(TRIM(A106))=12, --MID(A106,1,1)*3+--MID(A106,2,1)*7+--MID(A106,3,1)*2+--MID(A106,4,1)*4+--MID(A106,5,1)*10+--MID(A106,6,1)*3+--MID(A106,7,1)*5+--MID(A106,8,1)*9+--MID(A106,9,1)*4+--MID(A106,10,1)*6+--MID(A106,11,1)*8, "")</f>
        <v/>
      </c>
    </row>
    <row r="107">
      <c r="A107">
        <f>SUBSTITUTE(SUBSTITUTE(SUBSTITUTE(SUBSTITUTE(TRIM(INDEX(Реестр!$B:$B,ROW())),CHAR(160),""),CHAR(9),""),CHAR(10),""),CHAR(13),"")</f>
        <v/>
      </c>
      <c r="B107">
        <f>SUBSTITUTE(SUBSTITUTE(SUBSTITUTE(SUBSTITUTE(SUBSTITUTE(SUBSTITUTE(SUBSTITUTE(TRIM(INDEX(Реестр!$D:$D, ROW())), "-", ""), " ", ""), CHAR(160), ""), CHAR(9), ""), CHAR(10), ""), CHAR(13), ""), CHAR(32), "")</f>
        <v/>
      </c>
      <c r="C107">
        <f>INDEX(Реестр!$H:$H, ROW())</f>
        <v/>
      </c>
      <c r="D107">
        <f>IF(OR(ISBLANK(INDEX(Реестр!$B:$B, ROW())), INDEX(Реестр!$B:$B, ROW())=""), " ", IF(IFERROR(ISNUMBER(--A107),FALSE), IF(LEN(A107)=10, IF(MOD(MOD(H107,11),10)=--RIGHT(A107,1), "OK", "ОШИБКА"), IF(LEN(A107)=12, IF(AND(MOD(MOD(H107,11),10)=--MID(A107,11,1), MOD(MOD(I107,11),10)=--RIGHT(A107,1)), "OK", "ОШИБКА"), "ДЛИНА (10 или 12)")), "НЕ ЦИФРЫ"))</f>
        <v/>
      </c>
      <c r="E107">
        <f>MID(B107,1,1)*9+MID(B107,2,1)*8+MID(B107,3,1)*7+MID(B107,4,1)*6+MID(B107,5,1)*5+MID(B107,6,1)*4+MID(B107,7,1)*3+MID(B107,8,1)*2+MID(B107,9,1)</f>
        <v/>
      </c>
      <c r="F107">
        <f>IF(B107="", " ", IF(LEN(B107)&lt;&gt;11, "ДЛИНА", IF(NOT(ISNUMBER(--B107)), "НЕ ЦИФРЫ", IF(LEFT(B107,9)*1&lt;=1001998, "OK", IF(RIGHT(B107,2)*1=IF(MOD(E107,101)&gt;=100,0,MOD(E107,101)),"OK","ОШИБКА")))))</f>
        <v/>
      </c>
      <c r="G1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7">
        <f>IF(LEN(TRIM(A107))=10, --MID(A107,1,1)*2+--MID(A107,2,1)*4+--MID(A107,3,1)*10+--MID(A107,4,1)*3+--MID(A107,5,1)*5+--MID(A107,6,1)*9+--MID(A107,7,1)*4+--MID(A107,8,1)*6+--MID(A107,9,1)*8, IF(LEN(TRIM(A107))=12, --MID(A107,1,1)*7+--MID(A107,2,1)*2+--MID(A107,3,1)*4+--MID(A107,4,1)*10+--MID(A107,5,1)*3+--MID(A107,6,1)*5+--MID(A107,7,1)*9+--MID(A107,8,1)*4+--MID(A107,9,1)*6+--MID(A107,10,1)*8, ""))</f>
        <v/>
      </c>
      <c r="I107">
        <f>IF(LEN(TRIM(A107))=12, --MID(A107,1,1)*3+--MID(A107,2,1)*7+--MID(A107,3,1)*2+--MID(A107,4,1)*4+--MID(A107,5,1)*10+--MID(A107,6,1)*3+--MID(A107,7,1)*5+--MID(A107,8,1)*9+--MID(A107,9,1)*4+--MID(A107,10,1)*6+--MID(A107,11,1)*8, "")</f>
        <v/>
      </c>
    </row>
    <row r="108">
      <c r="A108">
        <f>SUBSTITUTE(SUBSTITUTE(SUBSTITUTE(SUBSTITUTE(TRIM(INDEX(Реестр!$B:$B,ROW())),CHAR(160),""),CHAR(9),""),CHAR(10),""),CHAR(13),"")</f>
        <v/>
      </c>
      <c r="B108">
        <f>SUBSTITUTE(SUBSTITUTE(SUBSTITUTE(SUBSTITUTE(SUBSTITUTE(SUBSTITUTE(SUBSTITUTE(TRIM(INDEX(Реестр!$D:$D, ROW())), "-", ""), " ", ""), CHAR(160), ""), CHAR(9), ""), CHAR(10), ""), CHAR(13), ""), CHAR(32), "")</f>
        <v/>
      </c>
      <c r="C108">
        <f>INDEX(Реестр!$H:$H, ROW())</f>
        <v/>
      </c>
      <c r="D108">
        <f>IF(OR(ISBLANK(INDEX(Реестр!$B:$B, ROW())), INDEX(Реестр!$B:$B, ROW())=""), " ", IF(IFERROR(ISNUMBER(--A108),FALSE), IF(LEN(A108)=10, IF(MOD(MOD(H108,11),10)=--RIGHT(A108,1), "OK", "ОШИБКА"), IF(LEN(A108)=12, IF(AND(MOD(MOD(H108,11),10)=--MID(A108,11,1), MOD(MOD(I108,11),10)=--RIGHT(A108,1)), "OK", "ОШИБКА"), "ДЛИНА (10 или 12)")), "НЕ ЦИФРЫ"))</f>
        <v/>
      </c>
      <c r="E108">
        <f>MID(B108,1,1)*9+MID(B108,2,1)*8+MID(B108,3,1)*7+MID(B108,4,1)*6+MID(B108,5,1)*5+MID(B108,6,1)*4+MID(B108,7,1)*3+MID(B108,8,1)*2+MID(B108,9,1)</f>
        <v/>
      </c>
      <c r="F108">
        <f>IF(B108="", " ", IF(LEN(B108)&lt;&gt;11, "ДЛИНА", IF(NOT(ISNUMBER(--B108)), "НЕ ЦИФРЫ", IF(LEFT(B108,9)*1&lt;=1001998, "OK", IF(RIGHT(B108,2)*1=IF(MOD(E108,101)&gt;=100,0,MOD(E108,101)),"OK","ОШИБКА")))))</f>
        <v/>
      </c>
      <c r="G1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8">
        <f>IF(LEN(TRIM(A108))=10, --MID(A108,1,1)*2+--MID(A108,2,1)*4+--MID(A108,3,1)*10+--MID(A108,4,1)*3+--MID(A108,5,1)*5+--MID(A108,6,1)*9+--MID(A108,7,1)*4+--MID(A108,8,1)*6+--MID(A108,9,1)*8, IF(LEN(TRIM(A108))=12, --MID(A108,1,1)*7+--MID(A108,2,1)*2+--MID(A108,3,1)*4+--MID(A108,4,1)*10+--MID(A108,5,1)*3+--MID(A108,6,1)*5+--MID(A108,7,1)*9+--MID(A108,8,1)*4+--MID(A108,9,1)*6+--MID(A108,10,1)*8, ""))</f>
        <v/>
      </c>
      <c r="I108">
        <f>IF(LEN(TRIM(A108))=12, --MID(A108,1,1)*3+--MID(A108,2,1)*7+--MID(A108,3,1)*2+--MID(A108,4,1)*4+--MID(A108,5,1)*10+--MID(A108,6,1)*3+--MID(A108,7,1)*5+--MID(A108,8,1)*9+--MID(A108,9,1)*4+--MID(A108,10,1)*6+--MID(A108,11,1)*8, "")</f>
        <v/>
      </c>
    </row>
    <row r="109">
      <c r="A109">
        <f>SUBSTITUTE(SUBSTITUTE(SUBSTITUTE(SUBSTITUTE(TRIM(INDEX(Реестр!$B:$B,ROW())),CHAR(160),""),CHAR(9),""),CHAR(10),""),CHAR(13),"")</f>
        <v/>
      </c>
      <c r="B109">
        <f>SUBSTITUTE(SUBSTITUTE(SUBSTITUTE(SUBSTITUTE(SUBSTITUTE(SUBSTITUTE(SUBSTITUTE(TRIM(INDEX(Реестр!$D:$D, ROW())), "-", ""), " ", ""), CHAR(160), ""), CHAR(9), ""), CHAR(10), ""), CHAR(13), ""), CHAR(32), "")</f>
        <v/>
      </c>
      <c r="C109">
        <f>INDEX(Реестр!$H:$H, ROW())</f>
        <v/>
      </c>
      <c r="D109">
        <f>IF(OR(ISBLANK(INDEX(Реестр!$B:$B, ROW())), INDEX(Реестр!$B:$B, ROW())=""), " ", IF(IFERROR(ISNUMBER(--A109),FALSE), IF(LEN(A109)=10, IF(MOD(MOD(H109,11),10)=--RIGHT(A109,1), "OK", "ОШИБКА"), IF(LEN(A109)=12, IF(AND(MOD(MOD(H109,11),10)=--MID(A109,11,1), MOD(MOD(I109,11),10)=--RIGHT(A109,1)), "OK", "ОШИБКА"), "ДЛИНА (10 или 12)")), "НЕ ЦИФРЫ"))</f>
        <v/>
      </c>
      <c r="E109">
        <f>MID(B109,1,1)*9+MID(B109,2,1)*8+MID(B109,3,1)*7+MID(B109,4,1)*6+MID(B109,5,1)*5+MID(B109,6,1)*4+MID(B109,7,1)*3+MID(B109,8,1)*2+MID(B109,9,1)</f>
        <v/>
      </c>
      <c r="F109">
        <f>IF(B109="", " ", IF(LEN(B109)&lt;&gt;11, "ДЛИНА", IF(NOT(ISNUMBER(--B109)), "НЕ ЦИФРЫ", IF(LEFT(B109,9)*1&lt;=1001998, "OK", IF(RIGHT(B109,2)*1=IF(MOD(E109,101)&gt;=100,0,MOD(E109,101)),"OK","ОШИБКА")))))</f>
        <v/>
      </c>
      <c r="G1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9">
        <f>IF(LEN(TRIM(A109))=10, --MID(A109,1,1)*2+--MID(A109,2,1)*4+--MID(A109,3,1)*10+--MID(A109,4,1)*3+--MID(A109,5,1)*5+--MID(A109,6,1)*9+--MID(A109,7,1)*4+--MID(A109,8,1)*6+--MID(A109,9,1)*8, IF(LEN(TRIM(A109))=12, --MID(A109,1,1)*7+--MID(A109,2,1)*2+--MID(A109,3,1)*4+--MID(A109,4,1)*10+--MID(A109,5,1)*3+--MID(A109,6,1)*5+--MID(A109,7,1)*9+--MID(A109,8,1)*4+--MID(A109,9,1)*6+--MID(A109,10,1)*8, ""))</f>
        <v/>
      </c>
      <c r="I109">
        <f>IF(LEN(TRIM(A109))=12, --MID(A109,1,1)*3+--MID(A109,2,1)*7+--MID(A109,3,1)*2+--MID(A109,4,1)*4+--MID(A109,5,1)*10+--MID(A109,6,1)*3+--MID(A109,7,1)*5+--MID(A109,8,1)*9+--MID(A109,9,1)*4+--MID(A109,10,1)*6+--MID(A109,11,1)*8, "")</f>
        <v/>
      </c>
    </row>
    <row r="110">
      <c r="A110">
        <f>SUBSTITUTE(SUBSTITUTE(SUBSTITUTE(SUBSTITUTE(TRIM(INDEX(Реестр!$B:$B,ROW())),CHAR(160),""),CHAR(9),""),CHAR(10),""),CHAR(13),"")</f>
        <v/>
      </c>
      <c r="B110">
        <f>SUBSTITUTE(SUBSTITUTE(SUBSTITUTE(SUBSTITUTE(SUBSTITUTE(SUBSTITUTE(SUBSTITUTE(TRIM(INDEX(Реестр!$D:$D, ROW())), "-", ""), " ", ""), CHAR(160), ""), CHAR(9), ""), CHAR(10), ""), CHAR(13), ""), CHAR(32), "")</f>
        <v/>
      </c>
      <c r="C110">
        <f>INDEX(Реестр!$H:$H, ROW())</f>
        <v/>
      </c>
      <c r="D110">
        <f>IF(OR(ISBLANK(INDEX(Реестр!$B:$B, ROW())), INDEX(Реестр!$B:$B, ROW())=""), " ", IF(IFERROR(ISNUMBER(--A110),FALSE), IF(LEN(A110)=10, IF(MOD(MOD(H110,11),10)=--RIGHT(A110,1), "OK", "ОШИБКА"), IF(LEN(A110)=12, IF(AND(MOD(MOD(H110,11),10)=--MID(A110,11,1), MOD(MOD(I110,11),10)=--RIGHT(A110,1)), "OK", "ОШИБКА"), "ДЛИНА (10 или 12)")), "НЕ ЦИФРЫ"))</f>
        <v/>
      </c>
      <c r="E110">
        <f>MID(B110,1,1)*9+MID(B110,2,1)*8+MID(B110,3,1)*7+MID(B110,4,1)*6+MID(B110,5,1)*5+MID(B110,6,1)*4+MID(B110,7,1)*3+MID(B110,8,1)*2+MID(B110,9,1)</f>
        <v/>
      </c>
      <c r="F110">
        <f>IF(B110="", " ", IF(LEN(B110)&lt;&gt;11, "ДЛИНА", IF(NOT(ISNUMBER(--B110)), "НЕ ЦИФРЫ", IF(LEFT(B110,9)*1&lt;=1001998, "OK", IF(RIGHT(B110,2)*1=IF(MOD(E110,101)&gt;=100,0,MOD(E110,101)),"OK","ОШИБКА")))))</f>
        <v/>
      </c>
      <c r="G1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0">
        <f>IF(LEN(TRIM(A110))=10, --MID(A110,1,1)*2+--MID(A110,2,1)*4+--MID(A110,3,1)*10+--MID(A110,4,1)*3+--MID(A110,5,1)*5+--MID(A110,6,1)*9+--MID(A110,7,1)*4+--MID(A110,8,1)*6+--MID(A110,9,1)*8, IF(LEN(TRIM(A110))=12, --MID(A110,1,1)*7+--MID(A110,2,1)*2+--MID(A110,3,1)*4+--MID(A110,4,1)*10+--MID(A110,5,1)*3+--MID(A110,6,1)*5+--MID(A110,7,1)*9+--MID(A110,8,1)*4+--MID(A110,9,1)*6+--MID(A110,10,1)*8, ""))</f>
        <v/>
      </c>
      <c r="I110">
        <f>IF(LEN(TRIM(A110))=12, --MID(A110,1,1)*3+--MID(A110,2,1)*7+--MID(A110,3,1)*2+--MID(A110,4,1)*4+--MID(A110,5,1)*10+--MID(A110,6,1)*3+--MID(A110,7,1)*5+--MID(A110,8,1)*9+--MID(A110,9,1)*4+--MID(A110,10,1)*6+--MID(A110,11,1)*8, "")</f>
        <v/>
      </c>
    </row>
    <row r="111">
      <c r="A111">
        <f>SUBSTITUTE(SUBSTITUTE(SUBSTITUTE(SUBSTITUTE(TRIM(INDEX(Реестр!$B:$B,ROW())),CHAR(160),""),CHAR(9),""),CHAR(10),""),CHAR(13),"")</f>
        <v/>
      </c>
      <c r="B111">
        <f>SUBSTITUTE(SUBSTITUTE(SUBSTITUTE(SUBSTITUTE(SUBSTITUTE(SUBSTITUTE(SUBSTITUTE(TRIM(INDEX(Реестр!$D:$D, ROW())), "-", ""), " ", ""), CHAR(160), ""), CHAR(9), ""), CHAR(10), ""), CHAR(13), ""), CHAR(32), "")</f>
        <v/>
      </c>
      <c r="C111">
        <f>INDEX(Реестр!$H:$H, ROW())</f>
        <v/>
      </c>
      <c r="D111">
        <f>IF(OR(ISBLANK(INDEX(Реестр!$B:$B, ROW())), INDEX(Реестр!$B:$B, ROW())=""), " ", IF(IFERROR(ISNUMBER(--A111),FALSE), IF(LEN(A111)=10, IF(MOD(MOD(H111,11),10)=--RIGHT(A111,1), "OK", "ОШИБКА"), IF(LEN(A111)=12, IF(AND(MOD(MOD(H111,11),10)=--MID(A111,11,1), MOD(MOD(I111,11),10)=--RIGHT(A111,1)), "OK", "ОШИБКА"), "ДЛИНА (10 или 12)")), "НЕ ЦИФРЫ"))</f>
        <v/>
      </c>
      <c r="E111">
        <f>MID(B111,1,1)*9+MID(B111,2,1)*8+MID(B111,3,1)*7+MID(B111,4,1)*6+MID(B111,5,1)*5+MID(B111,6,1)*4+MID(B111,7,1)*3+MID(B111,8,1)*2+MID(B111,9,1)</f>
        <v/>
      </c>
      <c r="F111">
        <f>IF(B111="", " ", IF(LEN(B111)&lt;&gt;11, "ДЛИНА", IF(NOT(ISNUMBER(--B111)), "НЕ ЦИФРЫ", IF(LEFT(B111,9)*1&lt;=1001998, "OK", IF(RIGHT(B111,2)*1=IF(MOD(E111,101)&gt;=100,0,MOD(E111,101)),"OK","ОШИБКА")))))</f>
        <v/>
      </c>
      <c r="G1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1">
        <f>IF(LEN(TRIM(A111))=10, --MID(A111,1,1)*2+--MID(A111,2,1)*4+--MID(A111,3,1)*10+--MID(A111,4,1)*3+--MID(A111,5,1)*5+--MID(A111,6,1)*9+--MID(A111,7,1)*4+--MID(A111,8,1)*6+--MID(A111,9,1)*8, IF(LEN(TRIM(A111))=12, --MID(A111,1,1)*7+--MID(A111,2,1)*2+--MID(A111,3,1)*4+--MID(A111,4,1)*10+--MID(A111,5,1)*3+--MID(A111,6,1)*5+--MID(A111,7,1)*9+--MID(A111,8,1)*4+--MID(A111,9,1)*6+--MID(A111,10,1)*8, ""))</f>
        <v/>
      </c>
      <c r="I111">
        <f>IF(LEN(TRIM(A111))=12, --MID(A111,1,1)*3+--MID(A111,2,1)*7+--MID(A111,3,1)*2+--MID(A111,4,1)*4+--MID(A111,5,1)*10+--MID(A111,6,1)*3+--MID(A111,7,1)*5+--MID(A111,8,1)*9+--MID(A111,9,1)*4+--MID(A111,10,1)*6+--MID(A111,11,1)*8, "")</f>
        <v/>
      </c>
    </row>
    <row r="112">
      <c r="A112">
        <f>SUBSTITUTE(SUBSTITUTE(SUBSTITUTE(SUBSTITUTE(TRIM(INDEX(Реестр!$B:$B,ROW())),CHAR(160),""),CHAR(9),""),CHAR(10),""),CHAR(13),"")</f>
        <v/>
      </c>
      <c r="B112">
        <f>SUBSTITUTE(SUBSTITUTE(SUBSTITUTE(SUBSTITUTE(SUBSTITUTE(SUBSTITUTE(SUBSTITUTE(TRIM(INDEX(Реестр!$D:$D, ROW())), "-", ""), " ", ""), CHAR(160), ""), CHAR(9), ""), CHAR(10), ""), CHAR(13), ""), CHAR(32), "")</f>
        <v/>
      </c>
      <c r="C112">
        <f>INDEX(Реестр!$H:$H, ROW())</f>
        <v/>
      </c>
      <c r="D112">
        <f>IF(OR(ISBLANK(INDEX(Реестр!$B:$B, ROW())), INDEX(Реестр!$B:$B, ROW())=""), " ", IF(IFERROR(ISNUMBER(--A112),FALSE), IF(LEN(A112)=10, IF(MOD(MOD(H112,11),10)=--RIGHT(A112,1), "OK", "ОШИБКА"), IF(LEN(A112)=12, IF(AND(MOD(MOD(H112,11),10)=--MID(A112,11,1), MOD(MOD(I112,11),10)=--RIGHT(A112,1)), "OK", "ОШИБКА"), "ДЛИНА (10 или 12)")), "НЕ ЦИФРЫ"))</f>
        <v/>
      </c>
      <c r="E112">
        <f>MID(B112,1,1)*9+MID(B112,2,1)*8+MID(B112,3,1)*7+MID(B112,4,1)*6+MID(B112,5,1)*5+MID(B112,6,1)*4+MID(B112,7,1)*3+MID(B112,8,1)*2+MID(B112,9,1)</f>
        <v/>
      </c>
      <c r="F112">
        <f>IF(B112="", " ", IF(LEN(B112)&lt;&gt;11, "ДЛИНА", IF(NOT(ISNUMBER(--B112)), "НЕ ЦИФРЫ", IF(LEFT(B112,9)*1&lt;=1001998, "OK", IF(RIGHT(B112,2)*1=IF(MOD(E112,101)&gt;=100,0,MOD(E112,101)),"OK","ОШИБКА")))))</f>
        <v/>
      </c>
      <c r="G1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2">
        <f>IF(LEN(TRIM(A112))=10, --MID(A112,1,1)*2+--MID(A112,2,1)*4+--MID(A112,3,1)*10+--MID(A112,4,1)*3+--MID(A112,5,1)*5+--MID(A112,6,1)*9+--MID(A112,7,1)*4+--MID(A112,8,1)*6+--MID(A112,9,1)*8, IF(LEN(TRIM(A112))=12, --MID(A112,1,1)*7+--MID(A112,2,1)*2+--MID(A112,3,1)*4+--MID(A112,4,1)*10+--MID(A112,5,1)*3+--MID(A112,6,1)*5+--MID(A112,7,1)*9+--MID(A112,8,1)*4+--MID(A112,9,1)*6+--MID(A112,10,1)*8, ""))</f>
        <v/>
      </c>
      <c r="I112">
        <f>IF(LEN(TRIM(A112))=12, --MID(A112,1,1)*3+--MID(A112,2,1)*7+--MID(A112,3,1)*2+--MID(A112,4,1)*4+--MID(A112,5,1)*10+--MID(A112,6,1)*3+--MID(A112,7,1)*5+--MID(A112,8,1)*9+--MID(A112,9,1)*4+--MID(A112,10,1)*6+--MID(A112,11,1)*8, "")</f>
        <v/>
      </c>
    </row>
    <row r="113">
      <c r="A113">
        <f>SUBSTITUTE(SUBSTITUTE(SUBSTITUTE(SUBSTITUTE(TRIM(INDEX(Реестр!$B:$B,ROW())),CHAR(160),""),CHAR(9),""),CHAR(10),""),CHAR(13),"")</f>
        <v/>
      </c>
      <c r="B113">
        <f>SUBSTITUTE(SUBSTITUTE(SUBSTITUTE(SUBSTITUTE(SUBSTITUTE(SUBSTITUTE(SUBSTITUTE(TRIM(INDEX(Реестр!$D:$D, ROW())), "-", ""), " ", ""), CHAR(160), ""), CHAR(9), ""), CHAR(10), ""), CHAR(13), ""), CHAR(32), "")</f>
        <v/>
      </c>
      <c r="C113">
        <f>INDEX(Реестр!$H:$H, ROW())</f>
        <v/>
      </c>
      <c r="D113">
        <f>IF(OR(ISBLANK(INDEX(Реестр!$B:$B, ROW())), INDEX(Реестр!$B:$B, ROW())=""), " ", IF(IFERROR(ISNUMBER(--A113),FALSE), IF(LEN(A113)=10, IF(MOD(MOD(H113,11),10)=--RIGHT(A113,1), "OK", "ОШИБКА"), IF(LEN(A113)=12, IF(AND(MOD(MOD(H113,11),10)=--MID(A113,11,1), MOD(MOD(I113,11),10)=--RIGHT(A113,1)), "OK", "ОШИБКА"), "ДЛИНА (10 или 12)")), "НЕ ЦИФРЫ"))</f>
        <v/>
      </c>
      <c r="E113">
        <f>MID(B113,1,1)*9+MID(B113,2,1)*8+MID(B113,3,1)*7+MID(B113,4,1)*6+MID(B113,5,1)*5+MID(B113,6,1)*4+MID(B113,7,1)*3+MID(B113,8,1)*2+MID(B113,9,1)</f>
        <v/>
      </c>
      <c r="F113">
        <f>IF(B113="", " ", IF(LEN(B113)&lt;&gt;11, "ДЛИНА", IF(NOT(ISNUMBER(--B113)), "НЕ ЦИФРЫ", IF(LEFT(B113,9)*1&lt;=1001998, "OK", IF(RIGHT(B113,2)*1=IF(MOD(E113,101)&gt;=100,0,MOD(E113,101)),"OK","ОШИБКА")))))</f>
        <v/>
      </c>
      <c r="G1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3">
        <f>IF(LEN(TRIM(A113))=10, --MID(A113,1,1)*2+--MID(A113,2,1)*4+--MID(A113,3,1)*10+--MID(A113,4,1)*3+--MID(A113,5,1)*5+--MID(A113,6,1)*9+--MID(A113,7,1)*4+--MID(A113,8,1)*6+--MID(A113,9,1)*8, IF(LEN(TRIM(A113))=12, --MID(A113,1,1)*7+--MID(A113,2,1)*2+--MID(A113,3,1)*4+--MID(A113,4,1)*10+--MID(A113,5,1)*3+--MID(A113,6,1)*5+--MID(A113,7,1)*9+--MID(A113,8,1)*4+--MID(A113,9,1)*6+--MID(A113,10,1)*8, ""))</f>
        <v/>
      </c>
      <c r="I113">
        <f>IF(LEN(TRIM(A113))=12, --MID(A113,1,1)*3+--MID(A113,2,1)*7+--MID(A113,3,1)*2+--MID(A113,4,1)*4+--MID(A113,5,1)*10+--MID(A113,6,1)*3+--MID(A113,7,1)*5+--MID(A113,8,1)*9+--MID(A113,9,1)*4+--MID(A113,10,1)*6+--MID(A113,11,1)*8, "")</f>
        <v/>
      </c>
    </row>
    <row r="114">
      <c r="A114">
        <f>SUBSTITUTE(SUBSTITUTE(SUBSTITUTE(SUBSTITUTE(TRIM(INDEX(Реестр!$B:$B,ROW())),CHAR(160),""),CHAR(9),""),CHAR(10),""),CHAR(13),"")</f>
        <v/>
      </c>
      <c r="B114">
        <f>SUBSTITUTE(SUBSTITUTE(SUBSTITUTE(SUBSTITUTE(SUBSTITUTE(SUBSTITUTE(SUBSTITUTE(TRIM(INDEX(Реестр!$D:$D, ROW())), "-", ""), " ", ""), CHAR(160), ""), CHAR(9), ""), CHAR(10), ""), CHAR(13), ""), CHAR(32), "")</f>
        <v/>
      </c>
      <c r="C114">
        <f>INDEX(Реестр!$H:$H, ROW())</f>
        <v/>
      </c>
      <c r="D114">
        <f>IF(OR(ISBLANK(INDEX(Реестр!$B:$B, ROW())), INDEX(Реестр!$B:$B, ROW())=""), " ", IF(IFERROR(ISNUMBER(--A114),FALSE), IF(LEN(A114)=10, IF(MOD(MOD(H114,11),10)=--RIGHT(A114,1), "OK", "ОШИБКА"), IF(LEN(A114)=12, IF(AND(MOD(MOD(H114,11),10)=--MID(A114,11,1), MOD(MOD(I114,11),10)=--RIGHT(A114,1)), "OK", "ОШИБКА"), "ДЛИНА (10 или 12)")), "НЕ ЦИФРЫ"))</f>
        <v/>
      </c>
      <c r="E114">
        <f>MID(B114,1,1)*9+MID(B114,2,1)*8+MID(B114,3,1)*7+MID(B114,4,1)*6+MID(B114,5,1)*5+MID(B114,6,1)*4+MID(B114,7,1)*3+MID(B114,8,1)*2+MID(B114,9,1)</f>
        <v/>
      </c>
      <c r="F114">
        <f>IF(B114="", " ", IF(LEN(B114)&lt;&gt;11, "ДЛИНА", IF(NOT(ISNUMBER(--B114)), "НЕ ЦИФРЫ", IF(LEFT(B114,9)*1&lt;=1001998, "OK", IF(RIGHT(B114,2)*1=IF(MOD(E114,101)&gt;=100,0,MOD(E114,101)),"OK","ОШИБКА")))))</f>
        <v/>
      </c>
      <c r="G1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4">
        <f>IF(LEN(TRIM(A114))=10, --MID(A114,1,1)*2+--MID(A114,2,1)*4+--MID(A114,3,1)*10+--MID(A114,4,1)*3+--MID(A114,5,1)*5+--MID(A114,6,1)*9+--MID(A114,7,1)*4+--MID(A114,8,1)*6+--MID(A114,9,1)*8, IF(LEN(TRIM(A114))=12, --MID(A114,1,1)*7+--MID(A114,2,1)*2+--MID(A114,3,1)*4+--MID(A114,4,1)*10+--MID(A114,5,1)*3+--MID(A114,6,1)*5+--MID(A114,7,1)*9+--MID(A114,8,1)*4+--MID(A114,9,1)*6+--MID(A114,10,1)*8, ""))</f>
        <v/>
      </c>
      <c r="I114">
        <f>IF(LEN(TRIM(A114))=12, --MID(A114,1,1)*3+--MID(A114,2,1)*7+--MID(A114,3,1)*2+--MID(A114,4,1)*4+--MID(A114,5,1)*10+--MID(A114,6,1)*3+--MID(A114,7,1)*5+--MID(A114,8,1)*9+--MID(A114,9,1)*4+--MID(A114,10,1)*6+--MID(A114,11,1)*8, "")</f>
        <v/>
      </c>
    </row>
    <row r="115">
      <c r="A115">
        <f>SUBSTITUTE(SUBSTITUTE(SUBSTITUTE(SUBSTITUTE(TRIM(INDEX(Реестр!$B:$B,ROW())),CHAR(160),""),CHAR(9),""),CHAR(10),""),CHAR(13),"")</f>
        <v/>
      </c>
      <c r="B115">
        <f>SUBSTITUTE(SUBSTITUTE(SUBSTITUTE(SUBSTITUTE(SUBSTITUTE(SUBSTITUTE(SUBSTITUTE(TRIM(INDEX(Реестр!$D:$D, ROW())), "-", ""), " ", ""), CHAR(160), ""), CHAR(9), ""), CHAR(10), ""), CHAR(13), ""), CHAR(32), "")</f>
        <v/>
      </c>
      <c r="C115">
        <f>INDEX(Реестр!$H:$H, ROW())</f>
        <v/>
      </c>
      <c r="D115">
        <f>IF(OR(ISBLANK(INDEX(Реестр!$B:$B, ROW())), INDEX(Реестр!$B:$B, ROW())=""), " ", IF(IFERROR(ISNUMBER(--A115),FALSE), IF(LEN(A115)=10, IF(MOD(MOD(H115,11),10)=--RIGHT(A115,1), "OK", "ОШИБКА"), IF(LEN(A115)=12, IF(AND(MOD(MOD(H115,11),10)=--MID(A115,11,1), MOD(MOD(I115,11),10)=--RIGHT(A115,1)), "OK", "ОШИБКА"), "ДЛИНА (10 или 12)")), "НЕ ЦИФРЫ"))</f>
        <v/>
      </c>
      <c r="E115">
        <f>MID(B115,1,1)*9+MID(B115,2,1)*8+MID(B115,3,1)*7+MID(B115,4,1)*6+MID(B115,5,1)*5+MID(B115,6,1)*4+MID(B115,7,1)*3+MID(B115,8,1)*2+MID(B115,9,1)</f>
        <v/>
      </c>
      <c r="F115">
        <f>IF(B115="", " ", IF(LEN(B115)&lt;&gt;11, "ДЛИНА", IF(NOT(ISNUMBER(--B115)), "НЕ ЦИФРЫ", IF(LEFT(B115,9)*1&lt;=1001998, "OK", IF(RIGHT(B115,2)*1=IF(MOD(E115,101)&gt;=100,0,MOD(E115,101)),"OK","ОШИБКА")))))</f>
        <v/>
      </c>
      <c r="G1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5">
        <f>IF(LEN(TRIM(A115))=10, --MID(A115,1,1)*2+--MID(A115,2,1)*4+--MID(A115,3,1)*10+--MID(A115,4,1)*3+--MID(A115,5,1)*5+--MID(A115,6,1)*9+--MID(A115,7,1)*4+--MID(A115,8,1)*6+--MID(A115,9,1)*8, IF(LEN(TRIM(A115))=12, --MID(A115,1,1)*7+--MID(A115,2,1)*2+--MID(A115,3,1)*4+--MID(A115,4,1)*10+--MID(A115,5,1)*3+--MID(A115,6,1)*5+--MID(A115,7,1)*9+--MID(A115,8,1)*4+--MID(A115,9,1)*6+--MID(A115,10,1)*8, ""))</f>
        <v/>
      </c>
      <c r="I115">
        <f>IF(LEN(TRIM(A115))=12, --MID(A115,1,1)*3+--MID(A115,2,1)*7+--MID(A115,3,1)*2+--MID(A115,4,1)*4+--MID(A115,5,1)*10+--MID(A115,6,1)*3+--MID(A115,7,1)*5+--MID(A115,8,1)*9+--MID(A115,9,1)*4+--MID(A115,10,1)*6+--MID(A115,11,1)*8, "")</f>
        <v/>
      </c>
    </row>
    <row r="116">
      <c r="A116">
        <f>SUBSTITUTE(SUBSTITUTE(SUBSTITUTE(SUBSTITUTE(TRIM(INDEX(Реестр!$B:$B,ROW())),CHAR(160),""),CHAR(9),""),CHAR(10),""),CHAR(13),"")</f>
        <v/>
      </c>
      <c r="B116">
        <f>SUBSTITUTE(SUBSTITUTE(SUBSTITUTE(SUBSTITUTE(SUBSTITUTE(SUBSTITUTE(SUBSTITUTE(TRIM(INDEX(Реестр!$D:$D, ROW())), "-", ""), " ", ""), CHAR(160), ""), CHAR(9), ""), CHAR(10), ""), CHAR(13), ""), CHAR(32), "")</f>
        <v/>
      </c>
      <c r="C116">
        <f>INDEX(Реестр!$H:$H, ROW())</f>
        <v/>
      </c>
      <c r="D116">
        <f>IF(OR(ISBLANK(INDEX(Реестр!$B:$B, ROW())), INDEX(Реестр!$B:$B, ROW())=""), " ", IF(IFERROR(ISNUMBER(--A116),FALSE), IF(LEN(A116)=10, IF(MOD(MOD(H116,11),10)=--RIGHT(A116,1), "OK", "ОШИБКА"), IF(LEN(A116)=12, IF(AND(MOD(MOD(H116,11),10)=--MID(A116,11,1), MOD(MOD(I116,11),10)=--RIGHT(A116,1)), "OK", "ОШИБКА"), "ДЛИНА (10 или 12)")), "НЕ ЦИФРЫ"))</f>
        <v/>
      </c>
      <c r="E116">
        <f>MID(B116,1,1)*9+MID(B116,2,1)*8+MID(B116,3,1)*7+MID(B116,4,1)*6+MID(B116,5,1)*5+MID(B116,6,1)*4+MID(B116,7,1)*3+MID(B116,8,1)*2+MID(B116,9,1)</f>
        <v/>
      </c>
      <c r="F116">
        <f>IF(B116="", " ", IF(LEN(B116)&lt;&gt;11, "ДЛИНА", IF(NOT(ISNUMBER(--B116)), "НЕ ЦИФРЫ", IF(LEFT(B116,9)*1&lt;=1001998, "OK", IF(RIGHT(B116,2)*1=IF(MOD(E116,101)&gt;=100,0,MOD(E116,101)),"OK","ОШИБКА")))))</f>
        <v/>
      </c>
      <c r="G1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6">
        <f>IF(LEN(TRIM(A116))=10, --MID(A116,1,1)*2+--MID(A116,2,1)*4+--MID(A116,3,1)*10+--MID(A116,4,1)*3+--MID(A116,5,1)*5+--MID(A116,6,1)*9+--MID(A116,7,1)*4+--MID(A116,8,1)*6+--MID(A116,9,1)*8, IF(LEN(TRIM(A116))=12, --MID(A116,1,1)*7+--MID(A116,2,1)*2+--MID(A116,3,1)*4+--MID(A116,4,1)*10+--MID(A116,5,1)*3+--MID(A116,6,1)*5+--MID(A116,7,1)*9+--MID(A116,8,1)*4+--MID(A116,9,1)*6+--MID(A116,10,1)*8, ""))</f>
        <v/>
      </c>
      <c r="I116">
        <f>IF(LEN(TRIM(A116))=12, --MID(A116,1,1)*3+--MID(A116,2,1)*7+--MID(A116,3,1)*2+--MID(A116,4,1)*4+--MID(A116,5,1)*10+--MID(A116,6,1)*3+--MID(A116,7,1)*5+--MID(A116,8,1)*9+--MID(A116,9,1)*4+--MID(A116,10,1)*6+--MID(A116,11,1)*8, "")</f>
        <v/>
      </c>
    </row>
    <row r="117">
      <c r="A117">
        <f>SUBSTITUTE(SUBSTITUTE(SUBSTITUTE(SUBSTITUTE(TRIM(INDEX(Реестр!$B:$B,ROW())),CHAR(160),""),CHAR(9),""),CHAR(10),""),CHAR(13),"")</f>
        <v/>
      </c>
      <c r="B117">
        <f>SUBSTITUTE(SUBSTITUTE(SUBSTITUTE(SUBSTITUTE(SUBSTITUTE(SUBSTITUTE(SUBSTITUTE(TRIM(INDEX(Реестр!$D:$D, ROW())), "-", ""), " ", ""), CHAR(160), ""), CHAR(9), ""), CHAR(10), ""), CHAR(13), ""), CHAR(32), "")</f>
        <v/>
      </c>
      <c r="C117">
        <f>INDEX(Реестр!$H:$H, ROW())</f>
        <v/>
      </c>
      <c r="D117">
        <f>IF(OR(ISBLANK(INDEX(Реестр!$B:$B, ROW())), INDEX(Реестр!$B:$B, ROW())=""), " ", IF(IFERROR(ISNUMBER(--A117),FALSE), IF(LEN(A117)=10, IF(MOD(MOD(H117,11),10)=--RIGHT(A117,1), "OK", "ОШИБКА"), IF(LEN(A117)=12, IF(AND(MOD(MOD(H117,11),10)=--MID(A117,11,1), MOD(MOD(I117,11),10)=--RIGHT(A117,1)), "OK", "ОШИБКА"), "ДЛИНА (10 или 12)")), "НЕ ЦИФРЫ"))</f>
        <v/>
      </c>
      <c r="E117">
        <f>MID(B117,1,1)*9+MID(B117,2,1)*8+MID(B117,3,1)*7+MID(B117,4,1)*6+MID(B117,5,1)*5+MID(B117,6,1)*4+MID(B117,7,1)*3+MID(B117,8,1)*2+MID(B117,9,1)</f>
        <v/>
      </c>
      <c r="F117">
        <f>IF(B117="", " ", IF(LEN(B117)&lt;&gt;11, "ДЛИНА", IF(NOT(ISNUMBER(--B117)), "НЕ ЦИФРЫ", IF(LEFT(B117,9)*1&lt;=1001998, "OK", IF(RIGHT(B117,2)*1=IF(MOD(E117,101)&gt;=100,0,MOD(E117,101)),"OK","ОШИБКА")))))</f>
        <v/>
      </c>
      <c r="G1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7">
        <f>IF(LEN(TRIM(A117))=10, --MID(A117,1,1)*2+--MID(A117,2,1)*4+--MID(A117,3,1)*10+--MID(A117,4,1)*3+--MID(A117,5,1)*5+--MID(A117,6,1)*9+--MID(A117,7,1)*4+--MID(A117,8,1)*6+--MID(A117,9,1)*8, IF(LEN(TRIM(A117))=12, --MID(A117,1,1)*7+--MID(A117,2,1)*2+--MID(A117,3,1)*4+--MID(A117,4,1)*10+--MID(A117,5,1)*3+--MID(A117,6,1)*5+--MID(A117,7,1)*9+--MID(A117,8,1)*4+--MID(A117,9,1)*6+--MID(A117,10,1)*8, ""))</f>
        <v/>
      </c>
      <c r="I117">
        <f>IF(LEN(TRIM(A117))=12, --MID(A117,1,1)*3+--MID(A117,2,1)*7+--MID(A117,3,1)*2+--MID(A117,4,1)*4+--MID(A117,5,1)*10+--MID(A117,6,1)*3+--MID(A117,7,1)*5+--MID(A117,8,1)*9+--MID(A117,9,1)*4+--MID(A117,10,1)*6+--MID(A117,11,1)*8, "")</f>
        <v/>
      </c>
    </row>
    <row r="118">
      <c r="A118">
        <f>SUBSTITUTE(SUBSTITUTE(SUBSTITUTE(SUBSTITUTE(TRIM(INDEX(Реестр!$B:$B,ROW())),CHAR(160),""),CHAR(9),""),CHAR(10),""),CHAR(13),"")</f>
        <v/>
      </c>
      <c r="B118">
        <f>SUBSTITUTE(SUBSTITUTE(SUBSTITUTE(SUBSTITUTE(SUBSTITUTE(SUBSTITUTE(SUBSTITUTE(TRIM(INDEX(Реестр!$D:$D, ROW())), "-", ""), " ", ""), CHAR(160), ""), CHAR(9), ""), CHAR(10), ""), CHAR(13), ""), CHAR(32), "")</f>
        <v/>
      </c>
      <c r="C118">
        <f>INDEX(Реестр!$H:$H, ROW())</f>
        <v/>
      </c>
      <c r="D118">
        <f>IF(OR(ISBLANK(INDEX(Реестр!$B:$B, ROW())), INDEX(Реестр!$B:$B, ROW())=""), " ", IF(IFERROR(ISNUMBER(--A118),FALSE), IF(LEN(A118)=10, IF(MOD(MOD(H118,11),10)=--RIGHT(A118,1), "OK", "ОШИБКА"), IF(LEN(A118)=12, IF(AND(MOD(MOD(H118,11),10)=--MID(A118,11,1), MOD(MOD(I118,11),10)=--RIGHT(A118,1)), "OK", "ОШИБКА"), "ДЛИНА (10 или 12)")), "НЕ ЦИФРЫ"))</f>
        <v/>
      </c>
      <c r="E118">
        <f>MID(B118,1,1)*9+MID(B118,2,1)*8+MID(B118,3,1)*7+MID(B118,4,1)*6+MID(B118,5,1)*5+MID(B118,6,1)*4+MID(B118,7,1)*3+MID(B118,8,1)*2+MID(B118,9,1)</f>
        <v/>
      </c>
      <c r="F118">
        <f>IF(B118="", " ", IF(LEN(B118)&lt;&gt;11, "ДЛИНА", IF(NOT(ISNUMBER(--B118)), "НЕ ЦИФРЫ", IF(LEFT(B118,9)*1&lt;=1001998, "OK", IF(RIGHT(B118,2)*1=IF(MOD(E118,101)&gt;=100,0,MOD(E118,101)),"OK","ОШИБКА")))))</f>
        <v/>
      </c>
      <c r="G1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8">
        <f>IF(LEN(TRIM(A118))=10, --MID(A118,1,1)*2+--MID(A118,2,1)*4+--MID(A118,3,1)*10+--MID(A118,4,1)*3+--MID(A118,5,1)*5+--MID(A118,6,1)*9+--MID(A118,7,1)*4+--MID(A118,8,1)*6+--MID(A118,9,1)*8, IF(LEN(TRIM(A118))=12, --MID(A118,1,1)*7+--MID(A118,2,1)*2+--MID(A118,3,1)*4+--MID(A118,4,1)*10+--MID(A118,5,1)*3+--MID(A118,6,1)*5+--MID(A118,7,1)*9+--MID(A118,8,1)*4+--MID(A118,9,1)*6+--MID(A118,10,1)*8, ""))</f>
        <v/>
      </c>
      <c r="I118">
        <f>IF(LEN(TRIM(A118))=12, --MID(A118,1,1)*3+--MID(A118,2,1)*7+--MID(A118,3,1)*2+--MID(A118,4,1)*4+--MID(A118,5,1)*10+--MID(A118,6,1)*3+--MID(A118,7,1)*5+--MID(A118,8,1)*9+--MID(A118,9,1)*4+--MID(A118,10,1)*6+--MID(A118,11,1)*8, "")</f>
        <v/>
      </c>
    </row>
    <row r="119">
      <c r="A119">
        <f>SUBSTITUTE(SUBSTITUTE(SUBSTITUTE(SUBSTITUTE(TRIM(INDEX(Реестр!$B:$B,ROW())),CHAR(160),""),CHAR(9),""),CHAR(10),""),CHAR(13),"")</f>
        <v/>
      </c>
      <c r="B119">
        <f>SUBSTITUTE(SUBSTITUTE(SUBSTITUTE(SUBSTITUTE(SUBSTITUTE(SUBSTITUTE(SUBSTITUTE(TRIM(INDEX(Реестр!$D:$D, ROW())), "-", ""), " ", ""), CHAR(160), ""), CHAR(9), ""), CHAR(10), ""), CHAR(13), ""), CHAR(32), "")</f>
        <v/>
      </c>
      <c r="C119">
        <f>INDEX(Реестр!$H:$H, ROW())</f>
        <v/>
      </c>
      <c r="D119">
        <f>IF(OR(ISBLANK(INDEX(Реестр!$B:$B, ROW())), INDEX(Реестр!$B:$B, ROW())=""), " ", IF(IFERROR(ISNUMBER(--A119),FALSE), IF(LEN(A119)=10, IF(MOD(MOD(H119,11),10)=--RIGHT(A119,1), "OK", "ОШИБКА"), IF(LEN(A119)=12, IF(AND(MOD(MOD(H119,11),10)=--MID(A119,11,1), MOD(MOD(I119,11),10)=--RIGHT(A119,1)), "OK", "ОШИБКА"), "ДЛИНА (10 или 12)")), "НЕ ЦИФРЫ"))</f>
        <v/>
      </c>
      <c r="E119">
        <f>MID(B119,1,1)*9+MID(B119,2,1)*8+MID(B119,3,1)*7+MID(B119,4,1)*6+MID(B119,5,1)*5+MID(B119,6,1)*4+MID(B119,7,1)*3+MID(B119,8,1)*2+MID(B119,9,1)</f>
        <v/>
      </c>
      <c r="F119">
        <f>IF(B119="", " ", IF(LEN(B119)&lt;&gt;11, "ДЛИНА", IF(NOT(ISNUMBER(--B119)), "НЕ ЦИФРЫ", IF(LEFT(B119,9)*1&lt;=1001998, "OK", IF(RIGHT(B119,2)*1=IF(MOD(E119,101)&gt;=100,0,MOD(E119,101)),"OK","ОШИБКА")))))</f>
        <v/>
      </c>
      <c r="G1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19">
        <f>IF(LEN(TRIM(A119))=10, --MID(A119,1,1)*2+--MID(A119,2,1)*4+--MID(A119,3,1)*10+--MID(A119,4,1)*3+--MID(A119,5,1)*5+--MID(A119,6,1)*9+--MID(A119,7,1)*4+--MID(A119,8,1)*6+--MID(A119,9,1)*8, IF(LEN(TRIM(A119))=12, --MID(A119,1,1)*7+--MID(A119,2,1)*2+--MID(A119,3,1)*4+--MID(A119,4,1)*10+--MID(A119,5,1)*3+--MID(A119,6,1)*5+--MID(A119,7,1)*9+--MID(A119,8,1)*4+--MID(A119,9,1)*6+--MID(A119,10,1)*8, ""))</f>
        <v/>
      </c>
      <c r="I119">
        <f>IF(LEN(TRIM(A119))=12, --MID(A119,1,1)*3+--MID(A119,2,1)*7+--MID(A119,3,1)*2+--MID(A119,4,1)*4+--MID(A119,5,1)*10+--MID(A119,6,1)*3+--MID(A119,7,1)*5+--MID(A119,8,1)*9+--MID(A119,9,1)*4+--MID(A119,10,1)*6+--MID(A119,11,1)*8, "")</f>
        <v/>
      </c>
    </row>
    <row r="120">
      <c r="A120">
        <f>SUBSTITUTE(SUBSTITUTE(SUBSTITUTE(SUBSTITUTE(TRIM(INDEX(Реестр!$B:$B,ROW())),CHAR(160),""),CHAR(9),""),CHAR(10),""),CHAR(13),"")</f>
        <v/>
      </c>
      <c r="B120">
        <f>SUBSTITUTE(SUBSTITUTE(SUBSTITUTE(SUBSTITUTE(SUBSTITUTE(SUBSTITUTE(SUBSTITUTE(TRIM(INDEX(Реестр!$D:$D, ROW())), "-", ""), " ", ""), CHAR(160), ""), CHAR(9), ""), CHAR(10), ""), CHAR(13), ""), CHAR(32), "")</f>
        <v/>
      </c>
      <c r="C120">
        <f>INDEX(Реестр!$H:$H, ROW())</f>
        <v/>
      </c>
      <c r="D120">
        <f>IF(OR(ISBLANK(INDEX(Реестр!$B:$B, ROW())), INDEX(Реестр!$B:$B, ROW())=""), " ", IF(IFERROR(ISNUMBER(--A120),FALSE), IF(LEN(A120)=10, IF(MOD(MOD(H120,11),10)=--RIGHT(A120,1), "OK", "ОШИБКА"), IF(LEN(A120)=12, IF(AND(MOD(MOD(H120,11),10)=--MID(A120,11,1), MOD(MOD(I120,11),10)=--RIGHT(A120,1)), "OK", "ОШИБКА"), "ДЛИНА (10 или 12)")), "НЕ ЦИФРЫ"))</f>
        <v/>
      </c>
      <c r="E120">
        <f>MID(B120,1,1)*9+MID(B120,2,1)*8+MID(B120,3,1)*7+MID(B120,4,1)*6+MID(B120,5,1)*5+MID(B120,6,1)*4+MID(B120,7,1)*3+MID(B120,8,1)*2+MID(B120,9,1)</f>
        <v/>
      </c>
      <c r="F120">
        <f>IF(B120="", " ", IF(LEN(B120)&lt;&gt;11, "ДЛИНА", IF(NOT(ISNUMBER(--B120)), "НЕ ЦИФРЫ", IF(LEFT(B120,9)*1&lt;=1001998, "OK", IF(RIGHT(B120,2)*1=IF(MOD(E120,101)&gt;=100,0,MOD(E120,101)),"OK","ОШИБКА")))))</f>
        <v/>
      </c>
      <c r="G1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0">
        <f>IF(LEN(TRIM(A120))=10, --MID(A120,1,1)*2+--MID(A120,2,1)*4+--MID(A120,3,1)*10+--MID(A120,4,1)*3+--MID(A120,5,1)*5+--MID(A120,6,1)*9+--MID(A120,7,1)*4+--MID(A120,8,1)*6+--MID(A120,9,1)*8, IF(LEN(TRIM(A120))=12, --MID(A120,1,1)*7+--MID(A120,2,1)*2+--MID(A120,3,1)*4+--MID(A120,4,1)*10+--MID(A120,5,1)*3+--MID(A120,6,1)*5+--MID(A120,7,1)*9+--MID(A120,8,1)*4+--MID(A120,9,1)*6+--MID(A120,10,1)*8, ""))</f>
        <v/>
      </c>
      <c r="I120">
        <f>IF(LEN(TRIM(A120))=12, --MID(A120,1,1)*3+--MID(A120,2,1)*7+--MID(A120,3,1)*2+--MID(A120,4,1)*4+--MID(A120,5,1)*10+--MID(A120,6,1)*3+--MID(A120,7,1)*5+--MID(A120,8,1)*9+--MID(A120,9,1)*4+--MID(A120,10,1)*6+--MID(A120,11,1)*8, "")</f>
        <v/>
      </c>
    </row>
    <row r="121">
      <c r="A121">
        <f>SUBSTITUTE(SUBSTITUTE(SUBSTITUTE(SUBSTITUTE(TRIM(INDEX(Реестр!$B:$B,ROW())),CHAR(160),""),CHAR(9),""),CHAR(10),""),CHAR(13),"")</f>
        <v/>
      </c>
      <c r="B121">
        <f>SUBSTITUTE(SUBSTITUTE(SUBSTITUTE(SUBSTITUTE(SUBSTITUTE(SUBSTITUTE(SUBSTITUTE(TRIM(INDEX(Реестр!$D:$D, ROW())), "-", ""), " ", ""), CHAR(160), ""), CHAR(9), ""), CHAR(10), ""), CHAR(13), ""), CHAR(32), "")</f>
        <v/>
      </c>
      <c r="C121">
        <f>INDEX(Реестр!$H:$H, ROW())</f>
        <v/>
      </c>
      <c r="D121">
        <f>IF(OR(ISBLANK(INDEX(Реестр!$B:$B, ROW())), INDEX(Реестр!$B:$B, ROW())=""), " ", IF(IFERROR(ISNUMBER(--A121),FALSE), IF(LEN(A121)=10, IF(MOD(MOD(H121,11),10)=--RIGHT(A121,1), "OK", "ОШИБКА"), IF(LEN(A121)=12, IF(AND(MOD(MOD(H121,11),10)=--MID(A121,11,1), MOD(MOD(I121,11),10)=--RIGHT(A121,1)), "OK", "ОШИБКА"), "ДЛИНА (10 или 12)")), "НЕ ЦИФРЫ"))</f>
        <v/>
      </c>
      <c r="E121">
        <f>MID(B121,1,1)*9+MID(B121,2,1)*8+MID(B121,3,1)*7+MID(B121,4,1)*6+MID(B121,5,1)*5+MID(B121,6,1)*4+MID(B121,7,1)*3+MID(B121,8,1)*2+MID(B121,9,1)</f>
        <v/>
      </c>
      <c r="F121">
        <f>IF(B121="", " ", IF(LEN(B121)&lt;&gt;11, "ДЛИНА", IF(NOT(ISNUMBER(--B121)), "НЕ ЦИФРЫ", IF(LEFT(B121,9)*1&lt;=1001998, "OK", IF(RIGHT(B121,2)*1=IF(MOD(E121,101)&gt;=100,0,MOD(E121,101)),"OK","ОШИБКА")))))</f>
        <v/>
      </c>
      <c r="G1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1">
        <f>IF(LEN(TRIM(A121))=10, --MID(A121,1,1)*2+--MID(A121,2,1)*4+--MID(A121,3,1)*10+--MID(A121,4,1)*3+--MID(A121,5,1)*5+--MID(A121,6,1)*9+--MID(A121,7,1)*4+--MID(A121,8,1)*6+--MID(A121,9,1)*8, IF(LEN(TRIM(A121))=12, --MID(A121,1,1)*7+--MID(A121,2,1)*2+--MID(A121,3,1)*4+--MID(A121,4,1)*10+--MID(A121,5,1)*3+--MID(A121,6,1)*5+--MID(A121,7,1)*9+--MID(A121,8,1)*4+--MID(A121,9,1)*6+--MID(A121,10,1)*8, ""))</f>
        <v/>
      </c>
      <c r="I121">
        <f>IF(LEN(TRIM(A121))=12, --MID(A121,1,1)*3+--MID(A121,2,1)*7+--MID(A121,3,1)*2+--MID(A121,4,1)*4+--MID(A121,5,1)*10+--MID(A121,6,1)*3+--MID(A121,7,1)*5+--MID(A121,8,1)*9+--MID(A121,9,1)*4+--MID(A121,10,1)*6+--MID(A121,11,1)*8, "")</f>
        <v/>
      </c>
    </row>
    <row r="122">
      <c r="A122">
        <f>SUBSTITUTE(SUBSTITUTE(SUBSTITUTE(SUBSTITUTE(TRIM(INDEX(Реестр!$B:$B,ROW())),CHAR(160),""),CHAR(9),""),CHAR(10),""),CHAR(13),"")</f>
        <v/>
      </c>
      <c r="B122">
        <f>SUBSTITUTE(SUBSTITUTE(SUBSTITUTE(SUBSTITUTE(SUBSTITUTE(SUBSTITUTE(SUBSTITUTE(TRIM(INDEX(Реестр!$D:$D, ROW())), "-", ""), " ", ""), CHAR(160), ""), CHAR(9), ""), CHAR(10), ""), CHAR(13), ""), CHAR(32), "")</f>
        <v/>
      </c>
      <c r="C122">
        <f>INDEX(Реестр!$H:$H, ROW())</f>
        <v/>
      </c>
      <c r="D122">
        <f>IF(OR(ISBLANK(INDEX(Реестр!$B:$B, ROW())), INDEX(Реестр!$B:$B, ROW())=""), " ", IF(IFERROR(ISNUMBER(--A122),FALSE), IF(LEN(A122)=10, IF(MOD(MOD(H122,11),10)=--RIGHT(A122,1), "OK", "ОШИБКА"), IF(LEN(A122)=12, IF(AND(MOD(MOD(H122,11),10)=--MID(A122,11,1), MOD(MOD(I122,11),10)=--RIGHT(A122,1)), "OK", "ОШИБКА"), "ДЛИНА (10 или 12)")), "НЕ ЦИФРЫ"))</f>
        <v/>
      </c>
      <c r="E122">
        <f>MID(B122,1,1)*9+MID(B122,2,1)*8+MID(B122,3,1)*7+MID(B122,4,1)*6+MID(B122,5,1)*5+MID(B122,6,1)*4+MID(B122,7,1)*3+MID(B122,8,1)*2+MID(B122,9,1)</f>
        <v/>
      </c>
      <c r="F122">
        <f>IF(B122="", " ", IF(LEN(B122)&lt;&gt;11, "ДЛИНА", IF(NOT(ISNUMBER(--B122)), "НЕ ЦИФРЫ", IF(LEFT(B122,9)*1&lt;=1001998, "OK", IF(RIGHT(B122,2)*1=IF(MOD(E122,101)&gt;=100,0,MOD(E122,101)),"OK","ОШИБКА")))))</f>
        <v/>
      </c>
      <c r="G1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2">
        <f>IF(LEN(TRIM(A122))=10, --MID(A122,1,1)*2+--MID(A122,2,1)*4+--MID(A122,3,1)*10+--MID(A122,4,1)*3+--MID(A122,5,1)*5+--MID(A122,6,1)*9+--MID(A122,7,1)*4+--MID(A122,8,1)*6+--MID(A122,9,1)*8, IF(LEN(TRIM(A122))=12, --MID(A122,1,1)*7+--MID(A122,2,1)*2+--MID(A122,3,1)*4+--MID(A122,4,1)*10+--MID(A122,5,1)*3+--MID(A122,6,1)*5+--MID(A122,7,1)*9+--MID(A122,8,1)*4+--MID(A122,9,1)*6+--MID(A122,10,1)*8, ""))</f>
        <v/>
      </c>
      <c r="I122">
        <f>IF(LEN(TRIM(A122))=12, --MID(A122,1,1)*3+--MID(A122,2,1)*7+--MID(A122,3,1)*2+--MID(A122,4,1)*4+--MID(A122,5,1)*10+--MID(A122,6,1)*3+--MID(A122,7,1)*5+--MID(A122,8,1)*9+--MID(A122,9,1)*4+--MID(A122,10,1)*6+--MID(A122,11,1)*8, "")</f>
        <v/>
      </c>
    </row>
    <row r="123">
      <c r="A123">
        <f>SUBSTITUTE(SUBSTITUTE(SUBSTITUTE(SUBSTITUTE(TRIM(INDEX(Реестр!$B:$B,ROW())),CHAR(160),""),CHAR(9),""),CHAR(10),""),CHAR(13),"")</f>
        <v/>
      </c>
      <c r="B123">
        <f>SUBSTITUTE(SUBSTITUTE(SUBSTITUTE(SUBSTITUTE(SUBSTITUTE(SUBSTITUTE(SUBSTITUTE(TRIM(INDEX(Реестр!$D:$D, ROW())), "-", ""), " ", ""), CHAR(160), ""), CHAR(9), ""), CHAR(10), ""), CHAR(13), ""), CHAR(32), "")</f>
        <v/>
      </c>
      <c r="C123">
        <f>INDEX(Реестр!$H:$H, ROW())</f>
        <v/>
      </c>
      <c r="D123">
        <f>IF(OR(ISBLANK(INDEX(Реестр!$B:$B, ROW())), INDEX(Реестр!$B:$B, ROW())=""), " ", IF(IFERROR(ISNUMBER(--A123),FALSE), IF(LEN(A123)=10, IF(MOD(MOD(H123,11),10)=--RIGHT(A123,1), "OK", "ОШИБКА"), IF(LEN(A123)=12, IF(AND(MOD(MOD(H123,11),10)=--MID(A123,11,1), MOD(MOD(I123,11),10)=--RIGHT(A123,1)), "OK", "ОШИБКА"), "ДЛИНА (10 или 12)")), "НЕ ЦИФРЫ"))</f>
        <v/>
      </c>
      <c r="E123">
        <f>MID(B123,1,1)*9+MID(B123,2,1)*8+MID(B123,3,1)*7+MID(B123,4,1)*6+MID(B123,5,1)*5+MID(B123,6,1)*4+MID(B123,7,1)*3+MID(B123,8,1)*2+MID(B123,9,1)</f>
        <v/>
      </c>
      <c r="F123">
        <f>IF(B123="", " ", IF(LEN(B123)&lt;&gt;11, "ДЛИНА", IF(NOT(ISNUMBER(--B123)), "НЕ ЦИФРЫ", IF(LEFT(B123,9)*1&lt;=1001998, "OK", IF(RIGHT(B123,2)*1=IF(MOD(E123,101)&gt;=100,0,MOD(E123,101)),"OK","ОШИБКА")))))</f>
        <v/>
      </c>
      <c r="G1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3">
        <f>IF(LEN(TRIM(A123))=10, --MID(A123,1,1)*2+--MID(A123,2,1)*4+--MID(A123,3,1)*10+--MID(A123,4,1)*3+--MID(A123,5,1)*5+--MID(A123,6,1)*9+--MID(A123,7,1)*4+--MID(A123,8,1)*6+--MID(A123,9,1)*8, IF(LEN(TRIM(A123))=12, --MID(A123,1,1)*7+--MID(A123,2,1)*2+--MID(A123,3,1)*4+--MID(A123,4,1)*10+--MID(A123,5,1)*3+--MID(A123,6,1)*5+--MID(A123,7,1)*9+--MID(A123,8,1)*4+--MID(A123,9,1)*6+--MID(A123,10,1)*8, ""))</f>
        <v/>
      </c>
      <c r="I123">
        <f>IF(LEN(TRIM(A123))=12, --MID(A123,1,1)*3+--MID(A123,2,1)*7+--MID(A123,3,1)*2+--MID(A123,4,1)*4+--MID(A123,5,1)*10+--MID(A123,6,1)*3+--MID(A123,7,1)*5+--MID(A123,8,1)*9+--MID(A123,9,1)*4+--MID(A123,10,1)*6+--MID(A123,11,1)*8, "")</f>
        <v/>
      </c>
    </row>
    <row r="124">
      <c r="A124">
        <f>SUBSTITUTE(SUBSTITUTE(SUBSTITUTE(SUBSTITUTE(TRIM(INDEX(Реестр!$B:$B,ROW())),CHAR(160),""),CHAR(9),""),CHAR(10),""),CHAR(13),"")</f>
        <v/>
      </c>
      <c r="B124">
        <f>SUBSTITUTE(SUBSTITUTE(SUBSTITUTE(SUBSTITUTE(SUBSTITUTE(SUBSTITUTE(SUBSTITUTE(TRIM(INDEX(Реестр!$D:$D, ROW())), "-", ""), " ", ""), CHAR(160), ""), CHAR(9), ""), CHAR(10), ""), CHAR(13), ""), CHAR(32), "")</f>
        <v/>
      </c>
      <c r="C124">
        <f>INDEX(Реестр!$H:$H, ROW())</f>
        <v/>
      </c>
      <c r="D124">
        <f>IF(OR(ISBLANK(INDEX(Реестр!$B:$B, ROW())), INDEX(Реестр!$B:$B, ROW())=""), " ", IF(IFERROR(ISNUMBER(--A124),FALSE), IF(LEN(A124)=10, IF(MOD(MOD(H124,11),10)=--RIGHT(A124,1), "OK", "ОШИБКА"), IF(LEN(A124)=12, IF(AND(MOD(MOD(H124,11),10)=--MID(A124,11,1), MOD(MOD(I124,11),10)=--RIGHT(A124,1)), "OK", "ОШИБКА"), "ДЛИНА (10 или 12)")), "НЕ ЦИФРЫ"))</f>
        <v/>
      </c>
      <c r="E124">
        <f>MID(B124,1,1)*9+MID(B124,2,1)*8+MID(B124,3,1)*7+MID(B124,4,1)*6+MID(B124,5,1)*5+MID(B124,6,1)*4+MID(B124,7,1)*3+MID(B124,8,1)*2+MID(B124,9,1)</f>
        <v/>
      </c>
      <c r="F124">
        <f>IF(B124="", " ", IF(LEN(B124)&lt;&gt;11, "ДЛИНА", IF(NOT(ISNUMBER(--B124)), "НЕ ЦИФРЫ", IF(LEFT(B124,9)*1&lt;=1001998, "OK", IF(RIGHT(B124,2)*1=IF(MOD(E124,101)&gt;=100,0,MOD(E124,101)),"OK","ОШИБКА")))))</f>
        <v/>
      </c>
      <c r="G1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4">
        <f>IF(LEN(TRIM(A124))=10, --MID(A124,1,1)*2+--MID(A124,2,1)*4+--MID(A124,3,1)*10+--MID(A124,4,1)*3+--MID(A124,5,1)*5+--MID(A124,6,1)*9+--MID(A124,7,1)*4+--MID(A124,8,1)*6+--MID(A124,9,1)*8, IF(LEN(TRIM(A124))=12, --MID(A124,1,1)*7+--MID(A124,2,1)*2+--MID(A124,3,1)*4+--MID(A124,4,1)*10+--MID(A124,5,1)*3+--MID(A124,6,1)*5+--MID(A124,7,1)*9+--MID(A124,8,1)*4+--MID(A124,9,1)*6+--MID(A124,10,1)*8, ""))</f>
        <v/>
      </c>
      <c r="I124">
        <f>IF(LEN(TRIM(A124))=12, --MID(A124,1,1)*3+--MID(A124,2,1)*7+--MID(A124,3,1)*2+--MID(A124,4,1)*4+--MID(A124,5,1)*10+--MID(A124,6,1)*3+--MID(A124,7,1)*5+--MID(A124,8,1)*9+--MID(A124,9,1)*4+--MID(A124,10,1)*6+--MID(A124,11,1)*8, "")</f>
        <v/>
      </c>
    </row>
    <row r="125">
      <c r="A125">
        <f>SUBSTITUTE(SUBSTITUTE(SUBSTITUTE(SUBSTITUTE(TRIM(INDEX(Реестр!$B:$B,ROW())),CHAR(160),""),CHAR(9),""),CHAR(10),""),CHAR(13),"")</f>
        <v/>
      </c>
      <c r="B125">
        <f>SUBSTITUTE(SUBSTITUTE(SUBSTITUTE(SUBSTITUTE(SUBSTITUTE(SUBSTITUTE(SUBSTITUTE(TRIM(INDEX(Реестр!$D:$D, ROW())), "-", ""), " ", ""), CHAR(160), ""), CHAR(9), ""), CHAR(10), ""), CHAR(13), ""), CHAR(32), "")</f>
        <v/>
      </c>
      <c r="C125">
        <f>INDEX(Реестр!$H:$H, ROW())</f>
        <v/>
      </c>
      <c r="D125">
        <f>IF(OR(ISBLANK(INDEX(Реестр!$B:$B, ROW())), INDEX(Реестр!$B:$B, ROW())=""), " ", IF(IFERROR(ISNUMBER(--A125),FALSE), IF(LEN(A125)=10, IF(MOD(MOD(H125,11),10)=--RIGHT(A125,1), "OK", "ОШИБКА"), IF(LEN(A125)=12, IF(AND(MOD(MOD(H125,11),10)=--MID(A125,11,1), MOD(MOD(I125,11),10)=--RIGHT(A125,1)), "OK", "ОШИБКА"), "ДЛИНА (10 или 12)")), "НЕ ЦИФРЫ"))</f>
        <v/>
      </c>
      <c r="E125">
        <f>MID(B125,1,1)*9+MID(B125,2,1)*8+MID(B125,3,1)*7+MID(B125,4,1)*6+MID(B125,5,1)*5+MID(B125,6,1)*4+MID(B125,7,1)*3+MID(B125,8,1)*2+MID(B125,9,1)</f>
        <v/>
      </c>
      <c r="F125">
        <f>IF(B125="", " ", IF(LEN(B125)&lt;&gt;11, "ДЛИНА", IF(NOT(ISNUMBER(--B125)), "НЕ ЦИФРЫ", IF(LEFT(B125,9)*1&lt;=1001998, "OK", IF(RIGHT(B125,2)*1=IF(MOD(E125,101)&gt;=100,0,MOD(E125,101)),"OK","ОШИБКА")))))</f>
        <v/>
      </c>
      <c r="G1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5">
        <f>IF(LEN(TRIM(A125))=10, --MID(A125,1,1)*2+--MID(A125,2,1)*4+--MID(A125,3,1)*10+--MID(A125,4,1)*3+--MID(A125,5,1)*5+--MID(A125,6,1)*9+--MID(A125,7,1)*4+--MID(A125,8,1)*6+--MID(A125,9,1)*8, IF(LEN(TRIM(A125))=12, --MID(A125,1,1)*7+--MID(A125,2,1)*2+--MID(A125,3,1)*4+--MID(A125,4,1)*10+--MID(A125,5,1)*3+--MID(A125,6,1)*5+--MID(A125,7,1)*9+--MID(A125,8,1)*4+--MID(A125,9,1)*6+--MID(A125,10,1)*8, ""))</f>
        <v/>
      </c>
      <c r="I125">
        <f>IF(LEN(TRIM(A125))=12, --MID(A125,1,1)*3+--MID(A125,2,1)*7+--MID(A125,3,1)*2+--MID(A125,4,1)*4+--MID(A125,5,1)*10+--MID(A125,6,1)*3+--MID(A125,7,1)*5+--MID(A125,8,1)*9+--MID(A125,9,1)*4+--MID(A125,10,1)*6+--MID(A125,11,1)*8, "")</f>
        <v/>
      </c>
    </row>
    <row r="126">
      <c r="A126">
        <f>SUBSTITUTE(SUBSTITUTE(SUBSTITUTE(SUBSTITUTE(TRIM(INDEX(Реестр!$B:$B,ROW())),CHAR(160),""),CHAR(9),""),CHAR(10),""),CHAR(13),"")</f>
        <v/>
      </c>
      <c r="B126">
        <f>SUBSTITUTE(SUBSTITUTE(SUBSTITUTE(SUBSTITUTE(SUBSTITUTE(SUBSTITUTE(SUBSTITUTE(TRIM(INDEX(Реестр!$D:$D, ROW())), "-", ""), " ", ""), CHAR(160), ""), CHAR(9), ""), CHAR(10), ""), CHAR(13), ""), CHAR(32), "")</f>
        <v/>
      </c>
      <c r="C126">
        <f>INDEX(Реестр!$H:$H, ROW())</f>
        <v/>
      </c>
      <c r="D126">
        <f>IF(OR(ISBLANK(INDEX(Реестр!$B:$B, ROW())), INDEX(Реестр!$B:$B, ROW())=""), " ", IF(IFERROR(ISNUMBER(--A126),FALSE), IF(LEN(A126)=10, IF(MOD(MOD(H126,11),10)=--RIGHT(A126,1), "OK", "ОШИБКА"), IF(LEN(A126)=12, IF(AND(MOD(MOD(H126,11),10)=--MID(A126,11,1), MOD(MOD(I126,11),10)=--RIGHT(A126,1)), "OK", "ОШИБКА"), "ДЛИНА (10 или 12)")), "НЕ ЦИФРЫ"))</f>
        <v/>
      </c>
      <c r="E126">
        <f>MID(B126,1,1)*9+MID(B126,2,1)*8+MID(B126,3,1)*7+MID(B126,4,1)*6+MID(B126,5,1)*5+MID(B126,6,1)*4+MID(B126,7,1)*3+MID(B126,8,1)*2+MID(B126,9,1)</f>
        <v/>
      </c>
      <c r="F126">
        <f>IF(B126="", " ", IF(LEN(B126)&lt;&gt;11, "ДЛИНА", IF(NOT(ISNUMBER(--B126)), "НЕ ЦИФРЫ", IF(LEFT(B126,9)*1&lt;=1001998, "OK", IF(RIGHT(B126,2)*1=IF(MOD(E126,101)&gt;=100,0,MOD(E126,101)),"OK","ОШИБКА")))))</f>
        <v/>
      </c>
      <c r="G1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6">
        <f>IF(LEN(TRIM(A126))=10, --MID(A126,1,1)*2+--MID(A126,2,1)*4+--MID(A126,3,1)*10+--MID(A126,4,1)*3+--MID(A126,5,1)*5+--MID(A126,6,1)*9+--MID(A126,7,1)*4+--MID(A126,8,1)*6+--MID(A126,9,1)*8, IF(LEN(TRIM(A126))=12, --MID(A126,1,1)*7+--MID(A126,2,1)*2+--MID(A126,3,1)*4+--MID(A126,4,1)*10+--MID(A126,5,1)*3+--MID(A126,6,1)*5+--MID(A126,7,1)*9+--MID(A126,8,1)*4+--MID(A126,9,1)*6+--MID(A126,10,1)*8, ""))</f>
        <v/>
      </c>
      <c r="I126">
        <f>IF(LEN(TRIM(A126))=12, --MID(A126,1,1)*3+--MID(A126,2,1)*7+--MID(A126,3,1)*2+--MID(A126,4,1)*4+--MID(A126,5,1)*10+--MID(A126,6,1)*3+--MID(A126,7,1)*5+--MID(A126,8,1)*9+--MID(A126,9,1)*4+--MID(A126,10,1)*6+--MID(A126,11,1)*8, "")</f>
        <v/>
      </c>
    </row>
    <row r="127">
      <c r="A127">
        <f>SUBSTITUTE(SUBSTITUTE(SUBSTITUTE(SUBSTITUTE(TRIM(INDEX(Реестр!$B:$B,ROW())),CHAR(160),""),CHAR(9),""),CHAR(10),""),CHAR(13),"")</f>
        <v/>
      </c>
      <c r="B127">
        <f>SUBSTITUTE(SUBSTITUTE(SUBSTITUTE(SUBSTITUTE(SUBSTITUTE(SUBSTITUTE(SUBSTITUTE(TRIM(INDEX(Реестр!$D:$D, ROW())), "-", ""), " ", ""), CHAR(160), ""), CHAR(9), ""), CHAR(10), ""), CHAR(13), ""), CHAR(32), "")</f>
        <v/>
      </c>
      <c r="C127">
        <f>INDEX(Реестр!$H:$H, ROW())</f>
        <v/>
      </c>
      <c r="D127">
        <f>IF(OR(ISBLANK(INDEX(Реестр!$B:$B, ROW())), INDEX(Реестр!$B:$B, ROW())=""), " ", IF(IFERROR(ISNUMBER(--A127),FALSE), IF(LEN(A127)=10, IF(MOD(MOD(H127,11),10)=--RIGHT(A127,1), "OK", "ОШИБКА"), IF(LEN(A127)=12, IF(AND(MOD(MOD(H127,11),10)=--MID(A127,11,1), MOD(MOD(I127,11),10)=--RIGHT(A127,1)), "OK", "ОШИБКА"), "ДЛИНА (10 или 12)")), "НЕ ЦИФРЫ"))</f>
        <v/>
      </c>
      <c r="E127">
        <f>MID(B127,1,1)*9+MID(B127,2,1)*8+MID(B127,3,1)*7+MID(B127,4,1)*6+MID(B127,5,1)*5+MID(B127,6,1)*4+MID(B127,7,1)*3+MID(B127,8,1)*2+MID(B127,9,1)</f>
        <v/>
      </c>
      <c r="F127">
        <f>IF(B127="", " ", IF(LEN(B127)&lt;&gt;11, "ДЛИНА", IF(NOT(ISNUMBER(--B127)), "НЕ ЦИФРЫ", IF(LEFT(B127,9)*1&lt;=1001998, "OK", IF(RIGHT(B127,2)*1=IF(MOD(E127,101)&gt;=100,0,MOD(E127,101)),"OK","ОШИБКА")))))</f>
        <v/>
      </c>
      <c r="G1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7">
        <f>IF(LEN(TRIM(A127))=10, --MID(A127,1,1)*2+--MID(A127,2,1)*4+--MID(A127,3,1)*10+--MID(A127,4,1)*3+--MID(A127,5,1)*5+--MID(A127,6,1)*9+--MID(A127,7,1)*4+--MID(A127,8,1)*6+--MID(A127,9,1)*8, IF(LEN(TRIM(A127))=12, --MID(A127,1,1)*7+--MID(A127,2,1)*2+--MID(A127,3,1)*4+--MID(A127,4,1)*10+--MID(A127,5,1)*3+--MID(A127,6,1)*5+--MID(A127,7,1)*9+--MID(A127,8,1)*4+--MID(A127,9,1)*6+--MID(A127,10,1)*8, ""))</f>
        <v/>
      </c>
      <c r="I127">
        <f>IF(LEN(TRIM(A127))=12, --MID(A127,1,1)*3+--MID(A127,2,1)*7+--MID(A127,3,1)*2+--MID(A127,4,1)*4+--MID(A127,5,1)*10+--MID(A127,6,1)*3+--MID(A127,7,1)*5+--MID(A127,8,1)*9+--MID(A127,9,1)*4+--MID(A127,10,1)*6+--MID(A127,11,1)*8, "")</f>
        <v/>
      </c>
    </row>
    <row r="128">
      <c r="A128">
        <f>SUBSTITUTE(SUBSTITUTE(SUBSTITUTE(SUBSTITUTE(TRIM(INDEX(Реестр!$B:$B,ROW())),CHAR(160),""),CHAR(9),""),CHAR(10),""),CHAR(13),"")</f>
        <v/>
      </c>
      <c r="B128">
        <f>SUBSTITUTE(SUBSTITUTE(SUBSTITUTE(SUBSTITUTE(SUBSTITUTE(SUBSTITUTE(SUBSTITUTE(TRIM(INDEX(Реестр!$D:$D, ROW())), "-", ""), " ", ""), CHAR(160), ""), CHAR(9), ""), CHAR(10), ""), CHAR(13), ""), CHAR(32), "")</f>
        <v/>
      </c>
      <c r="C128">
        <f>INDEX(Реестр!$H:$H, ROW())</f>
        <v/>
      </c>
      <c r="D128">
        <f>IF(OR(ISBLANK(INDEX(Реестр!$B:$B, ROW())), INDEX(Реестр!$B:$B, ROW())=""), " ", IF(IFERROR(ISNUMBER(--A128),FALSE), IF(LEN(A128)=10, IF(MOD(MOD(H128,11),10)=--RIGHT(A128,1), "OK", "ОШИБКА"), IF(LEN(A128)=12, IF(AND(MOD(MOD(H128,11),10)=--MID(A128,11,1), MOD(MOD(I128,11),10)=--RIGHT(A128,1)), "OK", "ОШИБКА"), "ДЛИНА (10 или 12)")), "НЕ ЦИФРЫ"))</f>
        <v/>
      </c>
      <c r="E128">
        <f>MID(B128,1,1)*9+MID(B128,2,1)*8+MID(B128,3,1)*7+MID(B128,4,1)*6+MID(B128,5,1)*5+MID(B128,6,1)*4+MID(B128,7,1)*3+MID(B128,8,1)*2+MID(B128,9,1)</f>
        <v/>
      </c>
      <c r="F128">
        <f>IF(B128="", " ", IF(LEN(B128)&lt;&gt;11, "ДЛИНА", IF(NOT(ISNUMBER(--B128)), "НЕ ЦИФРЫ", IF(LEFT(B128,9)*1&lt;=1001998, "OK", IF(RIGHT(B128,2)*1=IF(MOD(E128,101)&gt;=100,0,MOD(E128,101)),"OK","ОШИБКА")))))</f>
        <v/>
      </c>
      <c r="G1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8">
        <f>IF(LEN(TRIM(A128))=10, --MID(A128,1,1)*2+--MID(A128,2,1)*4+--MID(A128,3,1)*10+--MID(A128,4,1)*3+--MID(A128,5,1)*5+--MID(A128,6,1)*9+--MID(A128,7,1)*4+--MID(A128,8,1)*6+--MID(A128,9,1)*8, IF(LEN(TRIM(A128))=12, --MID(A128,1,1)*7+--MID(A128,2,1)*2+--MID(A128,3,1)*4+--MID(A128,4,1)*10+--MID(A128,5,1)*3+--MID(A128,6,1)*5+--MID(A128,7,1)*9+--MID(A128,8,1)*4+--MID(A128,9,1)*6+--MID(A128,10,1)*8, ""))</f>
        <v/>
      </c>
      <c r="I128">
        <f>IF(LEN(TRIM(A128))=12, --MID(A128,1,1)*3+--MID(A128,2,1)*7+--MID(A128,3,1)*2+--MID(A128,4,1)*4+--MID(A128,5,1)*10+--MID(A128,6,1)*3+--MID(A128,7,1)*5+--MID(A128,8,1)*9+--MID(A128,9,1)*4+--MID(A128,10,1)*6+--MID(A128,11,1)*8, "")</f>
        <v/>
      </c>
    </row>
    <row r="129">
      <c r="A129">
        <f>SUBSTITUTE(SUBSTITUTE(SUBSTITUTE(SUBSTITUTE(TRIM(INDEX(Реестр!$B:$B,ROW())),CHAR(160),""),CHAR(9),""),CHAR(10),""),CHAR(13),"")</f>
        <v/>
      </c>
      <c r="B129">
        <f>SUBSTITUTE(SUBSTITUTE(SUBSTITUTE(SUBSTITUTE(SUBSTITUTE(SUBSTITUTE(SUBSTITUTE(TRIM(INDEX(Реестр!$D:$D, ROW())), "-", ""), " ", ""), CHAR(160), ""), CHAR(9), ""), CHAR(10), ""), CHAR(13), ""), CHAR(32), "")</f>
        <v/>
      </c>
      <c r="C129">
        <f>INDEX(Реестр!$H:$H, ROW())</f>
        <v/>
      </c>
      <c r="D129">
        <f>IF(OR(ISBLANK(INDEX(Реестр!$B:$B, ROW())), INDEX(Реестр!$B:$B, ROW())=""), " ", IF(IFERROR(ISNUMBER(--A129),FALSE), IF(LEN(A129)=10, IF(MOD(MOD(H129,11),10)=--RIGHT(A129,1), "OK", "ОШИБКА"), IF(LEN(A129)=12, IF(AND(MOD(MOD(H129,11),10)=--MID(A129,11,1), MOD(MOD(I129,11),10)=--RIGHT(A129,1)), "OK", "ОШИБКА"), "ДЛИНА (10 или 12)")), "НЕ ЦИФРЫ"))</f>
        <v/>
      </c>
      <c r="E129">
        <f>MID(B129,1,1)*9+MID(B129,2,1)*8+MID(B129,3,1)*7+MID(B129,4,1)*6+MID(B129,5,1)*5+MID(B129,6,1)*4+MID(B129,7,1)*3+MID(B129,8,1)*2+MID(B129,9,1)</f>
        <v/>
      </c>
      <c r="F129">
        <f>IF(B129="", " ", IF(LEN(B129)&lt;&gt;11, "ДЛИНА", IF(NOT(ISNUMBER(--B129)), "НЕ ЦИФРЫ", IF(LEFT(B129,9)*1&lt;=1001998, "OK", IF(RIGHT(B129,2)*1=IF(MOD(E129,101)&gt;=100,0,MOD(E129,101)),"OK","ОШИБКА")))))</f>
        <v/>
      </c>
      <c r="G1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29">
        <f>IF(LEN(TRIM(A129))=10, --MID(A129,1,1)*2+--MID(A129,2,1)*4+--MID(A129,3,1)*10+--MID(A129,4,1)*3+--MID(A129,5,1)*5+--MID(A129,6,1)*9+--MID(A129,7,1)*4+--MID(A129,8,1)*6+--MID(A129,9,1)*8, IF(LEN(TRIM(A129))=12, --MID(A129,1,1)*7+--MID(A129,2,1)*2+--MID(A129,3,1)*4+--MID(A129,4,1)*10+--MID(A129,5,1)*3+--MID(A129,6,1)*5+--MID(A129,7,1)*9+--MID(A129,8,1)*4+--MID(A129,9,1)*6+--MID(A129,10,1)*8, ""))</f>
        <v/>
      </c>
      <c r="I129">
        <f>IF(LEN(TRIM(A129))=12, --MID(A129,1,1)*3+--MID(A129,2,1)*7+--MID(A129,3,1)*2+--MID(A129,4,1)*4+--MID(A129,5,1)*10+--MID(A129,6,1)*3+--MID(A129,7,1)*5+--MID(A129,8,1)*9+--MID(A129,9,1)*4+--MID(A129,10,1)*6+--MID(A129,11,1)*8, "")</f>
        <v/>
      </c>
    </row>
    <row r="130">
      <c r="A130">
        <f>SUBSTITUTE(SUBSTITUTE(SUBSTITUTE(SUBSTITUTE(TRIM(INDEX(Реестр!$B:$B,ROW())),CHAR(160),""),CHAR(9),""),CHAR(10),""),CHAR(13),"")</f>
        <v/>
      </c>
      <c r="B130">
        <f>SUBSTITUTE(SUBSTITUTE(SUBSTITUTE(SUBSTITUTE(SUBSTITUTE(SUBSTITUTE(SUBSTITUTE(TRIM(INDEX(Реестр!$D:$D, ROW())), "-", ""), " ", ""), CHAR(160), ""), CHAR(9), ""), CHAR(10), ""), CHAR(13), ""), CHAR(32), "")</f>
        <v/>
      </c>
      <c r="C130">
        <f>INDEX(Реестр!$H:$H, ROW())</f>
        <v/>
      </c>
      <c r="D130">
        <f>IF(OR(ISBLANK(INDEX(Реестр!$B:$B, ROW())), INDEX(Реестр!$B:$B, ROW())=""), " ", IF(IFERROR(ISNUMBER(--A130),FALSE), IF(LEN(A130)=10, IF(MOD(MOD(H130,11),10)=--RIGHT(A130,1), "OK", "ОШИБКА"), IF(LEN(A130)=12, IF(AND(MOD(MOD(H130,11),10)=--MID(A130,11,1), MOD(MOD(I130,11),10)=--RIGHT(A130,1)), "OK", "ОШИБКА"), "ДЛИНА (10 или 12)")), "НЕ ЦИФРЫ"))</f>
        <v/>
      </c>
      <c r="E130">
        <f>MID(B130,1,1)*9+MID(B130,2,1)*8+MID(B130,3,1)*7+MID(B130,4,1)*6+MID(B130,5,1)*5+MID(B130,6,1)*4+MID(B130,7,1)*3+MID(B130,8,1)*2+MID(B130,9,1)</f>
        <v/>
      </c>
      <c r="F130">
        <f>IF(B130="", " ", IF(LEN(B130)&lt;&gt;11, "ДЛИНА", IF(NOT(ISNUMBER(--B130)), "НЕ ЦИФРЫ", IF(LEFT(B130,9)*1&lt;=1001998, "OK", IF(RIGHT(B130,2)*1=IF(MOD(E130,101)&gt;=100,0,MOD(E130,101)),"OK","ОШИБКА")))))</f>
        <v/>
      </c>
      <c r="G1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0">
        <f>IF(LEN(TRIM(A130))=10, --MID(A130,1,1)*2+--MID(A130,2,1)*4+--MID(A130,3,1)*10+--MID(A130,4,1)*3+--MID(A130,5,1)*5+--MID(A130,6,1)*9+--MID(A130,7,1)*4+--MID(A130,8,1)*6+--MID(A130,9,1)*8, IF(LEN(TRIM(A130))=12, --MID(A130,1,1)*7+--MID(A130,2,1)*2+--MID(A130,3,1)*4+--MID(A130,4,1)*10+--MID(A130,5,1)*3+--MID(A130,6,1)*5+--MID(A130,7,1)*9+--MID(A130,8,1)*4+--MID(A130,9,1)*6+--MID(A130,10,1)*8, ""))</f>
        <v/>
      </c>
      <c r="I130">
        <f>IF(LEN(TRIM(A130))=12, --MID(A130,1,1)*3+--MID(A130,2,1)*7+--MID(A130,3,1)*2+--MID(A130,4,1)*4+--MID(A130,5,1)*10+--MID(A130,6,1)*3+--MID(A130,7,1)*5+--MID(A130,8,1)*9+--MID(A130,9,1)*4+--MID(A130,10,1)*6+--MID(A130,11,1)*8, "")</f>
        <v/>
      </c>
    </row>
    <row r="131">
      <c r="A131">
        <f>SUBSTITUTE(SUBSTITUTE(SUBSTITUTE(SUBSTITUTE(TRIM(INDEX(Реестр!$B:$B,ROW())),CHAR(160),""),CHAR(9),""),CHAR(10),""),CHAR(13),"")</f>
        <v/>
      </c>
      <c r="B131">
        <f>SUBSTITUTE(SUBSTITUTE(SUBSTITUTE(SUBSTITUTE(SUBSTITUTE(SUBSTITUTE(SUBSTITUTE(TRIM(INDEX(Реестр!$D:$D, ROW())), "-", ""), " ", ""), CHAR(160), ""), CHAR(9), ""), CHAR(10), ""), CHAR(13), ""), CHAR(32), "")</f>
        <v/>
      </c>
      <c r="C131">
        <f>INDEX(Реестр!$H:$H, ROW())</f>
        <v/>
      </c>
      <c r="D131">
        <f>IF(OR(ISBLANK(INDEX(Реестр!$B:$B, ROW())), INDEX(Реестр!$B:$B, ROW())=""), " ", IF(IFERROR(ISNUMBER(--A131),FALSE), IF(LEN(A131)=10, IF(MOD(MOD(H131,11),10)=--RIGHT(A131,1), "OK", "ОШИБКА"), IF(LEN(A131)=12, IF(AND(MOD(MOD(H131,11),10)=--MID(A131,11,1), MOD(MOD(I131,11),10)=--RIGHT(A131,1)), "OK", "ОШИБКА"), "ДЛИНА (10 или 12)")), "НЕ ЦИФРЫ"))</f>
        <v/>
      </c>
      <c r="E131">
        <f>MID(B131,1,1)*9+MID(B131,2,1)*8+MID(B131,3,1)*7+MID(B131,4,1)*6+MID(B131,5,1)*5+MID(B131,6,1)*4+MID(B131,7,1)*3+MID(B131,8,1)*2+MID(B131,9,1)</f>
        <v/>
      </c>
      <c r="F131">
        <f>IF(B131="", " ", IF(LEN(B131)&lt;&gt;11, "ДЛИНА", IF(NOT(ISNUMBER(--B131)), "НЕ ЦИФРЫ", IF(LEFT(B131,9)*1&lt;=1001998, "OK", IF(RIGHT(B131,2)*1=IF(MOD(E131,101)&gt;=100,0,MOD(E131,101)),"OK","ОШИБКА")))))</f>
        <v/>
      </c>
      <c r="G1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1">
        <f>IF(LEN(TRIM(A131))=10, --MID(A131,1,1)*2+--MID(A131,2,1)*4+--MID(A131,3,1)*10+--MID(A131,4,1)*3+--MID(A131,5,1)*5+--MID(A131,6,1)*9+--MID(A131,7,1)*4+--MID(A131,8,1)*6+--MID(A131,9,1)*8, IF(LEN(TRIM(A131))=12, --MID(A131,1,1)*7+--MID(A131,2,1)*2+--MID(A131,3,1)*4+--MID(A131,4,1)*10+--MID(A131,5,1)*3+--MID(A131,6,1)*5+--MID(A131,7,1)*9+--MID(A131,8,1)*4+--MID(A131,9,1)*6+--MID(A131,10,1)*8, ""))</f>
        <v/>
      </c>
      <c r="I131">
        <f>IF(LEN(TRIM(A131))=12, --MID(A131,1,1)*3+--MID(A131,2,1)*7+--MID(A131,3,1)*2+--MID(A131,4,1)*4+--MID(A131,5,1)*10+--MID(A131,6,1)*3+--MID(A131,7,1)*5+--MID(A131,8,1)*9+--MID(A131,9,1)*4+--MID(A131,10,1)*6+--MID(A131,11,1)*8, "")</f>
        <v/>
      </c>
    </row>
    <row r="132">
      <c r="A132">
        <f>SUBSTITUTE(SUBSTITUTE(SUBSTITUTE(SUBSTITUTE(TRIM(INDEX(Реестр!$B:$B,ROW())),CHAR(160),""),CHAR(9),""),CHAR(10),""),CHAR(13),"")</f>
        <v/>
      </c>
      <c r="B132">
        <f>SUBSTITUTE(SUBSTITUTE(SUBSTITUTE(SUBSTITUTE(SUBSTITUTE(SUBSTITUTE(SUBSTITUTE(TRIM(INDEX(Реестр!$D:$D, ROW())), "-", ""), " ", ""), CHAR(160), ""), CHAR(9), ""), CHAR(10), ""), CHAR(13), ""), CHAR(32), "")</f>
        <v/>
      </c>
      <c r="C132">
        <f>INDEX(Реестр!$H:$H, ROW())</f>
        <v/>
      </c>
      <c r="D132">
        <f>IF(OR(ISBLANK(INDEX(Реестр!$B:$B, ROW())), INDEX(Реестр!$B:$B, ROW())=""), " ", IF(IFERROR(ISNUMBER(--A132),FALSE), IF(LEN(A132)=10, IF(MOD(MOD(H132,11),10)=--RIGHT(A132,1), "OK", "ОШИБКА"), IF(LEN(A132)=12, IF(AND(MOD(MOD(H132,11),10)=--MID(A132,11,1), MOD(MOD(I132,11),10)=--RIGHT(A132,1)), "OK", "ОШИБКА"), "ДЛИНА (10 или 12)")), "НЕ ЦИФРЫ"))</f>
        <v/>
      </c>
      <c r="E132">
        <f>MID(B132,1,1)*9+MID(B132,2,1)*8+MID(B132,3,1)*7+MID(B132,4,1)*6+MID(B132,5,1)*5+MID(B132,6,1)*4+MID(B132,7,1)*3+MID(B132,8,1)*2+MID(B132,9,1)</f>
        <v/>
      </c>
      <c r="F132">
        <f>IF(B132="", " ", IF(LEN(B132)&lt;&gt;11, "ДЛИНА", IF(NOT(ISNUMBER(--B132)), "НЕ ЦИФРЫ", IF(LEFT(B132,9)*1&lt;=1001998, "OK", IF(RIGHT(B132,2)*1=IF(MOD(E132,101)&gt;=100,0,MOD(E132,101)),"OK","ОШИБКА")))))</f>
        <v/>
      </c>
      <c r="G1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2">
        <f>IF(LEN(TRIM(A132))=10, --MID(A132,1,1)*2+--MID(A132,2,1)*4+--MID(A132,3,1)*10+--MID(A132,4,1)*3+--MID(A132,5,1)*5+--MID(A132,6,1)*9+--MID(A132,7,1)*4+--MID(A132,8,1)*6+--MID(A132,9,1)*8, IF(LEN(TRIM(A132))=12, --MID(A132,1,1)*7+--MID(A132,2,1)*2+--MID(A132,3,1)*4+--MID(A132,4,1)*10+--MID(A132,5,1)*3+--MID(A132,6,1)*5+--MID(A132,7,1)*9+--MID(A132,8,1)*4+--MID(A132,9,1)*6+--MID(A132,10,1)*8, ""))</f>
        <v/>
      </c>
      <c r="I132">
        <f>IF(LEN(TRIM(A132))=12, --MID(A132,1,1)*3+--MID(A132,2,1)*7+--MID(A132,3,1)*2+--MID(A132,4,1)*4+--MID(A132,5,1)*10+--MID(A132,6,1)*3+--MID(A132,7,1)*5+--MID(A132,8,1)*9+--MID(A132,9,1)*4+--MID(A132,10,1)*6+--MID(A132,11,1)*8, "")</f>
        <v/>
      </c>
    </row>
    <row r="133">
      <c r="A133">
        <f>SUBSTITUTE(SUBSTITUTE(SUBSTITUTE(SUBSTITUTE(TRIM(INDEX(Реестр!$B:$B,ROW())),CHAR(160),""),CHAR(9),""),CHAR(10),""),CHAR(13),"")</f>
        <v/>
      </c>
      <c r="B133">
        <f>SUBSTITUTE(SUBSTITUTE(SUBSTITUTE(SUBSTITUTE(SUBSTITUTE(SUBSTITUTE(SUBSTITUTE(TRIM(INDEX(Реестр!$D:$D, ROW())), "-", ""), " ", ""), CHAR(160), ""), CHAR(9), ""), CHAR(10), ""), CHAR(13), ""), CHAR(32), "")</f>
        <v/>
      </c>
      <c r="C133">
        <f>INDEX(Реестр!$H:$H, ROW())</f>
        <v/>
      </c>
      <c r="D133">
        <f>IF(OR(ISBLANK(INDEX(Реестр!$B:$B, ROW())), INDEX(Реестр!$B:$B, ROW())=""), " ", IF(IFERROR(ISNUMBER(--A133),FALSE), IF(LEN(A133)=10, IF(MOD(MOD(H133,11),10)=--RIGHT(A133,1), "OK", "ОШИБКА"), IF(LEN(A133)=12, IF(AND(MOD(MOD(H133,11),10)=--MID(A133,11,1), MOD(MOD(I133,11),10)=--RIGHT(A133,1)), "OK", "ОШИБКА"), "ДЛИНА (10 или 12)")), "НЕ ЦИФРЫ"))</f>
        <v/>
      </c>
      <c r="E133">
        <f>MID(B133,1,1)*9+MID(B133,2,1)*8+MID(B133,3,1)*7+MID(B133,4,1)*6+MID(B133,5,1)*5+MID(B133,6,1)*4+MID(B133,7,1)*3+MID(B133,8,1)*2+MID(B133,9,1)</f>
        <v/>
      </c>
      <c r="F133">
        <f>IF(B133="", " ", IF(LEN(B133)&lt;&gt;11, "ДЛИНА", IF(NOT(ISNUMBER(--B133)), "НЕ ЦИФРЫ", IF(LEFT(B133,9)*1&lt;=1001998, "OK", IF(RIGHT(B133,2)*1=IF(MOD(E133,101)&gt;=100,0,MOD(E133,101)),"OK","ОШИБКА")))))</f>
        <v/>
      </c>
      <c r="G1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3">
        <f>IF(LEN(TRIM(A133))=10, --MID(A133,1,1)*2+--MID(A133,2,1)*4+--MID(A133,3,1)*10+--MID(A133,4,1)*3+--MID(A133,5,1)*5+--MID(A133,6,1)*9+--MID(A133,7,1)*4+--MID(A133,8,1)*6+--MID(A133,9,1)*8, IF(LEN(TRIM(A133))=12, --MID(A133,1,1)*7+--MID(A133,2,1)*2+--MID(A133,3,1)*4+--MID(A133,4,1)*10+--MID(A133,5,1)*3+--MID(A133,6,1)*5+--MID(A133,7,1)*9+--MID(A133,8,1)*4+--MID(A133,9,1)*6+--MID(A133,10,1)*8, ""))</f>
        <v/>
      </c>
      <c r="I133">
        <f>IF(LEN(TRIM(A133))=12, --MID(A133,1,1)*3+--MID(A133,2,1)*7+--MID(A133,3,1)*2+--MID(A133,4,1)*4+--MID(A133,5,1)*10+--MID(A133,6,1)*3+--MID(A133,7,1)*5+--MID(A133,8,1)*9+--MID(A133,9,1)*4+--MID(A133,10,1)*6+--MID(A133,11,1)*8, "")</f>
        <v/>
      </c>
    </row>
    <row r="134">
      <c r="A134">
        <f>SUBSTITUTE(SUBSTITUTE(SUBSTITUTE(SUBSTITUTE(TRIM(INDEX(Реестр!$B:$B,ROW())),CHAR(160),""),CHAR(9),""),CHAR(10),""),CHAR(13),"")</f>
        <v/>
      </c>
      <c r="B134">
        <f>SUBSTITUTE(SUBSTITUTE(SUBSTITUTE(SUBSTITUTE(SUBSTITUTE(SUBSTITUTE(SUBSTITUTE(TRIM(INDEX(Реестр!$D:$D, ROW())), "-", ""), " ", ""), CHAR(160), ""), CHAR(9), ""), CHAR(10), ""), CHAR(13), ""), CHAR(32), "")</f>
        <v/>
      </c>
      <c r="C134">
        <f>INDEX(Реестр!$H:$H, ROW())</f>
        <v/>
      </c>
      <c r="D134">
        <f>IF(OR(ISBLANK(INDEX(Реестр!$B:$B, ROW())), INDEX(Реестр!$B:$B, ROW())=""), " ", IF(IFERROR(ISNUMBER(--A134),FALSE), IF(LEN(A134)=10, IF(MOD(MOD(H134,11),10)=--RIGHT(A134,1), "OK", "ОШИБКА"), IF(LEN(A134)=12, IF(AND(MOD(MOD(H134,11),10)=--MID(A134,11,1), MOD(MOD(I134,11),10)=--RIGHT(A134,1)), "OK", "ОШИБКА"), "ДЛИНА (10 или 12)")), "НЕ ЦИФРЫ"))</f>
        <v/>
      </c>
      <c r="E134">
        <f>MID(B134,1,1)*9+MID(B134,2,1)*8+MID(B134,3,1)*7+MID(B134,4,1)*6+MID(B134,5,1)*5+MID(B134,6,1)*4+MID(B134,7,1)*3+MID(B134,8,1)*2+MID(B134,9,1)</f>
        <v/>
      </c>
      <c r="F134">
        <f>IF(B134="", " ", IF(LEN(B134)&lt;&gt;11, "ДЛИНА", IF(NOT(ISNUMBER(--B134)), "НЕ ЦИФРЫ", IF(LEFT(B134,9)*1&lt;=1001998, "OK", IF(RIGHT(B134,2)*1=IF(MOD(E134,101)&gt;=100,0,MOD(E134,101)),"OK","ОШИБКА")))))</f>
        <v/>
      </c>
      <c r="G1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4">
        <f>IF(LEN(TRIM(A134))=10, --MID(A134,1,1)*2+--MID(A134,2,1)*4+--MID(A134,3,1)*10+--MID(A134,4,1)*3+--MID(A134,5,1)*5+--MID(A134,6,1)*9+--MID(A134,7,1)*4+--MID(A134,8,1)*6+--MID(A134,9,1)*8, IF(LEN(TRIM(A134))=12, --MID(A134,1,1)*7+--MID(A134,2,1)*2+--MID(A134,3,1)*4+--MID(A134,4,1)*10+--MID(A134,5,1)*3+--MID(A134,6,1)*5+--MID(A134,7,1)*9+--MID(A134,8,1)*4+--MID(A134,9,1)*6+--MID(A134,10,1)*8, ""))</f>
        <v/>
      </c>
      <c r="I134">
        <f>IF(LEN(TRIM(A134))=12, --MID(A134,1,1)*3+--MID(A134,2,1)*7+--MID(A134,3,1)*2+--MID(A134,4,1)*4+--MID(A134,5,1)*10+--MID(A134,6,1)*3+--MID(A134,7,1)*5+--MID(A134,8,1)*9+--MID(A134,9,1)*4+--MID(A134,10,1)*6+--MID(A134,11,1)*8, "")</f>
        <v/>
      </c>
    </row>
    <row r="135">
      <c r="A135">
        <f>SUBSTITUTE(SUBSTITUTE(SUBSTITUTE(SUBSTITUTE(TRIM(INDEX(Реестр!$B:$B,ROW())),CHAR(160),""),CHAR(9),""),CHAR(10),""),CHAR(13),"")</f>
        <v/>
      </c>
      <c r="B135">
        <f>SUBSTITUTE(SUBSTITUTE(SUBSTITUTE(SUBSTITUTE(SUBSTITUTE(SUBSTITUTE(SUBSTITUTE(TRIM(INDEX(Реестр!$D:$D, ROW())), "-", ""), " ", ""), CHAR(160), ""), CHAR(9), ""), CHAR(10), ""), CHAR(13), ""), CHAR(32), "")</f>
        <v/>
      </c>
      <c r="C135">
        <f>INDEX(Реестр!$H:$H, ROW())</f>
        <v/>
      </c>
      <c r="D135">
        <f>IF(OR(ISBLANK(INDEX(Реестр!$B:$B, ROW())), INDEX(Реестр!$B:$B, ROW())=""), " ", IF(IFERROR(ISNUMBER(--A135),FALSE), IF(LEN(A135)=10, IF(MOD(MOD(H135,11),10)=--RIGHT(A135,1), "OK", "ОШИБКА"), IF(LEN(A135)=12, IF(AND(MOD(MOD(H135,11),10)=--MID(A135,11,1), MOD(MOD(I135,11),10)=--RIGHT(A135,1)), "OK", "ОШИБКА"), "ДЛИНА (10 или 12)")), "НЕ ЦИФРЫ"))</f>
        <v/>
      </c>
      <c r="E135">
        <f>MID(B135,1,1)*9+MID(B135,2,1)*8+MID(B135,3,1)*7+MID(B135,4,1)*6+MID(B135,5,1)*5+MID(B135,6,1)*4+MID(B135,7,1)*3+MID(B135,8,1)*2+MID(B135,9,1)</f>
        <v/>
      </c>
      <c r="F135">
        <f>IF(B135="", " ", IF(LEN(B135)&lt;&gt;11, "ДЛИНА", IF(NOT(ISNUMBER(--B135)), "НЕ ЦИФРЫ", IF(LEFT(B135,9)*1&lt;=1001998, "OK", IF(RIGHT(B135,2)*1=IF(MOD(E135,101)&gt;=100,0,MOD(E135,101)),"OK","ОШИБКА")))))</f>
        <v/>
      </c>
      <c r="G1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5">
        <f>IF(LEN(TRIM(A135))=10, --MID(A135,1,1)*2+--MID(A135,2,1)*4+--MID(A135,3,1)*10+--MID(A135,4,1)*3+--MID(A135,5,1)*5+--MID(A135,6,1)*9+--MID(A135,7,1)*4+--MID(A135,8,1)*6+--MID(A135,9,1)*8, IF(LEN(TRIM(A135))=12, --MID(A135,1,1)*7+--MID(A135,2,1)*2+--MID(A135,3,1)*4+--MID(A135,4,1)*10+--MID(A135,5,1)*3+--MID(A135,6,1)*5+--MID(A135,7,1)*9+--MID(A135,8,1)*4+--MID(A135,9,1)*6+--MID(A135,10,1)*8, ""))</f>
        <v/>
      </c>
      <c r="I135">
        <f>IF(LEN(TRIM(A135))=12, --MID(A135,1,1)*3+--MID(A135,2,1)*7+--MID(A135,3,1)*2+--MID(A135,4,1)*4+--MID(A135,5,1)*10+--MID(A135,6,1)*3+--MID(A135,7,1)*5+--MID(A135,8,1)*9+--MID(A135,9,1)*4+--MID(A135,10,1)*6+--MID(A135,11,1)*8, "")</f>
        <v/>
      </c>
    </row>
    <row r="136">
      <c r="A136">
        <f>SUBSTITUTE(SUBSTITUTE(SUBSTITUTE(SUBSTITUTE(TRIM(INDEX(Реестр!$B:$B,ROW())),CHAR(160),""),CHAR(9),""),CHAR(10),""),CHAR(13),"")</f>
        <v/>
      </c>
      <c r="B136">
        <f>SUBSTITUTE(SUBSTITUTE(SUBSTITUTE(SUBSTITUTE(SUBSTITUTE(SUBSTITUTE(SUBSTITUTE(TRIM(INDEX(Реестр!$D:$D, ROW())), "-", ""), " ", ""), CHAR(160), ""), CHAR(9), ""), CHAR(10), ""), CHAR(13), ""), CHAR(32), "")</f>
        <v/>
      </c>
      <c r="C136">
        <f>INDEX(Реестр!$H:$H, ROW())</f>
        <v/>
      </c>
      <c r="D136">
        <f>IF(OR(ISBLANK(INDEX(Реестр!$B:$B, ROW())), INDEX(Реестр!$B:$B, ROW())=""), " ", IF(IFERROR(ISNUMBER(--A136),FALSE), IF(LEN(A136)=10, IF(MOD(MOD(H136,11),10)=--RIGHT(A136,1), "OK", "ОШИБКА"), IF(LEN(A136)=12, IF(AND(MOD(MOD(H136,11),10)=--MID(A136,11,1), MOD(MOD(I136,11),10)=--RIGHT(A136,1)), "OK", "ОШИБКА"), "ДЛИНА (10 или 12)")), "НЕ ЦИФРЫ"))</f>
        <v/>
      </c>
      <c r="E136">
        <f>MID(B136,1,1)*9+MID(B136,2,1)*8+MID(B136,3,1)*7+MID(B136,4,1)*6+MID(B136,5,1)*5+MID(B136,6,1)*4+MID(B136,7,1)*3+MID(B136,8,1)*2+MID(B136,9,1)</f>
        <v/>
      </c>
      <c r="F136">
        <f>IF(B136="", " ", IF(LEN(B136)&lt;&gt;11, "ДЛИНА", IF(NOT(ISNUMBER(--B136)), "НЕ ЦИФРЫ", IF(LEFT(B136,9)*1&lt;=1001998, "OK", IF(RIGHT(B136,2)*1=IF(MOD(E136,101)&gt;=100,0,MOD(E136,101)),"OK","ОШИБКА")))))</f>
        <v/>
      </c>
      <c r="G1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6">
        <f>IF(LEN(TRIM(A136))=10, --MID(A136,1,1)*2+--MID(A136,2,1)*4+--MID(A136,3,1)*10+--MID(A136,4,1)*3+--MID(A136,5,1)*5+--MID(A136,6,1)*9+--MID(A136,7,1)*4+--MID(A136,8,1)*6+--MID(A136,9,1)*8, IF(LEN(TRIM(A136))=12, --MID(A136,1,1)*7+--MID(A136,2,1)*2+--MID(A136,3,1)*4+--MID(A136,4,1)*10+--MID(A136,5,1)*3+--MID(A136,6,1)*5+--MID(A136,7,1)*9+--MID(A136,8,1)*4+--MID(A136,9,1)*6+--MID(A136,10,1)*8, ""))</f>
        <v/>
      </c>
      <c r="I136">
        <f>IF(LEN(TRIM(A136))=12, --MID(A136,1,1)*3+--MID(A136,2,1)*7+--MID(A136,3,1)*2+--MID(A136,4,1)*4+--MID(A136,5,1)*10+--MID(A136,6,1)*3+--MID(A136,7,1)*5+--MID(A136,8,1)*9+--MID(A136,9,1)*4+--MID(A136,10,1)*6+--MID(A136,11,1)*8, "")</f>
        <v/>
      </c>
    </row>
    <row r="137">
      <c r="A137">
        <f>SUBSTITUTE(SUBSTITUTE(SUBSTITUTE(SUBSTITUTE(TRIM(INDEX(Реестр!$B:$B,ROW())),CHAR(160),""),CHAR(9),""),CHAR(10),""),CHAR(13),"")</f>
        <v/>
      </c>
      <c r="B137">
        <f>SUBSTITUTE(SUBSTITUTE(SUBSTITUTE(SUBSTITUTE(SUBSTITUTE(SUBSTITUTE(SUBSTITUTE(TRIM(INDEX(Реестр!$D:$D, ROW())), "-", ""), " ", ""), CHAR(160), ""), CHAR(9), ""), CHAR(10), ""), CHAR(13), ""), CHAR(32), "")</f>
        <v/>
      </c>
      <c r="C137">
        <f>INDEX(Реестр!$H:$H, ROW())</f>
        <v/>
      </c>
      <c r="D137">
        <f>IF(OR(ISBLANK(INDEX(Реестр!$B:$B, ROW())), INDEX(Реестр!$B:$B, ROW())=""), " ", IF(IFERROR(ISNUMBER(--A137),FALSE), IF(LEN(A137)=10, IF(MOD(MOD(H137,11),10)=--RIGHT(A137,1), "OK", "ОШИБКА"), IF(LEN(A137)=12, IF(AND(MOD(MOD(H137,11),10)=--MID(A137,11,1), MOD(MOD(I137,11),10)=--RIGHT(A137,1)), "OK", "ОШИБКА"), "ДЛИНА (10 или 12)")), "НЕ ЦИФРЫ"))</f>
        <v/>
      </c>
      <c r="E137">
        <f>MID(B137,1,1)*9+MID(B137,2,1)*8+MID(B137,3,1)*7+MID(B137,4,1)*6+MID(B137,5,1)*5+MID(B137,6,1)*4+MID(B137,7,1)*3+MID(B137,8,1)*2+MID(B137,9,1)</f>
        <v/>
      </c>
      <c r="F137">
        <f>IF(B137="", " ", IF(LEN(B137)&lt;&gt;11, "ДЛИНА", IF(NOT(ISNUMBER(--B137)), "НЕ ЦИФРЫ", IF(LEFT(B137,9)*1&lt;=1001998, "OK", IF(RIGHT(B137,2)*1=IF(MOD(E137,101)&gt;=100,0,MOD(E137,101)),"OK","ОШИБКА")))))</f>
        <v/>
      </c>
      <c r="G1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7">
        <f>IF(LEN(TRIM(A137))=10, --MID(A137,1,1)*2+--MID(A137,2,1)*4+--MID(A137,3,1)*10+--MID(A137,4,1)*3+--MID(A137,5,1)*5+--MID(A137,6,1)*9+--MID(A137,7,1)*4+--MID(A137,8,1)*6+--MID(A137,9,1)*8, IF(LEN(TRIM(A137))=12, --MID(A137,1,1)*7+--MID(A137,2,1)*2+--MID(A137,3,1)*4+--MID(A137,4,1)*10+--MID(A137,5,1)*3+--MID(A137,6,1)*5+--MID(A137,7,1)*9+--MID(A137,8,1)*4+--MID(A137,9,1)*6+--MID(A137,10,1)*8, ""))</f>
        <v/>
      </c>
      <c r="I137">
        <f>IF(LEN(TRIM(A137))=12, --MID(A137,1,1)*3+--MID(A137,2,1)*7+--MID(A137,3,1)*2+--MID(A137,4,1)*4+--MID(A137,5,1)*10+--MID(A137,6,1)*3+--MID(A137,7,1)*5+--MID(A137,8,1)*9+--MID(A137,9,1)*4+--MID(A137,10,1)*6+--MID(A137,11,1)*8, "")</f>
        <v/>
      </c>
    </row>
    <row r="138">
      <c r="A138">
        <f>SUBSTITUTE(SUBSTITUTE(SUBSTITUTE(SUBSTITUTE(TRIM(INDEX(Реестр!$B:$B,ROW())),CHAR(160),""),CHAR(9),""),CHAR(10),""),CHAR(13),"")</f>
        <v/>
      </c>
      <c r="B138">
        <f>SUBSTITUTE(SUBSTITUTE(SUBSTITUTE(SUBSTITUTE(SUBSTITUTE(SUBSTITUTE(SUBSTITUTE(TRIM(INDEX(Реестр!$D:$D, ROW())), "-", ""), " ", ""), CHAR(160), ""), CHAR(9), ""), CHAR(10), ""), CHAR(13), ""), CHAR(32), "")</f>
        <v/>
      </c>
      <c r="C138">
        <f>INDEX(Реестр!$H:$H, ROW())</f>
        <v/>
      </c>
      <c r="D138">
        <f>IF(OR(ISBLANK(INDEX(Реестр!$B:$B, ROW())), INDEX(Реестр!$B:$B, ROW())=""), " ", IF(IFERROR(ISNUMBER(--A138),FALSE), IF(LEN(A138)=10, IF(MOD(MOD(H138,11),10)=--RIGHT(A138,1), "OK", "ОШИБКА"), IF(LEN(A138)=12, IF(AND(MOD(MOD(H138,11),10)=--MID(A138,11,1), MOD(MOD(I138,11),10)=--RIGHT(A138,1)), "OK", "ОШИБКА"), "ДЛИНА (10 или 12)")), "НЕ ЦИФРЫ"))</f>
        <v/>
      </c>
      <c r="E138">
        <f>MID(B138,1,1)*9+MID(B138,2,1)*8+MID(B138,3,1)*7+MID(B138,4,1)*6+MID(B138,5,1)*5+MID(B138,6,1)*4+MID(B138,7,1)*3+MID(B138,8,1)*2+MID(B138,9,1)</f>
        <v/>
      </c>
      <c r="F138">
        <f>IF(B138="", " ", IF(LEN(B138)&lt;&gt;11, "ДЛИНА", IF(NOT(ISNUMBER(--B138)), "НЕ ЦИФРЫ", IF(LEFT(B138,9)*1&lt;=1001998, "OK", IF(RIGHT(B138,2)*1=IF(MOD(E138,101)&gt;=100,0,MOD(E138,101)),"OK","ОШИБКА")))))</f>
        <v/>
      </c>
      <c r="G1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8">
        <f>IF(LEN(TRIM(A138))=10, --MID(A138,1,1)*2+--MID(A138,2,1)*4+--MID(A138,3,1)*10+--MID(A138,4,1)*3+--MID(A138,5,1)*5+--MID(A138,6,1)*9+--MID(A138,7,1)*4+--MID(A138,8,1)*6+--MID(A138,9,1)*8, IF(LEN(TRIM(A138))=12, --MID(A138,1,1)*7+--MID(A138,2,1)*2+--MID(A138,3,1)*4+--MID(A138,4,1)*10+--MID(A138,5,1)*3+--MID(A138,6,1)*5+--MID(A138,7,1)*9+--MID(A138,8,1)*4+--MID(A138,9,1)*6+--MID(A138,10,1)*8, ""))</f>
        <v/>
      </c>
      <c r="I138">
        <f>IF(LEN(TRIM(A138))=12, --MID(A138,1,1)*3+--MID(A138,2,1)*7+--MID(A138,3,1)*2+--MID(A138,4,1)*4+--MID(A138,5,1)*10+--MID(A138,6,1)*3+--MID(A138,7,1)*5+--MID(A138,8,1)*9+--MID(A138,9,1)*4+--MID(A138,10,1)*6+--MID(A138,11,1)*8, "")</f>
        <v/>
      </c>
    </row>
    <row r="139">
      <c r="A139">
        <f>SUBSTITUTE(SUBSTITUTE(SUBSTITUTE(SUBSTITUTE(TRIM(INDEX(Реестр!$B:$B,ROW())),CHAR(160),""),CHAR(9),""),CHAR(10),""),CHAR(13),"")</f>
        <v/>
      </c>
      <c r="B139">
        <f>SUBSTITUTE(SUBSTITUTE(SUBSTITUTE(SUBSTITUTE(SUBSTITUTE(SUBSTITUTE(SUBSTITUTE(TRIM(INDEX(Реестр!$D:$D, ROW())), "-", ""), " ", ""), CHAR(160), ""), CHAR(9), ""), CHAR(10), ""), CHAR(13), ""), CHAR(32), "")</f>
        <v/>
      </c>
      <c r="C139">
        <f>INDEX(Реестр!$H:$H, ROW())</f>
        <v/>
      </c>
      <c r="D139">
        <f>IF(OR(ISBLANK(INDEX(Реестр!$B:$B, ROW())), INDEX(Реестр!$B:$B, ROW())=""), " ", IF(IFERROR(ISNUMBER(--A139),FALSE), IF(LEN(A139)=10, IF(MOD(MOD(H139,11),10)=--RIGHT(A139,1), "OK", "ОШИБКА"), IF(LEN(A139)=12, IF(AND(MOD(MOD(H139,11),10)=--MID(A139,11,1), MOD(MOD(I139,11),10)=--RIGHT(A139,1)), "OK", "ОШИБКА"), "ДЛИНА (10 или 12)")), "НЕ ЦИФРЫ"))</f>
        <v/>
      </c>
      <c r="E139">
        <f>MID(B139,1,1)*9+MID(B139,2,1)*8+MID(B139,3,1)*7+MID(B139,4,1)*6+MID(B139,5,1)*5+MID(B139,6,1)*4+MID(B139,7,1)*3+MID(B139,8,1)*2+MID(B139,9,1)</f>
        <v/>
      </c>
      <c r="F139">
        <f>IF(B139="", " ", IF(LEN(B139)&lt;&gt;11, "ДЛИНА", IF(NOT(ISNUMBER(--B139)), "НЕ ЦИФРЫ", IF(LEFT(B139,9)*1&lt;=1001998, "OK", IF(RIGHT(B139,2)*1=IF(MOD(E139,101)&gt;=100,0,MOD(E139,101)),"OK","ОШИБКА")))))</f>
        <v/>
      </c>
      <c r="G1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39">
        <f>IF(LEN(TRIM(A139))=10, --MID(A139,1,1)*2+--MID(A139,2,1)*4+--MID(A139,3,1)*10+--MID(A139,4,1)*3+--MID(A139,5,1)*5+--MID(A139,6,1)*9+--MID(A139,7,1)*4+--MID(A139,8,1)*6+--MID(A139,9,1)*8, IF(LEN(TRIM(A139))=12, --MID(A139,1,1)*7+--MID(A139,2,1)*2+--MID(A139,3,1)*4+--MID(A139,4,1)*10+--MID(A139,5,1)*3+--MID(A139,6,1)*5+--MID(A139,7,1)*9+--MID(A139,8,1)*4+--MID(A139,9,1)*6+--MID(A139,10,1)*8, ""))</f>
        <v/>
      </c>
      <c r="I139">
        <f>IF(LEN(TRIM(A139))=12, --MID(A139,1,1)*3+--MID(A139,2,1)*7+--MID(A139,3,1)*2+--MID(A139,4,1)*4+--MID(A139,5,1)*10+--MID(A139,6,1)*3+--MID(A139,7,1)*5+--MID(A139,8,1)*9+--MID(A139,9,1)*4+--MID(A139,10,1)*6+--MID(A139,11,1)*8, "")</f>
        <v/>
      </c>
    </row>
    <row r="140">
      <c r="A140">
        <f>SUBSTITUTE(SUBSTITUTE(SUBSTITUTE(SUBSTITUTE(TRIM(INDEX(Реестр!$B:$B,ROW())),CHAR(160),""),CHAR(9),""),CHAR(10),""),CHAR(13),"")</f>
        <v/>
      </c>
      <c r="B140">
        <f>SUBSTITUTE(SUBSTITUTE(SUBSTITUTE(SUBSTITUTE(SUBSTITUTE(SUBSTITUTE(SUBSTITUTE(TRIM(INDEX(Реестр!$D:$D, ROW())), "-", ""), " ", ""), CHAR(160), ""), CHAR(9), ""), CHAR(10), ""), CHAR(13), ""), CHAR(32), "")</f>
        <v/>
      </c>
      <c r="C140">
        <f>INDEX(Реестр!$H:$H, ROW())</f>
        <v/>
      </c>
      <c r="D140">
        <f>IF(OR(ISBLANK(INDEX(Реестр!$B:$B, ROW())), INDEX(Реестр!$B:$B, ROW())=""), " ", IF(IFERROR(ISNUMBER(--A140),FALSE), IF(LEN(A140)=10, IF(MOD(MOD(H140,11),10)=--RIGHT(A140,1), "OK", "ОШИБКА"), IF(LEN(A140)=12, IF(AND(MOD(MOD(H140,11),10)=--MID(A140,11,1), MOD(MOD(I140,11),10)=--RIGHT(A140,1)), "OK", "ОШИБКА"), "ДЛИНА (10 или 12)")), "НЕ ЦИФРЫ"))</f>
        <v/>
      </c>
      <c r="E140">
        <f>MID(B140,1,1)*9+MID(B140,2,1)*8+MID(B140,3,1)*7+MID(B140,4,1)*6+MID(B140,5,1)*5+MID(B140,6,1)*4+MID(B140,7,1)*3+MID(B140,8,1)*2+MID(B140,9,1)</f>
        <v/>
      </c>
      <c r="F140">
        <f>IF(B140="", " ", IF(LEN(B140)&lt;&gt;11, "ДЛИНА", IF(NOT(ISNUMBER(--B140)), "НЕ ЦИФРЫ", IF(LEFT(B140,9)*1&lt;=1001998, "OK", IF(RIGHT(B140,2)*1=IF(MOD(E140,101)&gt;=100,0,MOD(E140,101)),"OK","ОШИБКА")))))</f>
        <v/>
      </c>
      <c r="G1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0">
        <f>IF(LEN(TRIM(A140))=10, --MID(A140,1,1)*2+--MID(A140,2,1)*4+--MID(A140,3,1)*10+--MID(A140,4,1)*3+--MID(A140,5,1)*5+--MID(A140,6,1)*9+--MID(A140,7,1)*4+--MID(A140,8,1)*6+--MID(A140,9,1)*8, IF(LEN(TRIM(A140))=12, --MID(A140,1,1)*7+--MID(A140,2,1)*2+--MID(A140,3,1)*4+--MID(A140,4,1)*10+--MID(A140,5,1)*3+--MID(A140,6,1)*5+--MID(A140,7,1)*9+--MID(A140,8,1)*4+--MID(A140,9,1)*6+--MID(A140,10,1)*8, ""))</f>
        <v/>
      </c>
      <c r="I140">
        <f>IF(LEN(TRIM(A140))=12, --MID(A140,1,1)*3+--MID(A140,2,1)*7+--MID(A140,3,1)*2+--MID(A140,4,1)*4+--MID(A140,5,1)*10+--MID(A140,6,1)*3+--MID(A140,7,1)*5+--MID(A140,8,1)*9+--MID(A140,9,1)*4+--MID(A140,10,1)*6+--MID(A140,11,1)*8, "")</f>
        <v/>
      </c>
    </row>
    <row r="141">
      <c r="A141">
        <f>SUBSTITUTE(SUBSTITUTE(SUBSTITUTE(SUBSTITUTE(TRIM(INDEX(Реестр!$B:$B,ROW())),CHAR(160),""),CHAR(9),""),CHAR(10),""),CHAR(13),"")</f>
        <v/>
      </c>
      <c r="B141">
        <f>SUBSTITUTE(SUBSTITUTE(SUBSTITUTE(SUBSTITUTE(SUBSTITUTE(SUBSTITUTE(SUBSTITUTE(TRIM(INDEX(Реестр!$D:$D, ROW())), "-", ""), " ", ""), CHAR(160), ""), CHAR(9), ""), CHAR(10), ""), CHAR(13), ""), CHAR(32), "")</f>
        <v/>
      </c>
      <c r="C141">
        <f>INDEX(Реестр!$H:$H, ROW())</f>
        <v/>
      </c>
      <c r="D141">
        <f>IF(OR(ISBLANK(INDEX(Реестр!$B:$B, ROW())), INDEX(Реестр!$B:$B, ROW())=""), " ", IF(IFERROR(ISNUMBER(--A141),FALSE), IF(LEN(A141)=10, IF(MOD(MOD(H141,11),10)=--RIGHT(A141,1), "OK", "ОШИБКА"), IF(LEN(A141)=12, IF(AND(MOD(MOD(H141,11),10)=--MID(A141,11,1), MOD(MOD(I141,11),10)=--RIGHT(A141,1)), "OK", "ОШИБКА"), "ДЛИНА (10 или 12)")), "НЕ ЦИФРЫ"))</f>
        <v/>
      </c>
      <c r="E141">
        <f>MID(B141,1,1)*9+MID(B141,2,1)*8+MID(B141,3,1)*7+MID(B141,4,1)*6+MID(B141,5,1)*5+MID(B141,6,1)*4+MID(B141,7,1)*3+MID(B141,8,1)*2+MID(B141,9,1)</f>
        <v/>
      </c>
      <c r="F141">
        <f>IF(B141="", " ", IF(LEN(B141)&lt;&gt;11, "ДЛИНА", IF(NOT(ISNUMBER(--B141)), "НЕ ЦИФРЫ", IF(LEFT(B141,9)*1&lt;=1001998, "OK", IF(RIGHT(B141,2)*1=IF(MOD(E141,101)&gt;=100,0,MOD(E141,101)),"OK","ОШИБКА")))))</f>
        <v/>
      </c>
      <c r="G1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1">
        <f>IF(LEN(TRIM(A141))=10, --MID(A141,1,1)*2+--MID(A141,2,1)*4+--MID(A141,3,1)*10+--MID(A141,4,1)*3+--MID(A141,5,1)*5+--MID(A141,6,1)*9+--MID(A141,7,1)*4+--MID(A141,8,1)*6+--MID(A141,9,1)*8, IF(LEN(TRIM(A141))=12, --MID(A141,1,1)*7+--MID(A141,2,1)*2+--MID(A141,3,1)*4+--MID(A141,4,1)*10+--MID(A141,5,1)*3+--MID(A141,6,1)*5+--MID(A141,7,1)*9+--MID(A141,8,1)*4+--MID(A141,9,1)*6+--MID(A141,10,1)*8, ""))</f>
        <v/>
      </c>
      <c r="I141">
        <f>IF(LEN(TRIM(A141))=12, --MID(A141,1,1)*3+--MID(A141,2,1)*7+--MID(A141,3,1)*2+--MID(A141,4,1)*4+--MID(A141,5,1)*10+--MID(A141,6,1)*3+--MID(A141,7,1)*5+--MID(A141,8,1)*9+--MID(A141,9,1)*4+--MID(A141,10,1)*6+--MID(A141,11,1)*8, "")</f>
        <v/>
      </c>
    </row>
    <row r="142">
      <c r="A142">
        <f>SUBSTITUTE(SUBSTITUTE(SUBSTITUTE(SUBSTITUTE(TRIM(INDEX(Реестр!$B:$B,ROW())),CHAR(160),""),CHAR(9),""),CHAR(10),""),CHAR(13),"")</f>
        <v/>
      </c>
      <c r="B142">
        <f>SUBSTITUTE(SUBSTITUTE(SUBSTITUTE(SUBSTITUTE(SUBSTITUTE(SUBSTITUTE(SUBSTITUTE(TRIM(INDEX(Реестр!$D:$D, ROW())), "-", ""), " ", ""), CHAR(160), ""), CHAR(9), ""), CHAR(10), ""), CHAR(13), ""), CHAR(32), "")</f>
        <v/>
      </c>
      <c r="C142">
        <f>INDEX(Реестр!$H:$H, ROW())</f>
        <v/>
      </c>
      <c r="D142">
        <f>IF(OR(ISBLANK(INDEX(Реестр!$B:$B, ROW())), INDEX(Реестр!$B:$B, ROW())=""), " ", IF(IFERROR(ISNUMBER(--A142),FALSE), IF(LEN(A142)=10, IF(MOD(MOD(H142,11),10)=--RIGHT(A142,1), "OK", "ОШИБКА"), IF(LEN(A142)=12, IF(AND(MOD(MOD(H142,11),10)=--MID(A142,11,1), MOD(MOD(I142,11),10)=--RIGHT(A142,1)), "OK", "ОШИБКА"), "ДЛИНА (10 или 12)")), "НЕ ЦИФРЫ"))</f>
        <v/>
      </c>
      <c r="E142">
        <f>MID(B142,1,1)*9+MID(B142,2,1)*8+MID(B142,3,1)*7+MID(B142,4,1)*6+MID(B142,5,1)*5+MID(B142,6,1)*4+MID(B142,7,1)*3+MID(B142,8,1)*2+MID(B142,9,1)</f>
        <v/>
      </c>
      <c r="F142">
        <f>IF(B142="", " ", IF(LEN(B142)&lt;&gt;11, "ДЛИНА", IF(NOT(ISNUMBER(--B142)), "НЕ ЦИФРЫ", IF(LEFT(B142,9)*1&lt;=1001998, "OK", IF(RIGHT(B142,2)*1=IF(MOD(E142,101)&gt;=100,0,MOD(E142,101)),"OK","ОШИБКА")))))</f>
        <v/>
      </c>
      <c r="G1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2">
        <f>IF(LEN(TRIM(A142))=10, --MID(A142,1,1)*2+--MID(A142,2,1)*4+--MID(A142,3,1)*10+--MID(A142,4,1)*3+--MID(A142,5,1)*5+--MID(A142,6,1)*9+--MID(A142,7,1)*4+--MID(A142,8,1)*6+--MID(A142,9,1)*8, IF(LEN(TRIM(A142))=12, --MID(A142,1,1)*7+--MID(A142,2,1)*2+--MID(A142,3,1)*4+--MID(A142,4,1)*10+--MID(A142,5,1)*3+--MID(A142,6,1)*5+--MID(A142,7,1)*9+--MID(A142,8,1)*4+--MID(A142,9,1)*6+--MID(A142,10,1)*8, ""))</f>
        <v/>
      </c>
      <c r="I142">
        <f>IF(LEN(TRIM(A142))=12, --MID(A142,1,1)*3+--MID(A142,2,1)*7+--MID(A142,3,1)*2+--MID(A142,4,1)*4+--MID(A142,5,1)*10+--MID(A142,6,1)*3+--MID(A142,7,1)*5+--MID(A142,8,1)*9+--MID(A142,9,1)*4+--MID(A142,10,1)*6+--MID(A142,11,1)*8, "")</f>
        <v/>
      </c>
    </row>
    <row r="143">
      <c r="A143">
        <f>SUBSTITUTE(SUBSTITUTE(SUBSTITUTE(SUBSTITUTE(TRIM(INDEX(Реестр!$B:$B,ROW())),CHAR(160),""),CHAR(9),""),CHAR(10),""),CHAR(13),"")</f>
        <v/>
      </c>
      <c r="B143">
        <f>SUBSTITUTE(SUBSTITUTE(SUBSTITUTE(SUBSTITUTE(SUBSTITUTE(SUBSTITUTE(SUBSTITUTE(TRIM(INDEX(Реестр!$D:$D, ROW())), "-", ""), " ", ""), CHAR(160), ""), CHAR(9), ""), CHAR(10), ""), CHAR(13), ""), CHAR(32), "")</f>
        <v/>
      </c>
      <c r="C143">
        <f>INDEX(Реестр!$H:$H, ROW())</f>
        <v/>
      </c>
      <c r="D143">
        <f>IF(OR(ISBLANK(INDEX(Реестр!$B:$B, ROW())), INDEX(Реестр!$B:$B, ROW())=""), " ", IF(IFERROR(ISNUMBER(--A143),FALSE), IF(LEN(A143)=10, IF(MOD(MOD(H143,11),10)=--RIGHT(A143,1), "OK", "ОШИБКА"), IF(LEN(A143)=12, IF(AND(MOD(MOD(H143,11),10)=--MID(A143,11,1), MOD(MOD(I143,11),10)=--RIGHT(A143,1)), "OK", "ОШИБКА"), "ДЛИНА (10 или 12)")), "НЕ ЦИФРЫ"))</f>
        <v/>
      </c>
      <c r="E143">
        <f>MID(B143,1,1)*9+MID(B143,2,1)*8+MID(B143,3,1)*7+MID(B143,4,1)*6+MID(B143,5,1)*5+MID(B143,6,1)*4+MID(B143,7,1)*3+MID(B143,8,1)*2+MID(B143,9,1)</f>
        <v/>
      </c>
      <c r="F143">
        <f>IF(B143="", " ", IF(LEN(B143)&lt;&gt;11, "ДЛИНА", IF(NOT(ISNUMBER(--B143)), "НЕ ЦИФРЫ", IF(LEFT(B143,9)*1&lt;=1001998, "OK", IF(RIGHT(B143,2)*1=IF(MOD(E143,101)&gt;=100,0,MOD(E143,101)),"OK","ОШИБКА")))))</f>
        <v/>
      </c>
      <c r="G1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3">
        <f>IF(LEN(TRIM(A143))=10, --MID(A143,1,1)*2+--MID(A143,2,1)*4+--MID(A143,3,1)*10+--MID(A143,4,1)*3+--MID(A143,5,1)*5+--MID(A143,6,1)*9+--MID(A143,7,1)*4+--MID(A143,8,1)*6+--MID(A143,9,1)*8, IF(LEN(TRIM(A143))=12, --MID(A143,1,1)*7+--MID(A143,2,1)*2+--MID(A143,3,1)*4+--MID(A143,4,1)*10+--MID(A143,5,1)*3+--MID(A143,6,1)*5+--MID(A143,7,1)*9+--MID(A143,8,1)*4+--MID(A143,9,1)*6+--MID(A143,10,1)*8, ""))</f>
        <v/>
      </c>
      <c r="I143">
        <f>IF(LEN(TRIM(A143))=12, --MID(A143,1,1)*3+--MID(A143,2,1)*7+--MID(A143,3,1)*2+--MID(A143,4,1)*4+--MID(A143,5,1)*10+--MID(A143,6,1)*3+--MID(A143,7,1)*5+--MID(A143,8,1)*9+--MID(A143,9,1)*4+--MID(A143,10,1)*6+--MID(A143,11,1)*8, "")</f>
        <v/>
      </c>
    </row>
    <row r="144">
      <c r="A144">
        <f>SUBSTITUTE(SUBSTITUTE(SUBSTITUTE(SUBSTITUTE(TRIM(INDEX(Реестр!$B:$B,ROW())),CHAR(160),""),CHAR(9),""),CHAR(10),""),CHAR(13),"")</f>
        <v/>
      </c>
      <c r="B144">
        <f>SUBSTITUTE(SUBSTITUTE(SUBSTITUTE(SUBSTITUTE(SUBSTITUTE(SUBSTITUTE(SUBSTITUTE(TRIM(INDEX(Реестр!$D:$D, ROW())), "-", ""), " ", ""), CHAR(160), ""), CHAR(9), ""), CHAR(10), ""), CHAR(13), ""), CHAR(32), "")</f>
        <v/>
      </c>
      <c r="C144">
        <f>INDEX(Реестр!$H:$H, ROW())</f>
        <v/>
      </c>
      <c r="D144">
        <f>IF(OR(ISBLANK(INDEX(Реестр!$B:$B, ROW())), INDEX(Реестр!$B:$B, ROW())=""), " ", IF(IFERROR(ISNUMBER(--A144),FALSE), IF(LEN(A144)=10, IF(MOD(MOD(H144,11),10)=--RIGHT(A144,1), "OK", "ОШИБКА"), IF(LEN(A144)=12, IF(AND(MOD(MOD(H144,11),10)=--MID(A144,11,1), MOD(MOD(I144,11),10)=--RIGHT(A144,1)), "OK", "ОШИБКА"), "ДЛИНА (10 или 12)")), "НЕ ЦИФРЫ"))</f>
        <v/>
      </c>
      <c r="E144">
        <f>MID(B144,1,1)*9+MID(B144,2,1)*8+MID(B144,3,1)*7+MID(B144,4,1)*6+MID(B144,5,1)*5+MID(B144,6,1)*4+MID(B144,7,1)*3+MID(B144,8,1)*2+MID(B144,9,1)</f>
        <v/>
      </c>
      <c r="F144">
        <f>IF(B144="", " ", IF(LEN(B144)&lt;&gt;11, "ДЛИНА", IF(NOT(ISNUMBER(--B144)), "НЕ ЦИФРЫ", IF(LEFT(B144,9)*1&lt;=1001998, "OK", IF(RIGHT(B144,2)*1=IF(MOD(E144,101)&gt;=100,0,MOD(E144,101)),"OK","ОШИБКА")))))</f>
        <v/>
      </c>
      <c r="G1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4">
        <f>IF(LEN(TRIM(A144))=10, --MID(A144,1,1)*2+--MID(A144,2,1)*4+--MID(A144,3,1)*10+--MID(A144,4,1)*3+--MID(A144,5,1)*5+--MID(A144,6,1)*9+--MID(A144,7,1)*4+--MID(A144,8,1)*6+--MID(A144,9,1)*8, IF(LEN(TRIM(A144))=12, --MID(A144,1,1)*7+--MID(A144,2,1)*2+--MID(A144,3,1)*4+--MID(A144,4,1)*10+--MID(A144,5,1)*3+--MID(A144,6,1)*5+--MID(A144,7,1)*9+--MID(A144,8,1)*4+--MID(A144,9,1)*6+--MID(A144,10,1)*8, ""))</f>
        <v/>
      </c>
      <c r="I144">
        <f>IF(LEN(TRIM(A144))=12, --MID(A144,1,1)*3+--MID(A144,2,1)*7+--MID(A144,3,1)*2+--MID(A144,4,1)*4+--MID(A144,5,1)*10+--MID(A144,6,1)*3+--MID(A144,7,1)*5+--MID(A144,8,1)*9+--MID(A144,9,1)*4+--MID(A144,10,1)*6+--MID(A144,11,1)*8, "")</f>
        <v/>
      </c>
    </row>
    <row r="145">
      <c r="A145">
        <f>SUBSTITUTE(SUBSTITUTE(SUBSTITUTE(SUBSTITUTE(TRIM(INDEX(Реестр!$B:$B,ROW())),CHAR(160),""),CHAR(9),""),CHAR(10),""),CHAR(13),"")</f>
        <v/>
      </c>
      <c r="B145">
        <f>SUBSTITUTE(SUBSTITUTE(SUBSTITUTE(SUBSTITUTE(SUBSTITUTE(SUBSTITUTE(SUBSTITUTE(TRIM(INDEX(Реестр!$D:$D, ROW())), "-", ""), " ", ""), CHAR(160), ""), CHAR(9), ""), CHAR(10), ""), CHAR(13), ""), CHAR(32), "")</f>
        <v/>
      </c>
      <c r="C145">
        <f>INDEX(Реестр!$H:$H, ROW())</f>
        <v/>
      </c>
      <c r="D145">
        <f>IF(OR(ISBLANK(INDEX(Реестр!$B:$B, ROW())), INDEX(Реестр!$B:$B, ROW())=""), " ", IF(IFERROR(ISNUMBER(--A145),FALSE), IF(LEN(A145)=10, IF(MOD(MOD(H145,11),10)=--RIGHT(A145,1), "OK", "ОШИБКА"), IF(LEN(A145)=12, IF(AND(MOD(MOD(H145,11),10)=--MID(A145,11,1), MOD(MOD(I145,11),10)=--RIGHT(A145,1)), "OK", "ОШИБКА"), "ДЛИНА (10 или 12)")), "НЕ ЦИФРЫ"))</f>
        <v/>
      </c>
      <c r="E145">
        <f>MID(B145,1,1)*9+MID(B145,2,1)*8+MID(B145,3,1)*7+MID(B145,4,1)*6+MID(B145,5,1)*5+MID(B145,6,1)*4+MID(B145,7,1)*3+MID(B145,8,1)*2+MID(B145,9,1)</f>
        <v/>
      </c>
      <c r="F145">
        <f>IF(B145="", " ", IF(LEN(B145)&lt;&gt;11, "ДЛИНА", IF(NOT(ISNUMBER(--B145)), "НЕ ЦИФРЫ", IF(LEFT(B145,9)*1&lt;=1001998, "OK", IF(RIGHT(B145,2)*1=IF(MOD(E145,101)&gt;=100,0,MOD(E145,101)),"OK","ОШИБКА")))))</f>
        <v/>
      </c>
      <c r="G1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5">
        <f>IF(LEN(TRIM(A145))=10, --MID(A145,1,1)*2+--MID(A145,2,1)*4+--MID(A145,3,1)*10+--MID(A145,4,1)*3+--MID(A145,5,1)*5+--MID(A145,6,1)*9+--MID(A145,7,1)*4+--MID(A145,8,1)*6+--MID(A145,9,1)*8, IF(LEN(TRIM(A145))=12, --MID(A145,1,1)*7+--MID(A145,2,1)*2+--MID(A145,3,1)*4+--MID(A145,4,1)*10+--MID(A145,5,1)*3+--MID(A145,6,1)*5+--MID(A145,7,1)*9+--MID(A145,8,1)*4+--MID(A145,9,1)*6+--MID(A145,10,1)*8, ""))</f>
        <v/>
      </c>
      <c r="I145">
        <f>IF(LEN(TRIM(A145))=12, --MID(A145,1,1)*3+--MID(A145,2,1)*7+--MID(A145,3,1)*2+--MID(A145,4,1)*4+--MID(A145,5,1)*10+--MID(A145,6,1)*3+--MID(A145,7,1)*5+--MID(A145,8,1)*9+--MID(A145,9,1)*4+--MID(A145,10,1)*6+--MID(A145,11,1)*8, "")</f>
        <v/>
      </c>
    </row>
    <row r="146">
      <c r="A146">
        <f>SUBSTITUTE(SUBSTITUTE(SUBSTITUTE(SUBSTITUTE(TRIM(INDEX(Реестр!$B:$B,ROW())),CHAR(160),""),CHAR(9),""),CHAR(10),""),CHAR(13),"")</f>
        <v/>
      </c>
      <c r="B146">
        <f>SUBSTITUTE(SUBSTITUTE(SUBSTITUTE(SUBSTITUTE(SUBSTITUTE(SUBSTITUTE(SUBSTITUTE(TRIM(INDEX(Реестр!$D:$D, ROW())), "-", ""), " ", ""), CHAR(160), ""), CHAR(9), ""), CHAR(10), ""), CHAR(13), ""), CHAR(32), "")</f>
        <v/>
      </c>
      <c r="C146">
        <f>INDEX(Реестр!$H:$H, ROW())</f>
        <v/>
      </c>
      <c r="D146">
        <f>IF(OR(ISBLANK(INDEX(Реестр!$B:$B, ROW())), INDEX(Реестр!$B:$B, ROW())=""), " ", IF(IFERROR(ISNUMBER(--A146),FALSE), IF(LEN(A146)=10, IF(MOD(MOD(H146,11),10)=--RIGHT(A146,1), "OK", "ОШИБКА"), IF(LEN(A146)=12, IF(AND(MOD(MOD(H146,11),10)=--MID(A146,11,1), MOD(MOD(I146,11),10)=--RIGHT(A146,1)), "OK", "ОШИБКА"), "ДЛИНА (10 или 12)")), "НЕ ЦИФРЫ"))</f>
        <v/>
      </c>
      <c r="E146">
        <f>MID(B146,1,1)*9+MID(B146,2,1)*8+MID(B146,3,1)*7+MID(B146,4,1)*6+MID(B146,5,1)*5+MID(B146,6,1)*4+MID(B146,7,1)*3+MID(B146,8,1)*2+MID(B146,9,1)</f>
        <v/>
      </c>
      <c r="F146">
        <f>IF(B146="", " ", IF(LEN(B146)&lt;&gt;11, "ДЛИНА", IF(NOT(ISNUMBER(--B146)), "НЕ ЦИФРЫ", IF(LEFT(B146,9)*1&lt;=1001998, "OK", IF(RIGHT(B146,2)*1=IF(MOD(E146,101)&gt;=100,0,MOD(E146,101)),"OK","ОШИБКА")))))</f>
        <v/>
      </c>
      <c r="G1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6">
        <f>IF(LEN(TRIM(A146))=10, --MID(A146,1,1)*2+--MID(A146,2,1)*4+--MID(A146,3,1)*10+--MID(A146,4,1)*3+--MID(A146,5,1)*5+--MID(A146,6,1)*9+--MID(A146,7,1)*4+--MID(A146,8,1)*6+--MID(A146,9,1)*8, IF(LEN(TRIM(A146))=12, --MID(A146,1,1)*7+--MID(A146,2,1)*2+--MID(A146,3,1)*4+--MID(A146,4,1)*10+--MID(A146,5,1)*3+--MID(A146,6,1)*5+--MID(A146,7,1)*9+--MID(A146,8,1)*4+--MID(A146,9,1)*6+--MID(A146,10,1)*8, ""))</f>
        <v/>
      </c>
      <c r="I146">
        <f>IF(LEN(TRIM(A146))=12, --MID(A146,1,1)*3+--MID(A146,2,1)*7+--MID(A146,3,1)*2+--MID(A146,4,1)*4+--MID(A146,5,1)*10+--MID(A146,6,1)*3+--MID(A146,7,1)*5+--MID(A146,8,1)*9+--MID(A146,9,1)*4+--MID(A146,10,1)*6+--MID(A146,11,1)*8, "")</f>
        <v/>
      </c>
    </row>
    <row r="147">
      <c r="A147">
        <f>SUBSTITUTE(SUBSTITUTE(SUBSTITUTE(SUBSTITUTE(TRIM(INDEX(Реестр!$B:$B,ROW())),CHAR(160),""),CHAR(9),""),CHAR(10),""),CHAR(13),"")</f>
        <v/>
      </c>
      <c r="B147">
        <f>SUBSTITUTE(SUBSTITUTE(SUBSTITUTE(SUBSTITUTE(SUBSTITUTE(SUBSTITUTE(SUBSTITUTE(TRIM(INDEX(Реестр!$D:$D, ROW())), "-", ""), " ", ""), CHAR(160), ""), CHAR(9), ""), CHAR(10), ""), CHAR(13), ""), CHAR(32), "")</f>
        <v/>
      </c>
      <c r="C147">
        <f>INDEX(Реестр!$H:$H, ROW())</f>
        <v/>
      </c>
      <c r="D147">
        <f>IF(OR(ISBLANK(INDEX(Реестр!$B:$B, ROW())), INDEX(Реестр!$B:$B, ROW())=""), " ", IF(IFERROR(ISNUMBER(--A147),FALSE), IF(LEN(A147)=10, IF(MOD(MOD(H147,11),10)=--RIGHT(A147,1), "OK", "ОШИБКА"), IF(LEN(A147)=12, IF(AND(MOD(MOD(H147,11),10)=--MID(A147,11,1), MOD(MOD(I147,11),10)=--RIGHT(A147,1)), "OK", "ОШИБКА"), "ДЛИНА (10 или 12)")), "НЕ ЦИФРЫ"))</f>
        <v/>
      </c>
      <c r="E147">
        <f>MID(B147,1,1)*9+MID(B147,2,1)*8+MID(B147,3,1)*7+MID(B147,4,1)*6+MID(B147,5,1)*5+MID(B147,6,1)*4+MID(B147,7,1)*3+MID(B147,8,1)*2+MID(B147,9,1)</f>
        <v/>
      </c>
      <c r="F147">
        <f>IF(B147="", " ", IF(LEN(B147)&lt;&gt;11, "ДЛИНА", IF(NOT(ISNUMBER(--B147)), "НЕ ЦИФРЫ", IF(LEFT(B147,9)*1&lt;=1001998, "OK", IF(RIGHT(B147,2)*1=IF(MOD(E147,101)&gt;=100,0,MOD(E147,101)),"OK","ОШИБКА")))))</f>
        <v/>
      </c>
      <c r="G1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7">
        <f>IF(LEN(TRIM(A147))=10, --MID(A147,1,1)*2+--MID(A147,2,1)*4+--MID(A147,3,1)*10+--MID(A147,4,1)*3+--MID(A147,5,1)*5+--MID(A147,6,1)*9+--MID(A147,7,1)*4+--MID(A147,8,1)*6+--MID(A147,9,1)*8, IF(LEN(TRIM(A147))=12, --MID(A147,1,1)*7+--MID(A147,2,1)*2+--MID(A147,3,1)*4+--MID(A147,4,1)*10+--MID(A147,5,1)*3+--MID(A147,6,1)*5+--MID(A147,7,1)*9+--MID(A147,8,1)*4+--MID(A147,9,1)*6+--MID(A147,10,1)*8, ""))</f>
        <v/>
      </c>
      <c r="I147">
        <f>IF(LEN(TRIM(A147))=12, --MID(A147,1,1)*3+--MID(A147,2,1)*7+--MID(A147,3,1)*2+--MID(A147,4,1)*4+--MID(A147,5,1)*10+--MID(A147,6,1)*3+--MID(A147,7,1)*5+--MID(A147,8,1)*9+--MID(A147,9,1)*4+--MID(A147,10,1)*6+--MID(A147,11,1)*8, "")</f>
        <v/>
      </c>
    </row>
    <row r="148">
      <c r="A148">
        <f>SUBSTITUTE(SUBSTITUTE(SUBSTITUTE(SUBSTITUTE(TRIM(INDEX(Реестр!$B:$B,ROW())),CHAR(160),""),CHAR(9),""),CHAR(10),""),CHAR(13),"")</f>
        <v/>
      </c>
      <c r="B148">
        <f>SUBSTITUTE(SUBSTITUTE(SUBSTITUTE(SUBSTITUTE(SUBSTITUTE(SUBSTITUTE(SUBSTITUTE(TRIM(INDEX(Реестр!$D:$D, ROW())), "-", ""), " ", ""), CHAR(160), ""), CHAR(9), ""), CHAR(10), ""), CHAR(13), ""), CHAR(32), "")</f>
        <v/>
      </c>
      <c r="C148">
        <f>INDEX(Реестр!$H:$H, ROW())</f>
        <v/>
      </c>
      <c r="D148">
        <f>IF(OR(ISBLANK(INDEX(Реестр!$B:$B, ROW())), INDEX(Реестр!$B:$B, ROW())=""), " ", IF(IFERROR(ISNUMBER(--A148),FALSE), IF(LEN(A148)=10, IF(MOD(MOD(H148,11),10)=--RIGHT(A148,1), "OK", "ОШИБКА"), IF(LEN(A148)=12, IF(AND(MOD(MOD(H148,11),10)=--MID(A148,11,1), MOD(MOD(I148,11),10)=--RIGHT(A148,1)), "OK", "ОШИБКА"), "ДЛИНА (10 или 12)")), "НЕ ЦИФРЫ"))</f>
        <v/>
      </c>
      <c r="E148">
        <f>MID(B148,1,1)*9+MID(B148,2,1)*8+MID(B148,3,1)*7+MID(B148,4,1)*6+MID(B148,5,1)*5+MID(B148,6,1)*4+MID(B148,7,1)*3+MID(B148,8,1)*2+MID(B148,9,1)</f>
        <v/>
      </c>
      <c r="F148">
        <f>IF(B148="", " ", IF(LEN(B148)&lt;&gt;11, "ДЛИНА", IF(NOT(ISNUMBER(--B148)), "НЕ ЦИФРЫ", IF(LEFT(B148,9)*1&lt;=1001998, "OK", IF(RIGHT(B148,2)*1=IF(MOD(E148,101)&gt;=100,0,MOD(E148,101)),"OK","ОШИБКА")))))</f>
        <v/>
      </c>
      <c r="G1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8">
        <f>IF(LEN(TRIM(A148))=10, --MID(A148,1,1)*2+--MID(A148,2,1)*4+--MID(A148,3,1)*10+--MID(A148,4,1)*3+--MID(A148,5,1)*5+--MID(A148,6,1)*9+--MID(A148,7,1)*4+--MID(A148,8,1)*6+--MID(A148,9,1)*8, IF(LEN(TRIM(A148))=12, --MID(A148,1,1)*7+--MID(A148,2,1)*2+--MID(A148,3,1)*4+--MID(A148,4,1)*10+--MID(A148,5,1)*3+--MID(A148,6,1)*5+--MID(A148,7,1)*9+--MID(A148,8,1)*4+--MID(A148,9,1)*6+--MID(A148,10,1)*8, ""))</f>
        <v/>
      </c>
      <c r="I148">
        <f>IF(LEN(TRIM(A148))=12, --MID(A148,1,1)*3+--MID(A148,2,1)*7+--MID(A148,3,1)*2+--MID(A148,4,1)*4+--MID(A148,5,1)*10+--MID(A148,6,1)*3+--MID(A148,7,1)*5+--MID(A148,8,1)*9+--MID(A148,9,1)*4+--MID(A148,10,1)*6+--MID(A148,11,1)*8, "")</f>
        <v/>
      </c>
    </row>
    <row r="149">
      <c r="A149">
        <f>SUBSTITUTE(SUBSTITUTE(SUBSTITUTE(SUBSTITUTE(TRIM(INDEX(Реестр!$B:$B,ROW())),CHAR(160),""),CHAR(9),""),CHAR(10),""),CHAR(13),"")</f>
        <v/>
      </c>
      <c r="B149">
        <f>SUBSTITUTE(SUBSTITUTE(SUBSTITUTE(SUBSTITUTE(SUBSTITUTE(SUBSTITUTE(SUBSTITUTE(TRIM(INDEX(Реестр!$D:$D, ROW())), "-", ""), " ", ""), CHAR(160), ""), CHAR(9), ""), CHAR(10), ""), CHAR(13), ""), CHAR(32), "")</f>
        <v/>
      </c>
      <c r="C149">
        <f>INDEX(Реестр!$H:$H, ROW())</f>
        <v/>
      </c>
      <c r="D149">
        <f>IF(OR(ISBLANK(INDEX(Реестр!$B:$B, ROW())), INDEX(Реестр!$B:$B, ROW())=""), " ", IF(IFERROR(ISNUMBER(--A149),FALSE), IF(LEN(A149)=10, IF(MOD(MOD(H149,11),10)=--RIGHT(A149,1), "OK", "ОШИБКА"), IF(LEN(A149)=12, IF(AND(MOD(MOD(H149,11),10)=--MID(A149,11,1), MOD(MOD(I149,11),10)=--RIGHT(A149,1)), "OK", "ОШИБКА"), "ДЛИНА (10 или 12)")), "НЕ ЦИФРЫ"))</f>
        <v/>
      </c>
      <c r="E149">
        <f>MID(B149,1,1)*9+MID(B149,2,1)*8+MID(B149,3,1)*7+MID(B149,4,1)*6+MID(B149,5,1)*5+MID(B149,6,1)*4+MID(B149,7,1)*3+MID(B149,8,1)*2+MID(B149,9,1)</f>
        <v/>
      </c>
      <c r="F149">
        <f>IF(B149="", " ", IF(LEN(B149)&lt;&gt;11, "ДЛИНА", IF(NOT(ISNUMBER(--B149)), "НЕ ЦИФРЫ", IF(LEFT(B149,9)*1&lt;=1001998, "OK", IF(RIGHT(B149,2)*1=IF(MOD(E149,101)&gt;=100,0,MOD(E149,101)),"OK","ОШИБКА")))))</f>
        <v/>
      </c>
      <c r="G1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49">
        <f>IF(LEN(TRIM(A149))=10, --MID(A149,1,1)*2+--MID(A149,2,1)*4+--MID(A149,3,1)*10+--MID(A149,4,1)*3+--MID(A149,5,1)*5+--MID(A149,6,1)*9+--MID(A149,7,1)*4+--MID(A149,8,1)*6+--MID(A149,9,1)*8, IF(LEN(TRIM(A149))=12, --MID(A149,1,1)*7+--MID(A149,2,1)*2+--MID(A149,3,1)*4+--MID(A149,4,1)*10+--MID(A149,5,1)*3+--MID(A149,6,1)*5+--MID(A149,7,1)*9+--MID(A149,8,1)*4+--MID(A149,9,1)*6+--MID(A149,10,1)*8, ""))</f>
        <v/>
      </c>
      <c r="I149">
        <f>IF(LEN(TRIM(A149))=12, --MID(A149,1,1)*3+--MID(A149,2,1)*7+--MID(A149,3,1)*2+--MID(A149,4,1)*4+--MID(A149,5,1)*10+--MID(A149,6,1)*3+--MID(A149,7,1)*5+--MID(A149,8,1)*9+--MID(A149,9,1)*4+--MID(A149,10,1)*6+--MID(A149,11,1)*8, "")</f>
        <v/>
      </c>
    </row>
    <row r="150">
      <c r="A150">
        <f>SUBSTITUTE(SUBSTITUTE(SUBSTITUTE(SUBSTITUTE(TRIM(INDEX(Реестр!$B:$B,ROW())),CHAR(160),""),CHAR(9),""),CHAR(10),""),CHAR(13),"")</f>
        <v/>
      </c>
      <c r="B150">
        <f>SUBSTITUTE(SUBSTITUTE(SUBSTITUTE(SUBSTITUTE(SUBSTITUTE(SUBSTITUTE(SUBSTITUTE(TRIM(INDEX(Реестр!$D:$D, ROW())), "-", ""), " ", ""), CHAR(160), ""), CHAR(9), ""), CHAR(10), ""), CHAR(13), ""), CHAR(32), "")</f>
        <v/>
      </c>
      <c r="C150">
        <f>INDEX(Реестр!$H:$H, ROW())</f>
        <v/>
      </c>
      <c r="D150">
        <f>IF(OR(ISBLANK(INDEX(Реестр!$B:$B, ROW())), INDEX(Реестр!$B:$B, ROW())=""), " ", IF(IFERROR(ISNUMBER(--A150),FALSE), IF(LEN(A150)=10, IF(MOD(MOD(H150,11),10)=--RIGHT(A150,1), "OK", "ОШИБКА"), IF(LEN(A150)=12, IF(AND(MOD(MOD(H150,11),10)=--MID(A150,11,1), MOD(MOD(I150,11),10)=--RIGHT(A150,1)), "OK", "ОШИБКА"), "ДЛИНА (10 или 12)")), "НЕ ЦИФРЫ"))</f>
        <v/>
      </c>
      <c r="E150">
        <f>MID(B150,1,1)*9+MID(B150,2,1)*8+MID(B150,3,1)*7+MID(B150,4,1)*6+MID(B150,5,1)*5+MID(B150,6,1)*4+MID(B150,7,1)*3+MID(B150,8,1)*2+MID(B150,9,1)</f>
        <v/>
      </c>
      <c r="F150">
        <f>IF(B150="", " ", IF(LEN(B150)&lt;&gt;11, "ДЛИНА", IF(NOT(ISNUMBER(--B150)), "НЕ ЦИФРЫ", IF(LEFT(B150,9)*1&lt;=1001998, "OK", IF(RIGHT(B150,2)*1=IF(MOD(E150,101)&gt;=100,0,MOD(E150,101)),"OK","ОШИБКА")))))</f>
        <v/>
      </c>
      <c r="G1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0">
        <f>IF(LEN(TRIM(A150))=10, --MID(A150,1,1)*2+--MID(A150,2,1)*4+--MID(A150,3,1)*10+--MID(A150,4,1)*3+--MID(A150,5,1)*5+--MID(A150,6,1)*9+--MID(A150,7,1)*4+--MID(A150,8,1)*6+--MID(A150,9,1)*8, IF(LEN(TRIM(A150))=12, --MID(A150,1,1)*7+--MID(A150,2,1)*2+--MID(A150,3,1)*4+--MID(A150,4,1)*10+--MID(A150,5,1)*3+--MID(A150,6,1)*5+--MID(A150,7,1)*9+--MID(A150,8,1)*4+--MID(A150,9,1)*6+--MID(A150,10,1)*8, ""))</f>
        <v/>
      </c>
      <c r="I150">
        <f>IF(LEN(TRIM(A150))=12, --MID(A150,1,1)*3+--MID(A150,2,1)*7+--MID(A150,3,1)*2+--MID(A150,4,1)*4+--MID(A150,5,1)*10+--MID(A150,6,1)*3+--MID(A150,7,1)*5+--MID(A150,8,1)*9+--MID(A150,9,1)*4+--MID(A150,10,1)*6+--MID(A150,11,1)*8, "")</f>
        <v/>
      </c>
    </row>
    <row r="151">
      <c r="A151">
        <f>SUBSTITUTE(SUBSTITUTE(SUBSTITUTE(SUBSTITUTE(TRIM(INDEX(Реестр!$B:$B,ROW())),CHAR(160),""),CHAR(9),""),CHAR(10),""),CHAR(13),"")</f>
        <v/>
      </c>
      <c r="B151">
        <f>SUBSTITUTE(SUBSTITUTE(SUBSTITUTE(SUBSTITUTE(SUBSTITUTE(SUBSTITUTE(SUBSTITUTE(TRIM(INDEX(Реестр!$D:$D, ROW())), "-", ""), " ", ""), CHAR(160), ""), CHAR(9), ""), CHAR(10), ""), CHAR(13), ""), CHAR(32), "")</f>
        <v/>
      </c>
      <c r="C151">
        <f>INDEX(Реестр!$H:$H, ROW())</f>
        <v/>
      </c>
      <c r="D151">
        <f>IF(OR(ISBLANK(INDEX(Реестр!$B:$B, ROW())), INDEX(Реестр!$B:$B, ROW())=""), " ", IF(IFERROR(ISNUMBER(--A151),FALSE), IF(LEN(A151)=10, IF(MOD(MOD(H151,11),10)=--RIGHT(A151,1), "OK", "ОШИБКА"), IF(LEN(A151)=12, IF(AND(MOD(MOD(H151,11),10)=--MID(A151,11,1), MOD(MOD(I151,11),10)=--RIGHT(A151,1)), "OK", "ОШИБКА"), "ДЛИНА (10 или 12)")), "НЕ ЦИФРЫ"))</f>
        <v/>
      </c>
      <c r="E151">
        <f>MID(B151,1,1)*9+MID(B151,2,1)*8+MID(B151,3,1)*7+MID(B151,4,1)*6+MID(B151,5,1)*5+MID(B151,6,1)*4+MID(B151,7,1)*3+MID(B151,8,1)*2+MID(B151,9,1)</f>
        <v/>
      </c>
      <c r="F151">
        <f>IF(B151="", " ", IF(LEN(B151)&lt;&gt;11, "ДЛИНА", IF(NOT(ISNUMBER(--B151)), "НЕ ЦИФРЫ", IF(LEFT(B151,9)*1&lt;=1001998, "OK", IF(RIGHT(B151,2)*1=IF(MOD(E151,101)&gt;=100,0,MOD(E151,101)),"OK","ОШИБКА")))))</f>
        <v/>
      </c>
      <c r="G1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1">
        <f>IF(LEN(TRIM(A151))=10, --MID(A151,1,1)*2+--MID(A151,2,1)*4+--MID(A151,3,1)*10+--MID(A151,4,1)*3+--MID(A151,5,1)*5+--MID(A151,6,1)*9+--MID(A151,7,1)*4+--MID(A151,8,1)*6+--MID(A151,9,1)*8, IF(LEN(TRIM(A151))=12, --MID(A151,1,1)*7+--MID(A151,2,1)*2+--MID(A151,3,1)*4+--MID(A151,4,1)*10+--MID(A151,5,1)*3+--MID(A151,6,1)*5+--MID(A151,7,1)*9+--MID(A151,8,1)*4+--MID(A151,9,1)*6+--MID(A151,10,1)*8, ""))</f>
        <v/>
      </c>
      <c r="I151">
        <f>IF(LEN(TRIM(A151))=12, --MID(A151,1,1)*3+--MID(A151,2,1)*7+--MID(A151,3,1)*2+--MID(A151,4,1)*4+--MID(A151,5,1)*10+--MID(A151,6,1)*3+--MID(A151,7,1)*5+--MID(A151,8,1)*9+--MID(A151,9,1)*4+--MID(A151,10,1)*6+--MID(A151,11,1)*8, "")</f>
        <v/>
      </c>
    </row>
    <row r="152">
      <c r="A152">
        <f>SUBSTITUTE(SUBSTITUTE(SUBSTITUTE(SUBSTITUTE(TRIM(INDEX(Реестр!$B:$B,ROW())),CHAR(160),""),CHAR(9),""),CHAR(10),""),CHAR(13),"")</f>
        <v/>
      </c>
      <c r="B152">
        <f>SUBSTITUTE(SUBSTITUTE(SUBSTITUTE(SUBSTITUTE(SUBSTITUTE(SUBSTITUTE(SUBSTITUTE(TRIM(INDEX(Реестр!$D:$D, ROW())), "-", ""), " ", ""), CHAR(160), ""), CHAR(9), ""), CHAR(10), ""), CHAR(13), ""), CHAR(32), "")</f>
        <v/>
      </c>
      <c r="C152">
        <f>INDEX(Реестр!$H:$H, ROW())</f>
        <v/>
      </c>
      <c r="D152">
        <f>IF(OR(ISBLANK(INDEX(Реестр!$B:$B, ROW())), INDEX(Реестр!$B:$B, ROW())=""), " ", IF(IFERROR(ISNUMBER(--A152),FALSE), IF(LEN(A152)=10, IF(MOD(MOD(H152,11),10)=--RIGHT(A152,1), "OK", "ОШИБКА"), IF(LEN(A152)=12, IF(AND(MOD(MOD(H152,11),10)=--MID(A152,11,1), MOD(MOD(I152,11),10)=--RIGHT(A152,1)), "OK", "ОШИБКА"), "ДЛИНА (10 или 12)")), "НЕ ЦИФРЫ"))</f>
        <v/>
      </c>
      <c r="E152">
        <f>MID(B152,1,1)*9+MID(B152,2,1)*8+MID(B152,3,1)*7+MID(B152,4,1)*6+MID(B152,5,1)*5+MID(B152,6,1)*4+MID(B152,7,1)*3+MID(B152,8,1)*2+MID(B152,9,1)</f>
        <v/>
      </c>
      <c r="F152">
        <f>IF(B152="", " ", IF(LEN(B152)&lt;&gt;11, "ДЛИНА", IF(NOT(ISNUMBER(--B152)), "НЕ ЦИФРЫ", IF(LEFT(B152,9)*1&lt;=1001998, "OK", IF(RIGHT(B152,2)*1=IF(MOD(E152,101)&gt;=100,0,MOD(E152,101)),"OK","ОШИБКА")))))</f>
        <v/>
      </c>
      <c r="G1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2">
        <f>IF(LEN(TRIM(A152))=10, --MID(A152,1,1)*2+--MID(A152,2,1)*4+--MID(A152,3,1)*10+--MID(A152,4,1)*3+--MID(A152,5,1)*5+--MID(A152,6,1)*9+--MID(A152,7,1)*4+--MID(A152,8,1)*6+--MID(A152,9,1)*8, IF(LEN(TRIM(A152))=12, --MID(A152,1,1)*7+--MID(A152,2,1)*2+--MID(A152,3,1)*4+--MID(A152,4,1)*10+--MID(A152,5,1)*3+--MID(A152,6,1)*5+--MID(A152,7,1)*9+--MID(A152,8,1)*4+--MID(A152,9,1)*6+--MID(A152,10,1)*8, ""))</f>
        <v/>
      </c>
      <c r="I152">
        <f>IF(LEN(TRIM(A152))=12, --MID(A152,1,1)*3+--MID(A152,2,1)*7+--MID(A152,3,1)*2+--MID(A152,4,1)*4+--MID(A152,5,1)*10+--MID(A152,6,1)*3+--MID(A152,7,1)*5+--MID(A152,8,1)*9+--MID(A152,9,1)*4+--MID(A152,10,1)*6+--MID(A152,11,1)*8, "")</f>
        <v/>
      </c>
    </row>
    <row r="153">
      <c r="A153">
        <f>SUBSTITUTE(SUBSTITUTE(SUBSTITUTE(SUBSTITUTE(TRIM(INDEX(Реестр!$B:$B,ROW())),CHAR(160),""),CHAR(9),""),CHAR(10),""),CHAR(13),"")</f>
        <v/>
      </c>
      <c r="B153">
        <f>SUBSTITUTE(SUBSTITUTE(SUBSTITUTE(SUBSTITUTE(SUBSTITUTE(SUBSTITUTE(SUBSTITUTE(TRIM(INDEX(Реестр!$D:$D, ROW())), "-", ""), " ", ""), CHAR(160), ""), CHAR(9), ""), CHAR(10), ""), CHAR(13), ""), CHAR(32), "")</f>
        <v/>
      </c>
      <c r="C153">
        <f>INDEX(Реестр!$H:$H, ROW())</f>
        <v/>
      </c>
      <c r="D153">
        <f>IF(OR(ISBLANK(INDEX(Реестр!$B:$B, ROW())), INDEX(Реестр!$B:$B, ROW())=""), " ", IF(IFERROR(ISNUMBER(--A153),FALSE), IF(LEN(A153)=10, IF(MOD(MOD(H153,11),10)=--RIGHT(A153,1), "OK", "ОШИБКА"), IF(LEN(A153)=12, IF(AND(MOD(MOD(H153,11),10)=--MID(A153,11,1), MOD(MOD(I153,11),10)=--RIGHT(A153,1)), "OK", "ОШИБКА"), "ДЛИНА (10 или 12)")), "НЕ ЦИФРЫ"))</f>
        <v/>
      </c>
      <c r="E153">
        <f>MID(B153,1,1)*9+MID(B153,2,1)*8+MID(B153,3,1)*7+MID(B153,4,1)*6+MID(B153,5,1)*5+MID(B153,6,1)*4+MID(B153,7,1)*3+MID(B153,8,1)*2+MID(B153,9,1)</f>
        <v/>
      </c>
      <c r="F153">
        <f>IF(B153="", " ", IF(LEN(B153)&lt;&gt;11, "ДЛИНА", IF(NOT(ISNUMBER(--B153)), "НЕ ЦИФРЫ", IF(LEFT(B153,9)*1&lt;=1001998, "OK", IF(RIGHT(B153,2)*1=IF(MOD(E153,101)&gt;=100,0,MOD(E153,101)),"OK","ОШИБКА")))))</f>
        <v/>
      </c>
      <c r="G1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3">
        <f>IF(LEN(TRIM(A153))=10, --MID(A153,1,1)*2+--MID(A153,2,1)*4+--MID(A153,3,1)*10+--MID(A153,4,1)*3+--MID(A153,5,1)*5+--MID(A153,6,1)*9+--MID(A153,7,1)*4+--MID(A153,8,1)*6+--MID(A153,9,1)*8, IF(LEN(TRIM(A153))=12, --MID(A153,1,1)*7+--MID(A153,2,1)*2+--MID(A153,3,1)*4+--MID(A153,4,1)*10+--MID(A153,5,1)*3+--MID(A153,6,1)*5+--MID(A153,7,1)*9+--MID(A153,8,1)*4+--MID(A153,9,1)*6+--MID(A153,10,1)*8, ""))</f>
        <v/>
      </c>
      <c r="I153">
        <f>IF(LEN(TRIM(A153))=12, --MID(A153,1,1)*3+--MID(A153,2,1)*7+--MID(A153,3,1)*2+--MID(A153,4,1)*4+--MID(A153,5,1)*10+--MID(A153,6,1)*3+--MID(A153,7,1)*5+--MID(A153,8,1)*9+--MID(A153,9,1)*4+--MID(A153,10,1)*6+--MID(A153,11,1)*8, "")</f>
        <v/>
      </c>
    </row>
    <row r="154">
      <c r="A154">
        <f>SUBSTITUTE(SUBSTITUTE(SUBSTITUTE(SUBSTITUTE(TRIM(INDEX(Реестр!$B:$B,ROW())),CHAR(160),""),CHAR(9),""),CHAR(10),""),CHAR(13),"")</f>
        <v/>
      </c>
      <c r="B154">
        <f>SUBSTITUTE(SUBSTITUTE(SUBSTITUTE(SUBSTITUTE(SUBSTITUTE(SUBSTITUTE(SUBSTITUTE(TRIM(INDEX(Реестр!$D:$D, ROW())), "-", ""), " ", ""), CHAR(160), ""), CHAR(9), ""), CHAR(10), ""), CHAR(13), ""), CHAR(32), "")</f>
        <v/>
      </c>
      <c r="C154">
        <f>INDEX(Реестр!$H:$H, ROW())</f>
        <v/>
      </c>
      <c r="D154">
        <f>IF(OR(ISBLANK(INDEX(Реестр!$B:$B, ROW())), INDEX(Реестр!$B:$B, ROW())=""), " ", IF(IFERROR(ISNUMBER(--A154),FALSE), IF(LEN(A154)=10, IF(MOD(MOD(H154,11),10)=--RIGHT(A154,1), "OK", "ОШИБКА"), IF(LEN(A154)=12, IF(AND(MOD(MOD(H154,11),10)=--MID(A154,11,1), MOD(MOD(I154,11),10)=--RIGHT(A154,1)), "OK", "ОШИБКА"), "ДЛИНА (10 или 12)")), "НЕ ЦИФРЫ"))</f>
        <v/>
      </c>
      <c r="E154">
        <f>MID(B154,1,1)*9+MID(B154,2,1)*8+MID(B154,3,1)*7+MID(B154,4,1)*6+MID(B154,5,1)*5+MID(B154,6,1)*4+MID(B154,7,1)*3+MID(B154,8,1)*2+MID(B154,9,1)</f>
        <v/>
      </c>
      <c r="F154">
        <f>IF(B154="", " ", IF(LEN(B154)&lt;&gt;11, "ДЛИНА", IF(NOT(ISNUMBER(--B154)), "НЕ ЦИФРЫ", IF(LEFT(B154,9)*1&lt;=1001998, "OK", IF(RIGHT(B154,2)*1=IF(MOD(E154,101)&gt;=100,0,MOD(E154,101)),"OK","ОШИБКА")))))</f>
        <v/>
      </c>
      <c r="G1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4">
        <f>IF(LEN(TRIM(A154))=10, --MID(A154,1,1)*2+--MID(A154,2,1)*4+--MID(A154,3,1)*10+--MID(A154,4,1)*3+--MID(A154,5,1)*5+--MID(A154,6,1)*9+--MID(A154,7,1)*4+--MID(A154,8,1)*6+--MID(A154,9,1)*8, IF(LEN(TRIM(A154))=12, --MID(A154,1,1)*7+--MID(A154,2,1)*2+--MID(A154,3,1)*4+--MID(A154,4,1)*10+--MID(A154,5,1)*3+--MID(A154,6,1)*5+--MID(A154,7,1)*9+--MID(A154,8,1)*4+--MID(A154,9,1)*6+--MID(A154,10,1)*8, ""))</f>
        <v/>
      </c>
      <c r="I154">
        <f>IF(LEN(TRIM(A154))=12, --MID(A154,1,1)*3+--MID(A154,2,1)*7+--MID(A154,3,1)*2+--MID(A154,4,1)*4+--MID(A154,5,1)*10+--MID(A154,6,1)*3+--MID(A154,7,1)*5+--MID(A154,8,1)*9+--MID(A154,9,1)*4+--MID(A154,10,1)*6+--MID(A154,11,1)*8, "")</f>
        <v/>
      </c>
    </row>
    <row r="155">
      <c r="A155">
        <f>SUBSTITUTE(SUBSTITUTE(SUBSTITUTE(SUBSTITUTE(TRIM(INDEX(Реестр!$B:$B,ROW())),CHAR(160),""),CHAR(9),""),CHAR(10),""),CHAR(13),"")</f>
        <v/>
      </c>
      <c r="B155">
        <f>SUBSTITUTE(SUBSTITUTE(SUBSTITUTE(SUBSTITUTE(SUBSTITUTE(SUBSTITUTE(SUBSTITUTE(TRIM(INDEX(Реестр!$D:$D, ROW())), "-", ""), " ", ""), CHAR(160), ""), CHAR(9), ""), CHAR(10), ""), CHAR(13), ""), CHAR(32), "")</f>
        <v/>
      </c>
      <c r="C155">
        <f>INDEX(Реестр!$H:$H, ROW())</f>
        <v/>
      </c>
      <c r="D155">
        <f>IF(OR(ISBLANK(INDEX(Реестр!$B:$B, ROW())), INDEX(Реестр!$B:$B, ROW())=""), " ", IF(IFERROR(ISNUMBER(--A155),FALSE), IF(LEN(A155)=10, IF(MOD(MOD(H155,11),10)=--RIGHT(A155,1), "OK", "ОШИБКА"), IF(LEN(A155)=12, IF(AND(MOD(MOD(H155,11),10)=--MID(A155,11,1), MOD(MOD(I155,11),10)=--RIGHT(A155,1)), "OK", "ОШИБКА"), "ДЛИНА (10 или 12)")), "НЕ ЦИФРЫ"))</f>
        <v/>
      </c>
      <c r="E155">
        <f>MID(B155,1,1)*9+MID(B155,2,1)*8+MID(B155,3,1)*7+MID(B155,4,1)*6+MID(B155,5,1)*5+MID(B155,6,1)*4+MID(B155,7,1)*3+MID(B155,8,1)*2+MID(B155,9,1)</f>
        <v/>
      </c>
      <c r="F155">
        <f>IF(B155="", " ", IF(LEN(B155)&lt;&gt;11, "ДЛИНА", IF(NOT(ISNUMBER(--B155)), "НЕ ЦИФРЫ", IF(LEFT(B155,9)*1&lt;=1001998, "OK", IF(RIGHT(B155,2)*1=IF(MOD(E155,101)&gt;=100,0,MOD(E155,101)),"OK","ОШИБКА")))))</f>
        <v/>
      </c>
      <c r="G1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5">
        <f>IF(LEN(TRIM(A155))=10, --MID(A155,1,1)*2+--MID(A155,2,1)*4+--MID(A155,3,1)*10+--MID(A155,4,1)*3+--MID(A155,5,1)*5+--MID(A155,6,1)*9+--MID(A155,7,1)*4+--MID(A155,8,1)*6+--MID(A155,9,1)*8, IF(LEN(TRIM(A155))=12, --MID(A155,1,1)*7+--MID(A155,2,1)*2+--MID(A155,3,1)*4+--MID(A155,4,1)*10+--MID(A155,5,1)*3+--MID(A155,6,1)*5+--MID(A155,7,1)*9+--MID(A155,8,1)*4+--MID(A155,9,1)*6+--MID(A155,10,1)*8, ""))</f>
        <v/>
      </c>
      <c r="I155">
        <f>IF(LEN(TRIM(A155))=12, --MID(A155,1,1)*3+--MID(A155,2,1)*7+--MID(A155,3,1)*2+--MID(A155,4,1)*4+--MID(A155,5,1)*10+--MID(A155,6,1)*3+--MID(A155,7,1)*5+--MID(A155,8,1)*9+--MID(A155,9,1)*4+--MID(A155,10,1)*6+--MID(A155,11,1)*8, "")</f>
        <v/>
      </c>
    </row>
    <row r="156">
      <c r="A156">
        <f>SUBSTITUTE(SUBSTITUTE(SUBSTITUTE(SUBSTITUTE(TRIM(INDEX(Реестр!$B:$B,ROW())),CHAR(160),""),CHAR(9),""),CHAR(10),""),CHAR(13),"")</f>
        <v/>
      </c>
      <c r="B156">
        <f>SUBSTITUTE(SUBSTITUTE(SUBSTITUTE(SUBSTITUTE(SUBSTITUTE(SUBSTITUTE(SUBSTITUTE(TRIM(INDEX(Реестр!$D:$D, ROW())), "-", ""), " ", ""), CHAR(160), ""), CHAR(9), ""), CHAR(10), ""), CHAR(13), ""), CHAR(32), "")</f>
        <v/>
      </c>
      <c r="C156">
        <f>INDEX(Реестр!$H:$H, ROW())</f>
        <v/>
      </c>
      <c r="D156">
        <f>IF(OR(ISBLANK(INDEX(Реестр!$B:$B, ROW())), INDEX(Реестр!$B:$B, ROW())=""), " ", IF(IFERROR(ISNUMBER(--A156),FALSE), IF(LEN(A156)=10, IF(MOD(MOD(H156,11),10)=--RIGHT(A156,1), "OK", "ОШИБКА"), IF(LEN(A156)=12, IF(AND(MOD(MOD(H156,11),10)=--MID(A156,11,1), MOD(MOD(I156,11),10)=--RIGHT(A156,1)), "OK", "ОШИБКА"), "ДЛИНА (10 или 12)")), "НЕ ЦИФРЫ"))</f>
        <v/>
      </c>
      <c r="E156">
        <f>MID(B156,1,1)*9+MID(B156,2,1)*8+MID(B156,3,1)*7+MID(B156,4,1)*6+MID(B156,5,1)*5+MID(B156,6,1)*4+MID(B156,7,1)*3+MID(B156,8,1)*2+MID(B156,9,1)</f>
        <v/>
      </c>
      <c r="F156">
        <f>IF(B156="", " ", IF(LEN(B156)&lt;&gt;11, "ДЛИНА", IF(NOT(ISNUMBER(--B156)), "НЕ ЦИФРЫ", IF(LEFT(B156,9)*1&lt;=1001998, "OK", IF(RIGHT(B156,2)*1=IF(MOD(E156,101)&gt;=100,0,MOD(E156,101)),"OK","ОШИБКА")))))</f>
        <v/>
      </c>
      <c r="G1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6">
        <f>IF(LEN(TRIM(A156))=10, --MID(A156,1,1)*2+--MID(A156,2,1)*4+--MID(A156,3,1)*10+--MID(A156,4,1)*3+--MID(A156,5,1)*5+--MID(A156,6,1)*9+--MID(A156,7,1)*4+--MID(A156,8,1)*6+--MID(A156,9,1)*8, IF(LEN(TRIM(A156))=12, --MID(A156,1,1)*7+--MID(A156,2,1)*2+--MID(A156,3,1)*4+--MID(A156,4,1)*10+--MID(A156,5,1)*3+--MID(A156,6,1)*5+--MID(A156,7,1)*9+--MID(A156,8,1)*4+--MID(A156,9,1)*6+--MID(A156,10,1)*8, ""))</f>
        <v/>
      </c>
      <c r="I156">
        <f>IF(LEN(TRIM(A156))=12, --MID(A156,1,1)*3+--MID(A156,2,1)*7+--MID(A156,3,1)*2+--MID(A156,4,1)*4+--MID(A156,5,1)*10+--MID(A156,6,1)*3+--MID(A156,7,1)*5+--MID(A156,8,1)*9+--MID(A156,9,1)*4+--MID(A156,10,1)*6+--MID(A156,11,1)*8, "")</f>
        <v/>
      </c>
    </row>
    <row r="157">
      <c r="A157">
        <f>SUBSTITUTE(SUBSTITUTE(SUBSTITUTE(SUBSTITUTE(TRIM(INDEX(Реестр!$B:$B,ROW())),CHAR(160),""),CHAR(9),""),CHAR(10),""),CHAR(13),"")</f>
        <v/>
      </c>
      <c r="B157">
        <f>SUBSTITUTE(SUBSTITUTE(SUBSTITUTE(SUBSTITUTE(SUBSTITUTE(SUBSTITUTE(SUBSTITUTE(TRIM(INDEX(Реестр!$D:$D, ROW())), "-", ""), " ", ""), CHAR(160), ""), CHAR(9), ""), CHAR(10), ""), CHAR(13), ""), CHAR(32), "")</f>
        <v/>
      </c>
      <c r="C157">
        <f>INDEX(Реестр!$H:$H, ROW())</f>
        <v/>
      </c>
      <c r="D157">
        <f>IF(OR(ISBLANK(INDEX(Реестр!$B:$B, ROW())), INDEX(Реестр!$B:$B, ROW())=""), " ", IF(IFERROR(ISNUMBER(--A157),FALSE), IF(LEN(A157)=10, IF(MOD(MOD(H157,11),10)=--RIGHT(A157,1), "OK", "ОШИБКА"), IF(LEN(A157)=12, IF(AND(MOD(MOD(H157,11),10)=--MID(A157,11,1), MOD(MOD(I157,11),10)=--RIGHT(A157,1)), "OK", "ОШИБКА"), "ДЛИНА (10 или 12)")), "НЕ ЦИФРЫ"))</f>
        <v/>
      </c>
      <c r="E157">
        <f>MID(B157,1,1)*9+MID(B157,2,1)*8+MID(B157,3,1)*7+MID(B157,4,1)*6+MID(B157,5,1)*5+MID(B157,6,1)*4+MID(B157,7,1)*3+MID(B157,8,1)*2+MID(B157,9,1)</f>
        <v/>
      </c>
      <c r="F157">
        <f>IF(B157="", " ", IF(LEN(B157)&lt;&gt;11, "ДЛИНА", IF(NOT(ISNUMBER(--B157)), "НЕ ЦИФРЫ", IF(LEFT(B157,9)*1&lt;=1001998, "OK", IF(RIGHT(B157,2)*1=IF(MOD(E157,101)&gt;=100,0,MOD(E157,101)),"OK","ОШИБКА")))))</f>
        <v/>
      </c>
      <c r="G1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7">
        <f>IF(LEN(TRIM(A157))=10, --MID(A157,1,1)*2+--MID(A157,2,1)*4+--MID(A157,3,1)*10+--MID(A157,4,1)*3+--MID(A157,5,1)*5+--MID(A157,6,1)*9+--MID(A157,7,1)*4+--MID(A157,8,1)*6+--MID(A157,9,1)*8, IF(LEN(TRIM(A157))=12, --MID(A157,1,1)*7+--MID(A157,2,1)*2+--MID(A157,3,1)*4+--MID(A157,4,1)*10+--MID(A157,5,1)*3+--MID(A157,6,1)*5+--MID(A157,7,1)*9+--MID(A157,8,1)*4+--MID(A157,9,1)*6+--MID(A157,10,1)*8, ""))</f>
        <v/>
      </c>
      <c r="I157">
        <f>IF(LEN(TRIM(A157))=12, --MID(A157,1,1)*3+--MID(A157,2,1)*7+--MID(A157,3,1)*2+--MID(A157,4,1)*4+--MID(A157,5,1)*10+--MID(A157,6,1)*3+--MID(A157,7,1)*5+--MID(A157,8,1)*9+--MID(A157,9,1)*4+--MID(A157,10,1)*6+--MID(A157,11,1)*8, "")</f>
        <v/>
      </c>
    </row>
    <row r="158">
      <c r="A158">
        <f>SUBSTITUTE(SUBSTITUTE(SUBSTITUTE(SUBSTITUTE(TRIM(INDEX(Реестр!$B:$B,ROW())),CHAR(160),""),CHAR(9),""),CHAR(10),""),CHAR(13),"")</f>
        <v/>
      </c>
      <c r="B158">
        <f>SUBSTITUTE(SUBSTITUTE(SUBSTITUTE(SUBSTITUTE(SUBSTITUTE(SUBSTITUTE(SUBSTITUTE(TRIM(INDEX(Реестр!$D:$D, ROW())), "-", ""), " ", ""), CHAR(160), ""), CHAR(9), ""), CHAR(10), ""), CHAR(13), ""), CHAR(32), "")</f>
        <v/>
      </c>
      <c r="C158">
        <f>INDEX(Реестр!$H:$H, ROW())</f>
        <v/>
      </c>
      <c r="D158">
        <f>IF(OR(ISBLANK(INDEX(Реестр!$B:$B, ROW())), INDEX(Реестр!$B:$B, ROW())=""), " ", IF(IFERROR(ISNUMBER(--A158),FALSE), IF(LEN(A158)=10, IF(MOD(MOD(H158,11),10)=--RIGHT(A158,1), "OK", "ОШИБКА"), IF(LEN(A158)=12, IF(AND(MOD(MOD(H158,11),10)=--MID(A158,11,1), MOD(MOD(I158,11),10)=--RIGHT(A158,1)), "OK", "ОШИБКА"), "ДЛИНА (10 или 12)")), "НЕ ЦИФРЫ"))</f>
        <v/>
      </c>
      <c r="E158">
        <f>MID(B158,1,1)*9+MID(B158,2,1)*8+MID(B158,3,1)*7+MID(B158,4,1)*6+MID(B158,5,1)*5+MID(B158,6,1)*4+MID(B158,7,1)*3+MID(B158,8,1)*2+MID(B158,9,1)</f>
        <v/>
      </c>
      <c r="F158">
        <f>IF(B158="", " ", IF(LEN(B158)&lt;&gt;11, "ДЛИНА", IF(NOT(ISNUMBER(--B158)), "НЕ ЦИФРЫ", IF(LEFT(B158,9)*1&lt;=1001998, "OK", IF(RIGHT(B158,2)*1=IF(MOD(E158,101)&gt;=100,0,MOD(E158,101)),"OK","ОШИБКА")))))</f>
        <v/>
      </c>
      <c r="G1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8">
        <f>IF(LEN(TRIM(A158))=10, --MID(A158,1,1)*2+--MID(A158,2,1)*4+--MID(A158,3,1)*10+--MID(A158,4,1)*3+--MID(A158,5,1)*5+--MID(A158,6,1)*9+--MID(A158,7,1)*4+--MID(A158,8,1)*6+--MID(A158,9,1)*8, IF(LEN(TRIM(A158))=12, --MID(A158,1,1)*7+--MID(A158,2,1)*2+--MID(A158,3,1)*4+--MID(A158,4,1)*10+--MID(A158,5,1)*3+--MID(A158,6,1)*5+--MID(A158,7,1)*9+--MID(A158,8,1)*4+--MID(A158,9,1)*6+--MID(A158,10,1)*8, ""))</f>
        <v/>
      </c>
      <c r="I158">
        <f>IF(LEN(TRIM(A158))=12, --MID(A158,1,1)*3+--MID(A158,2,1)*7+--MID(A158,3,1)*2+--MID(A158,4,1)*4+--MID(A158,5,1)*10+--MID(A158,6,1)*3+--MID(A158,7,1)*5+--MID(A158,8,1)*9+--MID(A158,9,1)*4+--MID(A158,10,1)*6+--MID(A158,11,1)*8, "")</f>
        <v/>
      </c>
    </row>
    <row r="159">
      <c r="A159">
        <f>SUBSTITUTE(SUBSTITUTE(SUBSTITUTE(SUBSTITUTE(TRIM(INDEX(Реестр!$B:$B,ROW())),CHAR(160),""),CHAR(9),""),CHAR(10),""),CHAR(13),"")</f>
        <v/>
      </c>
      <c r="B159">
        <f>SUBSTITUTE(SUBSTITUTE(SUBSTITUTE(SUBSTITUTE(SUBSTITUTE(SUBSTITUTE(SUBSTITUTE(TRIM(INDEX(Реестр!$D:$D, ROW())), "-", ""), " ", ""), CHAR(160), ""), CHAR(9), ""), CHAR(10), ""), CHAR(13), ""), CHAR(32), "")</f>
        <v/>
      </c>
      <c r="C159">
        <f>INDEX(Реестр!$H:$H, ROW())</f>
        <v/>
      </c>
      <c r="D159">
        <f>IF(OR(ISBLANK(INDEX(Реестр!$B:$B, ROW())), INDEX(Реестр!$B:$B, ROW())=""), " ", IF(IFERROR(ISNUMBER(--A159),FALSE), IF(LEN(A159)=10, IF(MOD(MOD(H159,11),10)=--RIGHT(A159,1), "OK", "ОШИБКА"), IF(LEN(A159)=12, IF(AND(MOD(MOD(H159,11),10)=--MID(A159,11,1), MOD(MOD(I159,11),10)=--RIGHT(A159,1)), "OK", "ОШИБКА"), "ДЛИНА (10 или 12)")), "НЕ ЦИФРЫ"))</f>
        <v/>
      </c>
      <c r="E159">
        <f>MID(B159,1,1)*9+MID(B159,2,1)*8+MID(B159,3,1)*7+MID(B159,4,1)*6+MID(B159,5,1)*5+MID(B159,6,1)*4+MID(B159,7,1)*3+MID(B159,8,1)*2+MID(B159,9,1)</f>
        <v/>
      </c>
      <c r="F159">
        <f>IF(B159="", " ", IF(LEN(B159)&lt;&gt;11, "ДЛИНА", IF(NOT(ISNUMBER(--B159)), "НЕ ЦИФРЫ", IF(LEFT(B159,9)*1&lt;=1001998, "OK", IF(RIGHT(B159,2)*1=IF(MOD(E159,101)&gt;=100,0,MOD(E159,101)),"OK","ОШИБКА")))))</f>
        <v/>
      </c>
      <c r="G1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59">
        <f>IF(LEN(TRIM(A159))=10, --MID(A159,1,1)*2+--MID(A159,2,1)*4+--MID(A159,3,1)*10+--MID(A159,4,1)*3+--MID(A159,5,1)*5+--MID(A159,6,1)*9+--MID(A159,7,1)*4+--MID(A159,8,1)*6+--MID(A159,9,1)*8, IF(LEN(TRIM(A159))=12, --MID(A159,1,1)*7+--MID(A159,2,1)*2+--MID(A159,3,1)*4+--MID(A159,4,1)*10+--MID(A159,5,1)*3+--MID(A159,6,1)*5+--MID(A159,7,1)*9+--MID(A159,8,1)*4+--MID(A159,9,1)*6+--MID(A159,10,1)*8, ""))</f>
        <v/>
      </c>
      <c r="I159">
        <f>IF(LEN(TRIM(A159))=12, --MID(A159,1,1)*3+--MID(A159,2,1)*7+--MID(A159,3,1)*2+--MID(A159,4,1)*4+--MID(A159,5,1)*10+--MID(A159,6,1)*3+--MID(A159,7,1)*5+--MID(A159,8,1)*9+--MID(A159,9,1)*4+--MID(A159,10,1)*6+--MID(A159,11,1)*8, "")</f>
        <v/>
      </c>
    </row>
    <row r="160">
      <c r="A160">
        <f>SUBSTITUTE(SUBSTITUTE(SUBSTITUTE(SUBSTITUTE(TRIM(INDEX(Реестр!$B:$B,ROW())),CHAR(160),""),CHAR(9),""),CHAR(10),""),CHAR(13),"")</f>
        <v/>
      </c>
      <c r="B160">
        <f>SUBSTITUTE(SUBSTITUTE(SUBSTITUTE(SUBSTITUTE(SUBSTITUTE(SUBSTITUTE(SUBSTITUTE(TRIM(INDEX(Реестр!$D:$D, ROW())), "-", ""), " ", ""), CHAR(160), ""), CHAR(9), ""), CHAR(10), ""), CHAR(13), ""), CHAR(32), "")</f>
        <v/>
      </c>
      <c r="C160">
        <f>INDEX(Реестр!$H:$H, ROW())</f>
        <v/>
      </c>
      <c r="D160">
        <f>IF(OR(ISBLANK(INDEX(Реестр!$B:$B, ROW())), INDEX(Реестр!$B:$B, ROW())=""), " ", IF(IFERROR(ISNUMBER(--A160),FALSE), IF(LEN(A160)=10, IF(MOD(MOD(H160,11),10)=--RIGHT(A160,1), "OK", "ОШИБКА"), IF(LEN(A160)=12, IF(AND(MOD(MOD(H160,11),10)=--MID(A160,11,1), MOD(MOD(I160,11),10)=--RIGHT(A160,1)), "OK", "ОШИБКА"), "ДЛИНА (10 или 12)")), "НЕ ЦИФРЫ"))</f>
        <v/>
      </c>
      <c r="E160">
        <f>MID(B160,1,1)*9+MID(B160,2,1)*8+MID(B160,3,1)*7+MID(B160,4,1)*6+MID(B160,5,1)*5+MID(B160,6,1)*4+MID(B160,7,1)*3+MID(B160,8,1)*2+MID(B160,9,1)</f>
        <v/>
      </c>
      <c r="F160">
        <f>IF(B160="", " ", IF(LEN(B160)&lt;&gt;11, "ДЛИНА", IF(NOT(ISNUMBER(--B160)), "НЕ ЦИФРЫ", IF(LEFT(B160,9)*1&lt;=1001998, "OK", IF(RIGHT(B160,2)*1=IF(MOD(E160,101)&gt;=100,0,MOD(E160,101)),"OK","ОШИБКА")))))</f>
        <v/>
      </c>
      <c r="G1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0">
        <f>IF(LEN(TRIM(A160))=10, --MID(A160,1,1)*2+--MID(A160,2,1)*4+--MID(A160,3,1)*10+--MID(A160,4,1)*3+--MID(A160,5,1)*5+--MID(A160,6,1)*9+--MID(A160,7,1)*4+--MID(A160,8,1)*6+--MID(A160,9,1)*8, IF(LEN(TRIM(A160))=12, --MID(A160,1,1)*7+--MID(A160,2,1)*2+--MID(A160,3,1)*4+--MID(A160,4,1)*10+--MID(A160,5,1)*3+--MID(A160,6,1)*5+--MID(A160,7,1)*9+--MID(A160,8,1)*4+--MID(A160,9,1)*6+--MID(A160,10,1)*8, ""))</f>
        <v/>
      </c>
      <c r="I160">
        <f>IF(LEN(TRIM(A160))=12, --MID(A160,1,1)*3+--MID(A160,2,1)*7+--MID(A160,3,1)*2+--MID(A160,4,1)*4+--MID(A160,5,1)*10+--MID(A160,6,1)*3+--MID(A160,7,1)*5+--MID(A160,8,1)*9+--MID(A160,9,1)*4+--MID(A160,10,1)*6+--MID(A160,11,1)*8, "")</f>
        <v/>
      </c>
    </row>
    <row r="161">
      <c r="A161">
        <f>SUBSTITUTE(SUBSTITUTE(SUBSTITUTE(SUBSTITUTE(TRIM(INDEX(Реестр!$B:$B,ROW())),CHAR(160),""),CHAR(9),""),CHAR(10),""),CHAR(13),"")</f>
        <v/>
      </c>
      <c r="B161">
        <f>SUBSTITUTE(SUBSTITUTE(SUBSTITUTE(SUBSTITUTE(SUBSTITUTE(SUBSTITUTE(SUBSTITUTE(TRIM(INDEX(Реестр!$D:$D, ROW())), "-", ""), " ", ""), CHAR(160), ""), CHAR(9), ""), CHAR(10), ""), CHAR(13), ""), CHAR(32), "")</f>
        <v/>
      </c>
      <c r="C161">
        <f>INDEX(Реестр!$H:$H, ROW())</f>
        <v/>
      </c>
      <c r="D161">
        <f>IF(OR(ISBLANK(INDEX(Реестр!$B:$B, ROW())), INDEX(Реестр!$B:$B, ROW())=""), " ", IF(IFERROR(ISNUMBER(--A161),FALSE), IF(LEN(A161)=10, IF(MOD(MOD(H161,11),10)=--RIGHT(A161,1), "OK", "ОШИБКА"), IF(LEN(A161)=12, IF(AND(MOD(MOD(H161,11),10)=--MID(A161,11,1), MOD(MOD(I161,11),10)=--RIGHT(A161,1)), "OK", "ОШИБКА"), "ДЛИНА (10 или 12)")), "НЕ ЦИФРЫ"))</f>
        <v/>
      </c>
      <c r="E161">
        <f>MID(B161,1,1)*9+MID(B161,2,1)*8+MID(B161,3,1)*7+MID(B161,4,1)*6+MID(B161,5,1)*5+MID(B161,6,1)*4+MID(B161,7,1)*3+MID(B161,8,1)*2+MID(B161,9,1)</f>
        <v/>
      </c>
      <c r="F161">
        <f>IF(B161="", " ", IF(LEN(B161)&lt;&gt;11, "ДЛИНА", IF(NOT(ISNUMBER(--B161)), "НЕ ЦИФРЫ", IF(LEFT(B161,9)*1&lt;=1001998, "OK", IF(RIGHT(B161,2)*1=IF(MOD(E161,101)&gt;=100,0,MOD(E161,101)),"OK","ОШИБКА")))))</f>
        <v/>
      </c>
      <c r="G1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1">
        <f>IF(LEN(TRIM(A161))=10, --MID(A161,1,1)*2+--MID(A161,2,1)*4+--MID(A161,3,1)*10+--MID(A161,4,1)*3+--MID(A161,5,1)*5+--MID(A161,6,1)*9+--MID(A161,7,1)*4+--MID(A161,8,1)*6+--MID(A161,9,1)*8, IF(LEN(TRIM(A161))=12, --MID(A161,1,1)*7+--MID(A161,2,1)*2+--MID(A161,3,1)*4+--MID(A161,4,1)*10+--MID(A161,5,1)*3+--MID(A161,6,1)*5+--MID(A161,7,1)*9+--MID(A161,8,1)*4+--MID(A161,9,1)*6+--MID(A161,10,1)*8, ""))</f>
        <v/>
      </c>
      <c r="I161">
        <f>IF(LEN(TRIM(A161))=12, --MID(A161,1,1)*3+--MID(A161,2,1)*7+--MID(A161,3,1)*2+--MID(A161,4,1)*4+--MID(A161,5,1)*10+--MID(A161,6,1)*3+--MID(A161,7,1)*5+--MID(A161,8,1)*9+--MID(A161,9,1)*4+--MID(A161,10,1)*6+--MID(A161,11,1)*8, "")</f>
        <v/>
      </c>
    </row>
    <row r="162">
      <c r="A162">
        <f>SUBSTITUTE(SUBSTITUTE(SUBSTITUTE(SUBSTITUTE(TRIM(INDEX(Реестр!$B:$B,ROW())),CHAR(160),""),CHAR(9),""),CHAR(10),""),CHAR(13),"")</f>
        <v/>
      </c>
      <c r="B162">
        <f>SUBSTITUTE(SUBSTITUTE(SUBSTITUTE(SUBSTITUTE(SUBSTITUTE(SUBSTITUTE(SUBSTITUTE(TRIM(INDEX(Реестр!$D:$D, ROW())), "-", ""), " ", ""), CHAR(160), ""), CHAR(9), ""), CHAR(10), ""), CHAR(13), ""), CHAR(32), "")</f>
        <v/>
      </c>
      <c r="C162">
        <f>INDEX(Реестр!$H:$H, ROW())</f>
        <v/>
      </c>
      <c r="D162">
        <f>IF(OR(ISBLANK(INDEX(Реестр!$B:$B, ROW())), INDEX(Реестр!$B:$B, ROW())=""), " ", IF(IFERROR(ISNUMBER(--A162),FALSE), IF(LEN(A162)=10, IF(MOD(MOD(H162,11),10)=--RIGHT(A162,1), "OK", "ОШИБКА"), IF(LEN(A162)=12, IF(AND(MOD(MOD(H162,11),10)=--MID(A162,11,1), MOD(MOD(I162,11),10)=--RIGHT(A162,1)), "OK", "ОШИБКА"), "ДЛИНА (10 или 12)")), "НЕ ЦИФРЫ"))</f>
        <v/>
      </c>
      <c r="E162">
        <f>MID(B162,1,1)*9+MID(B162,2,1)*8+MID(B162,3,1)*7+MID(B162,4,1)*6+MID(B162,5,1)*5+MID(B162,6,1)*4+MID(B162,7,1)*3+MID(B162,8,1)*2+MID(B162,9,1)</f>
        <v/>
      </c>
      <c r="F162">
        <f>IF(B162="", " ", IF(LEN(B162)&lt;&gt;11, "ДЛИНА", IF(NOT(ISNUMBER(--B162)), "НЕ ЦИФРЫ", IF(LEFT(B162,9)*1&lt;=1001998, "OK", IF(RIGHT(B162,2)*1=IF(MOD(E162,101)&gt;=100,0,MOD(E162,101)),"OK","ОШИБКА")))))</f>
        <v/>
      </c>
      <c r="G1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2">
        <f>IF(LEN(TRIM(A162))=10, --MID(A162,1,1)*2+--MID(A162,2,1)*4+--MID(A162,3,1)*10+--MID(A162,4,1)*3+--MID(A162,5,1)*5+--MID(A162,6,1)*9+--MID(A162,7,1)*4+--MID(A162,8,1)*6+--MID(A162,9,1)*8, IF(LEN(TRIM(A162))=12, --MID(A162,1,1)*7+--MID(A162,2,1)*2+--MID(A162,3,1)*4+--MID(A162,4,1)*10+--MID(A162,5,1)*3+--MID(A162,6,1)*5+--MID(A162,7,1)*9+--MID(A162,8,1)*4+--MID(A162,9,1)*6+--MID(A162,10,1)*8, ""))</f>
        <v/>
      </c>
      <c r="I162">
        <f>IF(LEN(TRIM(A162))=12, --MID(A162,1,1)*3+--MID(A162,2,1)*7+--MID(A162,3,1)*2+--MID(A162,4,1)*4+--MID(A162,5,1)*10+--MID(A162,6,1)*3+--MID(A162,7,1)*5+--MID(A162,8,1)*9+--MID(A162,9,1)*4+--MID(A162,10,1)*6+--MID(A162,11,1)*8, "")</f>
        <v/>
      </c>
    </row>
    <row r="163">
      <c r="A163">
        <f>SUBSTITUTE(SUBSTITUTE(SUBSTITUTE(SUBSTITUTE(TRIM(INDEX(Реестр!$B:$B,ROW())),CHAR(160),""),CHAR(9),""),CHAR(10),""),CHAR(13),"")</f>
        <v/>
      </c>
      <c r="B163">
        <f>SUBSTITUTE(SUBSTITUTE(SUBSTITUTE(SUBSTITUTE(SUBSTITUTE(SUBSTITUTE(SUBSTITUTE(TRIM(INDEX(Реестр!$D:$D, ROW())), "-", ""), " ", ""), CHAR(160), ""), CHAR(9), ""), CHAR(10), ""), CHAR(13), ""), CHAR(32), "")</f>
        <v/>
      </c>
      <c r="C163">
        <f>INDEX(Реестр!$H:$H, ROW())</f>
        <v/>
      </c>
      <c r="D163">
        <f>IF(OR(ISBLANK(INDEX(Реестр!$B:$B, ROW())), INDEX(Реестр!$B:$B, ROW())=""), " ", IF(IFERROR(ISNUMBER(--A163),FALSE), IF(LEN(A163)=10, IF(MOD(MOD(H163,11),10)=--RIGHT(A163,1), "OK", "ОШИБКА"), IF(LEN(A163)=12, IF(AND(MOD(MOD(H163,11),10)=--MID(A163,11,1), MOD(MOD(I163,11),10)=--RIGHT(A163,1)), "OK", "ОШИБКА"), "ДЛИНА (10 или 12)")), "НЕ ЦИФРЫ"))</f>
        <v/>
      </c>
      <c r="E163">
        <f>MID(B163,1,1)*9+MID(B163,2,1)*8+MID(B163,3,1)*7+MID(B163,4,1)*6+MID(B163,5,1)*5+MID(B163,6,1)*4+MID(B163,7,1)*3+MID(B163,8,1)*2+MID(B163,9,1)</f>
        <v/>
      </c>
      <c r="F163">
        <f>IF(B163="", " ", IF(LEN(B163)&lt;&gt;11, "ДЛИНА", IF(NOT(ISNUMBER(--B163)), "НЕ ЦИФРЫ", IF(LEFT(B163,9)*1&lt;=1001998, "OK", IF(RIGHT(B163,2)*1=IF(MOD(E163,101)&gt;=100,0,MOD(E163,101)),"OK","ОШИБКА")))))</f>
        <v/>
      </c>
      <c r="G1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3">
        <f>IF(LEN(TRIM(A163))=10, --MID(A163,1,1)*2+--MID(A163,2,1)*4+--MID(A163,3,1)*10+--MID(A163,4,1)*3+--MID(A163,5,1)*5+--MID(A163,6,1)*9+--MID(A163,7,1)*4+--MID(A163,8,1)*6+--MID(A163,9,1)*8, IF(LEN(TRIM(A163))=12, --MID(A163,1,1)*7+--MID(A163,2,1)*2+--MID(A163,3,1)*4+--MID(A163,4,1)*10+--MID(A163,5,1)*3+--MID(A163,6,1)*5+--MID(A163,7,1)*9+--MID(A163,8,1)*4+--MID(A163,9,1)*6+--MID(A163,10,1)*8, ""))</f>
        <v/>
      </c>
      <c r="I163">
        <f>IF(LEN(TRIM(A163))=12, --MID(A163,1,1)*3+--MID(A163,2,1)*7+--MID(A163,3,1)*2+--MID(A163,4,1)*4+--MID(A163,5,1)*10+--MID(A163,6,1)*3+--MID(A163,7,1)*5+--MID(A163,8,1)*9+--MID(A163,9,1)*4+--MID(A163,10,1)*6+--MID(A163,11,1)*8, "")</f>
        <v/>
      </c>
    </row>
    <row r="164">
      <c r="A164">
        <f>SUBSTITUTE(SUBSTITUTE(SUBSTITUTE(SUBSTITUTE(TRIM(INDEX(Реестр!$B:$B,ROW())),CHAR(160),""),CHAR(9),""),CHAR(10),""),CHAR(13),"")</f>
        <v/>
      </c>
      <c r="B164">
        <f>SUBSTITUTE(SUBSTITUTE(SUBSTITUTE(SUBSTITUTE(SUBSTITUTE(SUBSTITUTE(SUBSTITUTE(TRIM(INDEX(Реестр!$D:$D, ROW())), "-", ""), " ", ""), CHAR(160), ""), CHAR(9), ""), CHAR(10), ""), CHAR(13), ""), CHAR(32), "")</f>
        <v/>
      </c>
      <c r="C164">
        <f>INDEX(Реестр!$H:$H, ROW())</f>
        <v/>
      </c>
      <c r="D164">
        <f>IF(OR(ISBLANK(INDEX(Реестр!$B:$B, ROW())), INDEX(Реестр!$B:$B, ROW())=""), " ", IF(IFERROR(ISNUMBER(--A164),FALSE), IF(LEN(A164)=10, IF(MOD(MOD(H164,11),10)=--RIGHT(A164,1), "OK", "ОШИБКА"), IF(LEN(A164)=12, IF(AND(MOD(MOD(H164,11),10)=--MID(A164,11,1), MOD(MOD(I164,11),10)=--RIGHT(A164,1)), "OK", "ОШИБКА"), "ДЛИНА (10 или 12)")), "НЕ ЦИФРЫ"))</f>
        <v/>
      </c>
      <c r="E164">
        <f>MID(B164,1,1)*9+MID(B164,2,1)*8+MID(B164,3,1)*7+MID(B164,4,1)*6+MID(B164,5,1)*5+MID(B164,6,1)*4+MID(B164,7,1)*3+MID(B164,8,1)*2+MID(B164,9,1)</f>
        <v/>
      </c>
      <c r="F164">
        <f>IF(B164="", " ", IF(LEN(B164)&lt;&gt;11, "ДЛИНА", IF(NOT(ISNUMBER(--B164)), "НЕ ЦИФРЫ", IF(LEFT(B164,9)*1&lt;=1001998, "OK", IF(RIGHT(B164,2)*1=IF(MOD(E164,101)&gt;=100,0,MOD(E164,101)),"OK","ОШИБКА")))))</f>
        <v/>
      </c>
      <c r="G1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4">
        <f>IF(LEN(TRIM(A164))=10, --MID(A164,1,1)*2+--MID(A164,2,1)*4+--MID(A164,3,1)*10+--MID(A164,4,1)*3+--MID(A164,5,1)*5+--MID(A164,6,1)*9+--MID(A164,7,1)*4+--MID(A164,8,1)*6+--MID(A164,9,1)*8, IF(LEN(TRIM(A164))=12, --MID(A164,1,1)*7+--MID(A164,2,1)*2+--MID(A164,3,1)*4+--MID(A164,4,1)*10+--MID(A164,5,1)*3+--MID(A164,6,1)*5+--MID(A164,7,1)*9+--MID(A164,8,1)*4+--MID(A164,9,1)*6+--MID(A164,10,1)*8, ""))</f>
        <v/>
      </c>
      <c r="I164">
        <f>IF(LEN(TRIM(A164))=12, --MID(A164,1,1)*3+--MID(A164,2,1)*7+--MID(A164,3,1)*2+--MID(A164,4,1)*4+--MID(A164,5,1)*10+--MID(A164,6,1)*3+--MID(A164,7,1)*5+--MID(A164,8,1)*9+--MID(A164,9,1)*4+--MID(A164,10,1)*6+--MID(A164,11,1)*8, "")</f>
        <v/>
      </c>
    </row>
    <row r="165">
      <c r="A165">
        <f>SUBSTITUTE(SUBSTITUTE(SUBSTITUTE(SUBSTITUTE(TRIM(INDEX(Реестр!$B:$B,ROW())),CHAR(160),""),CHAR(9),""),CHAR(10),""),CHAR(13),"")</f>
        <v/>
      </c>
      <c r="B165">
        <f>SUBSTITUTE(SUBSTITUTE(SUBSTITUTE(SUBSTITUTE(SUBSTITUTE(SUBSTITUTE(SUBSTITUTE(TRIM(INDEX(Реестр!$D:$D, ROW())), "-", ""), " ", ""), CHAR(160), ""), CHAR(9), ""), CHAR(10), ""), CHAR(13), ""), CHAR(32), "")</f>
        <v/>
      </c>
      <c r="C165">
        <f>INDEX(Реестр!$H:$H, ROW())</f>
        <v/>
      </c>
      <c r="D165">
        <f>IF(OR(ISBLANK(INDEX(Реестр!$B:$B, ROW())), INDEX(Реестр!$B:$B, ROW())=""), " ", IF(IFERROR(ISNUMBER(--A165),FALSE), IF(LEN(A165)=10, IF(MOD(MOD(H165,11),10)=--RIGHT(A165,1), "OK", "ОШИБКА"), IF(LEN(A165)=12, IF(AND(MOD(MOD(H165,11),10)=--MID(A165,11,1), MOD(MOD(I165,11),10)=--RIGHT(A165,1)), "OK", "ОШИБКА"), "ДЛИНА (10 или 12)")), "НЕ ЦИФРЫ"))</f>
        <v/>
      </c>
      <c r="E165">
        <f>MID(B165,1,1)*9+MID(B165,2,1)*8+MID(B165,3,1)*7+MID(B165,4,1)*6+MID(B165,5,1)*5+MID(B165,6,1)*4+MID(B165,7,1)*3+MID(B165,8,1)*2+MID(B165,9,1)</f>
        <v/>
      </c>
      <c r="F165">
        <f>IF(B165="", " ", IF(LEN(B165)&lt;&gt;11, "ДЛИНА", IF(NOT(ISNUMBER(--B165)), "НЕ ЦИФРЫ", IF(LEFT(B165,9)*1&lt;=1001998, "OK", IF(RIGHT(B165,2)*1=IF(MOD(E165,101)&gt;=100,0,MOD(E165,101)),"OK","ОШИБКА")))))</f>
        <v/>
      </c>
      <c r="G1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5">
        <f>IF(LEN(TRIM(A165))=10, --MID(A165,1,1)*2+--MID(A165,2,1)*4+--MID(A165,3,1)*10+--MID(A165,4,1)*3+--MID(A165,5,1)*5+--MID(A165,6,1)*9+--MID(A165,7,1)*4+--MID(A165,8,1)*6+--MID(A165,9,1)*8, IF(LEN(TRIM(A165))=12, --MID(A165,1,1)*7+--MID(A165,2,1)*2+--MID(A165,3,1)*4+--MID(A165,4,1)*10+--MID(A165,5,1)*3+--MID(A165,6,1)*5+--MID(A165,7,1)*9+--MID(A165,8,1)*4+--MID(A165,9,1)*6+--MID(A165,10,1)*8, ""))</f>
        <v/>
      </c>
      <c r="I165">
        <f>IF(LEN(TRIM(A165))=12, --MID(A165,1,1)*3+--MID(A165,2,1)*7+--MID(A165,3,1)*2+--MID(A165,4,1)*4+--MID(A165,5,1)*10+--MID(A165,6,1)*3+--MID(A165,7,1)*5+--MID(A165,8,1)*9+--MID(A165,9,1)*4+--MID(A165,10,1)*6+--MID(A165,11,1)*8, "")</f>
        <v/>
      </c>
    </row>
    <row r="166">
      <c r="A166">
        <f>SUBSTITUTE(SUBSTITUTE(SUBSTITUTE(SUBSTITUTE(TRIM(INDEX(Реестр!$B:$B,ROW())),CHAR(160),""),CHAR(9),""),CHAR(10),""),CHAR(13),"")</f>
        <v/>
      </c>
      <c r="B166">
        <f>SUBSTITUTE(SUBSTITUTE(SUBSTITUTE(SUBSTITUTE(SUBSTITUTE(SUBSTITUTE(SUBSTITUTE(TRIM(INDEX(Реестр!$D:$D, ROW())), "-", ""), " ", ""), CHAR(160), ""), CHAR(9), ""), CHAR(10), ""), CHAR(13), ""), CHAR(32), "")</f>
        <v/>
      </c>
      <c r="C166">
        <f>INDEX(Реестр!$H:$H, ROW())</f>
        <v/>
      </c>
      <c r="D166">
        <f>IF(OR(ISBLANK(INDEX(Реестр!$B:$B, ROW())), INDEX(Реестр!$B:$B, ROW())=""), " ", IF(IFERROR(ISNUMBER(--A166),FALSE), IF(LEN(A166)=10, IF(MOD(MOD(H166,11),10)=--RIGHT(A166,1), "OK", "ОШИБКА"), IF(LEN(A166)=12, IF(AND(MOD(MOD(H166,11),10)=--MID(A166,11,1), MOD(MOD(I166,11),10)=--RIGHT(A166,1)), "OK", "ОШИБКА"), "ДЛИНА (10 или 12)")), "НЕ ЦИФРЫ"))</f>
        <v/>
      </c>
      <c r="E166">
        <f>MID(B166,1,1)*9+MID(B166,2,1)*8+MID(B166,3,1)*7+MID(B166,4,1)*6+MID(B166,5,1)*5+MID(B166,6,1)*4+MID(B166,7,1)*3+MID(B166,8,1)*2+MID(B166,9,1)</f>
        <v/>
      </c>
      <c r="F166">
        <f>IF(B166="", " ", IF(LEN(B166)&lt;&gt;11, "ДЛИНА", IF(NOT(ISNUMBER(--B166)), "НЕ ЦИФРЫ", IF(LEFT(B166,9)*1&lt;=1001998, "OK", IF(RIGHT(B166,2)*1=IF(MOD(E166,101)&gt;=100,0,MOD(E166,101)),"OK","ОШИБКА")))))</f>
        <v/>
      </c>
      <c r="G1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6">
        <f>IF(LEN(TRIM(A166))=10, --MID(A166,1,1)*2+--MID(A166,2,1)*4+--MID(A166,3,1)*10+--MID(A166,4,1)*3+--MID(A166,5,1)*5+--MID(A166,6,1)*9+--MID(A166,7,1)*4+--MID(A166,8,1)*6+--MID(A166,9,1)*8, IF(LEN(TRIM(A166))=12, --MID(A166,1,1)*7+--MID(A166,2,1)*2+--MID(A166,3,1)*4+--MID(A166,4,1)*10+--MID(A166,5,1)*3+--MID(A166,6,1)*5+--MID(A166,7,1)*9+--MID(A166,8,1)*4+--MID(A166,9,1)*6+--MID(A166,10,1)*8, ""))</f>
        <v/>
      </c>
      <c r="I166">
        <f>IF(LEN(TRIM(A166))=12, --MID(A166,1,1)*3+--MID(A166,2,1)*7+--MID(A166,3,1)*2+--MID(A166,4,1)*4+--MID(A166,5,1)*10+--MID(A166,6,1)*3+--MID(A166,7,1)*5+--MID(A166,8,1)*9+--MID(A166,9,1)*4+--MID(A166,10,1)*6+--MID(A166,11,1)*8, "")</f>
        <v/>
      </c>
    </row>
    <row r="167">
      <c r="A167">
        <f>SUBSTITUTE(SUBSTITUTE(SUBSTITUTE(SUBSTITUTE(TRIM(INDEX(Реестр!$B:$B,ROW())),CHAR(160),""),CHAR(9),""),CHAR(10),""),CHAR(13),"")</f>
        <v/>
      </c>
      <c r="B167">
        <f>SUBSTITUTE(SUBSTITUTE(SUBSTITUTE(SUBSTITUTE(SUBSTITUTE(SUBSTITUTE(SUBSTITUTE(TRIM(INDEX(Реестр!$D:$D, ROW())), "-", ""), " ", ""), CHAR(160), ""), CHAR(9), ""), CHAR(10), ""), CHAR(13), ""), CHAR(32), "")</f>
        <v/>
      </c>
      <c r="C167">
        <f>INDEX(Реестр!$H:$H, ROW())</f>
        <v/>
      </c>
      <c r="D167">
        <f>IF(OR(ISBLANK(INDEX(Реестр!$B:$B, ROW())), INDEX(Реестр!$B:$B, ROW())=""), " ", IF(IFERROR(ISNUMBER(--A167),FALSE), IF(LEN(A167)=10, IF(MOD(MOD(H167,11),10)=--RIGHT(A167,1), "OK", "ОШИБКА"), IF(LEN(A167)=12, IF(AND(MOD(MOD(H167,11),10)=--MID(A167,11,1), MOD(MOD(I167,11),10)=--RIGHT(A167,1)), "OK", "ОШИБКА"), "ДЛИНА (10 или 12)")), "НЕ ЦИФРЫ"))</f>
        <v/>
      </c>
      <c r="E167">
        <f>MID(B167,1,1)*9+MID(B167,2,1)*8+MID(B167,3,1)*7+MID(B167,4,1)*6+MID(B167,5,1)*5+MID(B167,6,1)*4+MID(B167,7,1)*3+MID(B167,8,1)*2+MID(B167,9,1)</f>
        <v/>
      </c>
      <c r="F167">
        <f>IF(B167="", " ", IF(LEN(B167)&lt;&gt;11, "ДЛИНА", IF(NOT(ISNUMBER(--B167)), "НЕ ЦИФРЫ", IF(LEFT(B167,9)*1&lt;=1001998, "OK", IF(RIGHT(B167,2)*1=IF(MOD(E167,101)&gt;=100,0,MOD(E167,101)),"OK","ОШИБКА")))))</f>
        <v/>
      </c>
      <c r="G1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7">
        <f>IF(LEN(TRIM(A167))=10, --MID(A167,1,1)*2+--MID(A167,2,1)*4+--MID(A167,3,1)*10+--MID(A167,4,1)*3+--MID(A167,5,1)*5+--MID(A167,6,1)*9+--MID(A167,7,1)*4+--MID(A167,8,1)*6+--MID(A167,9,1)*8, IF(LEN(TRIM(A167))=12, --MID(A167,1,1)*7+--MID(A167,2,1)*2+--MID(A167,3,1)*4+--MID(A167,4,1)*10+--MID(A167,5,1)*3+--MID(A167,6,1)*5+--MID(A167,7,1)*9+--MID(A167,8,1)*4+--MID(A167,9,1)*6+--MID(A167,10,1)*8, ""))</f>
        <v/>
      </c>
      <c r="I167">
        <f>IF(LEN(TRIM(A167))=12, --MID(A167,1,1)*3+--MID(A167,2,1)*7+--MID(A167,3,1)*2+--MID(A167,4,1)*4+--MID(A167,5,1)*10+--MID(A167,6,1)*3+--MID(A167,7,1)*5+--MID(A167,8,1)*9+--MID(A167,9,1)*4+--MID(A167,10,1)*6+--MID(A167,11,1)*8, "")</f>
        <v/>
      </c>
    </row>
    <row r="168">
      <c r="A168">
        <f>SUBSTITUTE(SUBSTITUTE(SUBSTITUTE(SUBSTITUTE(TRIM(INDEX(Реестр!$B:$B,ROW())),CHAR(160),""),CHAR(9),""),CHAR(10),""),CHAR(13),"")</f>
        <v/>
      </c>
      <c r="B168">
        <f>SUBSTITUTE(SUBSTITUTE(SUBSTITUTE(SUBSTITUTE(SUBSTITUTE(SUBSTITUTE(SUBSTITUTE(TRIM(INDEX(Реестр!$D:$D, ROW())), "-", ""), " ", ""), CHAR(160), ""), CHAR(9), ""), CHAR(10), ""), CHAR(13), ""), CHAR(32), "")</f>
        <v/>
      </c>
      <c r="C168">
        <f>INDEX(Реестр!$H:$H, ROW())</f>
        <v/>
      </c>
      <c r="D168">
        <f>IF(OR(ISBLANK(INDEX(Реестр!$B:$B, ROW())), INDEX(Реестр!$B:$B, ROW())=""), " ", IF(IFERROR(ISNUMBER(--A168),FALSE), IF(LEN(A168)=10, IF(MOD(MOD(H168,11),10)=--RIGHT(A168,1), "OK", "ОШИБКА"), IF(LEN(A168)=12, IF(AND(MOD(MOD(H168,11),10)=--MID(A168,11,1), MOD(MOD(I168,11),10)=--RIGHT(A168,1)), "OK", "ОШИБКА"), "ДЛИНА (10 или 12)")), "НЕ ЦИФРЫ"))</f>
        <v/>
      </c>
      <c r="E168">
        <f>MID(B168,1,1)*9+MID(B168,2,1)*8+MID(B168,3,1)*7+MID(B168,4,1)*6+MID(B168,5,1)*5+MID(B168,6,1)*4+MID(B168,7,1)*3+MID(B168,8,1)*2+MID(B168,9,1)</f>
        <v/>
      </c>
      <c r="F168">
        <f>IF(B168="", " ", IF(LEN(B168)&lt;&gt;11, "ДЛИНА", IF(NOT(ISNUMBER(--B168)), "НЕ ЦИФРЫ", IF(LEFT(B168,9)*1&lt;=1001998, "OK", IF(RIGHT(B168,2)*1=IF(MOD(E168,101)&gt;=100,0,MOD(E168,101)),"OK","ОШИБКА")))))</f>
        <v/>
      </c>
      <c r="G1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8">
        <f>IF(LEN(TRIM(A168))=10, --MID(A168,1,1)*2+--MID(A168,2,1)*4+--MID(A168,3,1)*10+--MID(A168,4,1)*3+--MID(A168,5,1)*5+--MID(A168,6,1)*9+--MID(A168,7,1)*4+--MID(A168,8,1)*6+--MID(A168,9,1)*8, IF(LEN(TRIM(A168))=12, --MID(A168,1,1)*7+--MID(A168,2,1)*2+--MID(A168,3,1)*4+--MID(A168,4,1)*10+--MID(A168,5,1)*3+--MID(A168,6,1)*5+--MID(A168,7,1)*9+--MID(A168,8,1)*4+--MID(A168,9,1)*6+--MID(A168,10,1)*8, ""))</f>
        <v/>
      </c>
      <c r="I168">
        <f>IF(LEN(TRIM(A168))=12, --MID(A168,1,1)*3+--MID(A168,2,1)*7+--MID(A168,3,1)*2+--MID(A168,4,1)*4+--MID(A168,5,1)*10+--MID(A168,6,1)*3+--MID(A168,7,1)*5+--MID(A168,8,1)*9+--MID(A168,9,1)*4+--MID(A168,10,1)*6+--MID(A168,11,1)*8, "")</f>
        <v/>
      </c>
    </row>
    <row r="169">
      <c r="A169">
        <f>SUBSTITUTE(SUBSTITUTE(SUBSTITUTE(SUBSTITUTE(TRIM(INDEX(Реестр!$B:$B,ROW())),CHAR(160),""),CHAR(9),""),CHAR(10),""),CHAR(13),"")</f>
        <v/>
      </c>
      <c r="B169">
        <f>SUBSTITUTE(SUBSTITUTE(SUBSTITUTE(SUBSTITUTE(SUBSTITUTE(SUBSTITUTE(SUBSTITUTE(TRIM(INDEX(Реестр!$D:$D, ROW())), "-", ""), " ", ""), CHAR(160), ""), CHAR(9), ""), CHAR(10), ""), CHAR(13), ""), CHAR(32), "")</f>
        <v/>
      </c>
      <c r="C169">
        <f>INDEX(Реестр!$H:$H, ROW())</f>
        <v/>
      </c>
      <c r="D169">
        <f>IF(OR(ISBLANK(INDEX(Реестр!$B:$B, ROW())), INDEX(Реестр!$B:$B, ROW())=""), " ", IF(IFERROR(ISNUMBER(--A169),FALSE), IF(LEN(A169)=10, IF(MOD(MOD(H169,11),10)=--RIGHT(A169,1), "OK", "ОШИБКА"), IF(LEN(A169)=12, IF(AND(MOD(MOD(H169,11),10)=--MID(A169,11,1), MOD(MOD(I169,11),10)=--RIGHT(A169,1)), "OK", "ОШИБКА"), "ДЛИНА (10 или 12)")), "НЕ ЦИФРЫ"))</f>
        <v/>
      </c>
      <c r="E169">
        <f>MID(B169,1,1)*9+MID(B169,2,1)*8+MID(B169,3,1)*7+MID(B169,4,1)*6+MID(B169,5,1)*5+MID(B169,6,1)*4+MID(B169,7,1)*3+MID(B169,8,1)*2+MID(B169,9,1)</f>
        <v/>
      </c>
      <c r="F169">
        <f>IF(B169="", " ", IF(LEN(B169)&lt;&gt;11, "ДЛИНА", IF(NOT(ISNUMBER(--B169)), "НЕ ЦИФРЫ", IF(LEFT(B169,9)*1&lt;=1001998, "OK", IF(RIGHT(B169,2)*1=IF(MOD(E169,101)&gt;=100,0,MOD(E169,101)),"OK","ОШИБКА")))))</f>
        <v/>
      </c>
      <c r="G1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69">
        <f>IF(LEN(TRIM(A169))=10, --MID(A169,1,1)*2+--MID(A169,2,1)*4+--MID(A169,3,1)*10+--MID(A169,4,1)*3+--MID(A169,5,1)*5+--MID(A169,6,1)*9+--MID(A169,7,1)*4+--MID(A169,8,1)*6+--MID(A169,9,1)*8, IF(LEN(TRIM(A169))=12, --MID(A169,1,1)*7+--MID(A169,2,1)*2+--MID(A169,3,1)*4+--MID(A169,4,1)*10+--MID(A169,5,1)*3+--MID(A169,6,1)*5+--MID(A169,7,1)*9+--MID(A169,8,1)*4+--MID(A169,9,1)*6+--MID(A169,10,1)*8, ""))</f>
        <v/>
      </c>
      <c r="I169">
        <f>IF(LEN(TRIM(A169))=12, --MID(A169,1,1)*3+--MID(A169,2,1)*7+--MID(A169,3,1)*2+--MID(A169,4,1)*4+--MID(A169,5,1)*10+--MID(A169,6,1)*3+--MID(A169,7,1)*5+--MID(A169,8,1)*9+--MID(A169,9,1)*4+--MID(A169,10,1)*6+--MID(A169,11,1)*8, "")</f>
        <v/>
      </c>
    </row>
    <row r="170">
      <c r="A170">
        <f>SUBSTITUTE(SUBSTITUTE(SUBSTITUTE(SUBSTITUTE(TRIM(INDEX(Реестр!$B:$B,ROW())),CHAR(160),""),CHAR(9),""),CHAR(10),""),CHAR(13),"")</f>
        <v/>
      </c>
      <c r="B170">
        <f>SUBSTITUTE(SUBSTITUTE(SUBSTITUTE(SUBSTITUTE(SUBSTITUTE(SUBSTITUTE(SUBSTITUTE(TRIM(INDEX(Реестр!$D:$D, ROW())), "-", ""), " ", ""), CHAR(160), ""), CHAR(9), ""), CHAR(10), ""), CHAR(13), ""), CHAR(32), "")</f>
        <v/>
      </c>
      <c r="C170">
        <f>INDEX(Реестр!$H:$H, ROW())</f>
        <v/>
      </c>
      <c r="D170">
        <f>IF(OR(ISBLANK(INDEX(Реестр!$B:$B, ROW())), INDEX(Реестр!$B:$B, ROW())=""), " ", IF(IFERROR(ISNUMBER(--A170),FALSE), IF(LEN(A170)=10, IF(MOD(MOD(H170,11),10)=--RIGHT(A170,1), "OK", "ОШИБКА"), IF(LEN(A170)=12, IF(AND(MOD(MOD(H170,11),10)=--MID(A170,11,1), MOD(MOD(I170,11),10)=--RIGHT(A170,1)), "OK", "ОШИБКА"), "ДЛИНА (10 или 12)")), "НЕ ЦИФРЫ"))</f>
        <v/>
      </c>
      <c r="E170">
        <f>MID(B170,1,1)*9+MID(B170,2,1)*8+MID(B170,3,1)*7+MID(B170,4,1)*6+MID(B170,5,1)*5+MID(B170,6,1)*4+MID(B170,7,1)*3+MID(B170,8,1)*2+MID(B170,9,1)</f>
        <v/>
      </c>
      <c r="F170">
        <f>IF(B170="", " ", IF(LEN(B170)&lt;&gt;11, "ДЛИНА", IF(NOT(ISNUMBER(--B170)), "НЕ ЦИФРЫ", IF(LEFT(B170,9)*1&lt;=1001998, "OK", IF(RIGHT(B170,2)*1=IF(MOD(E170,101)&gt;=100,0,MOD(E170,101)),"OK","ОШИБКА")))))</f>
        <v/>
      </c>
      <c r="G1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0">
        <f>IF(LEN(TRIM(A170))=10, --MID(A170,1,1)*2+--MID(A170,2,1)*4+--MID(A170,3,1)*10+--MID(A170,4,1)*3+--MID(A170,5,1)*5+--MID(A170,6,1)*9+--MID(A170,7,1)*4+--MID(A170,8,1)*6+--MID(A170,9,1)*8, IF(LEN(TRIM(A170))=12, --MID(A170,1,1)*7+--MID(A170,2,1)*2+--MID(A170,3,1)*4+--MID(A170,4,1)*10+--MID(A170,5,1)*3+--MID(A170,6,1)*5+--MID(A170,7,1)*9+--MID(A170,8,1)*4+--MID(A170,9,1)*6+--MID(A170,10,1)*8, ""))</f>
        <v/>
      </c>
      <c r="I170">
        <f>IF(LEN(TRIM(A170))=12, --MID(A170,1,1)*3+--MID(A170,2,1)*7+--MID(A170,3,1)*2+--MID(A170,4,1)*4+--MID(A170,5,1)*10+--MID(A170,6,1)*3+--MID(A170,7,1)*5+--MID(A170,8,1)*9+--MID(A170,9,1)*4+--MID(A170,10,1)*6+--MID(A170,11,1)*8, "")</f>
        <v/>
      </c>
    </row>
    <row r="171">
      <c r="A171">
        <f>SUBSTITUTE(SUBSTITUTE(SUBSTITUTE(SUBSTITUTE(TRIM(INDEX(Реестр!$B:$B,ROW())),CHAR(160),""),CHAR(9),""),CHAR(10),""),CHAR(13),"")</f>
        <v/>
      </c>
      <c r="B171">
        <f>SUBSTITUTE(SUBSTITUTE(SUBSTITUTE(SUBSTITUTE(SUBSTITUTE(SUBSTITUTE(SUBSTITUTE(TRIM(INDEX(Реестр!$D:$D, ROW())), "-", ""), " ", ""), CHAR(160), ""), CHAR(9), ""), CHAR(10), ""), CHAR(13), ""), CHAR(32), "")</f>
        <v/>
      </c>
      <c r="C171">
        <f>INDEX(Реестр!$H:$H, ROW())</f>
        <v/>
      </c>
      <c r="D171">
        <f>IF(OR(ISBLANK(INDEX(Реестр!$B:$B, ROW())), INDEX(Реестр!$B:$B, ROW())=""), " ", IF(IFERROR(ISNUMBER(--A171),FALSE), IF(LEN(A171)=10, IF(MOD(MOD(H171,11),10)=--RIGHT(A171,1), "OK", "ОШИБКА"), IF(LEN(A171)=12, IF(AND(MOD(MOD(H171,11),10)=--MID(A171,11,1), MOD(MOD(I171,11),10)=--RIGHT(A171,1)), "OK", "ОШИБКА"), "ДЛИНА (10 или 12)")), "НЕ ЦИФРЫ"))</f>
        <v/>
      </c>
      <c r="E171">
        <f>MID(B171,1,1)*9+MID(B171,2,1)*8+MID(B171,3,1)*7+MID(B171,4,1)*6+MID(B171,5,1)*5+MID(B171,6,1)*4+MID(B171,7,1)*3+MID(B171,8,1)*2+MID(B171,9,1)</f>
        <v/>
      </c>
      <c r="F171">
        <f>IF(B171="", " ", IF(LEN(B171)&lt;&gt;11, "ДЛИНА", IF(NOT(ISNUMBER(--B171)), "НЕ ЦИФРЫ", IF(LEFT(B171,9)*1&lt;=1001998, "OK", IF(RIGHT(B171,2)*1=IF(MOD(E171,101)&gt;=100,0,MOD(E171,101)),"OK","ОШИБКА")))))</f>
        <v/>
      </c>
      <c r="G1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1">
        <f>IF(LEN(TRIM(A171))=10, --MID(A171,1,1)*2+--MID(A171,2,1)*4+--MID(A171,3,1)*10+--MID(A171,4,1)*3+--MID(A171,5,1)*5+--MID(A171,6,1)*9+--MID(A171,7,1)*4+--MID(A171,8,1)*6+--MID(A171,9,1)*8, IF(LEN(TRIM(A171))=12, --MID(A171,1,1)*7+--MID(A171,2,1)*2+--MID(A171,3,1)*4+--MID(A171,4,1)*10+--MID(A171,5,1)*3+--MID(A171,6,1)*5+--MID(A171,7,1)*9+--MID(A171,8,1)*4+--MID(A171,9,1)*6+--MID(A171,10,1)*8, ""))</f>
        <v/>
      </c>
      <c r="I171">
        <f>IF(LEN(TRIM(A171))=12, --MID(A171,1,1)*3+--MID(A171,2,1)*7+--MID(A171,3,1)*2+--MID(A171,4,1)*4+--MID(A171,5,1)*10+--MID(A171,6,1)*3+--MID(A171,7,1)*5+--MID(A171,8,1)*9+--MID(A171,9,1)*4+--MID(A171,10,1)*6+--MID(A171,11,1)*8, "")</f>
        <v/>
      </c>
    </row>
    <row r="172">
      <c r="A172">
        <f>SUBSTITUTE(SUBSTITUTE(SUBSTITUTE(SUBSTITUTE(TRIM(INDEX(Реестр!$B:$B,ROW())),CHAR(160),""),CHAR(9),""),CHAR(10),""),CHAR(13),"")</f>
        <v/>
      </c>
      <c r="B172">
        <f>SUBSTITUTE(SUBSTITUTE(SUBSTITUTE(SUBSTITUTE(SUBSTITUTE(SUBSTITUTE(SUBSTITUTE(TRIM(INDEX(Реестр!$D:$D, ROW())), "-", ""), " ", ""), CHAR(160), ""), CHAR(9), ""), CHAR(10), ""), CHAR(13), ""), CHAR(32), "")</f>
        <v/>
      </c>
      <c r="C172">
        <f>INDEX(Реестр!$H:$H, ROW())</f>
        <v/>
      </c>
      <c r="D172">
        <f>IF(OR(ISBLANK(INDEX(Реестр!$B:$B, ROW())), INDEX(Реестр!$B:$B, ROW())=""), " ", IF(IFERROR(ISNUMBER(--A172),FALSE), IF(LEN(A172)=10, IF(MOD(MOD(H172,11),10)=--RIGHT(A172,1), "OK", "ОШИБКА"), IF(LEN(A172)=12, IF(AND(MOD(MOD(H172,11),10)=--MID(A172,11,1), MOD(MOD(I172,11),10)=--RIGHT(A172,1)), "OK", "ОШИБКА"), "ДЛИНА (10 или 12)")), "НЕ ЦИФРЫ"))</f>
        <v/>
      </c>
      <c r="E172">
        <f>MID(B172,1,1)*9+MID(B172,2,1)*8+MID(B172,3,1)*7+MID(B172,4,1)*6+MID(B172,5,1)*5+MID(B172,6,1)*4+MID(B172,7,1)*3+MID(B172,8,1)*2+MID(B172,9,1)</f>
        <v/>
      </c>
      <c r="F172">
        <f>IF(B172="", " ", IF(LEN(B172)&lt;&gt;11, "ДЛИНА", IF(NOT(ISNUMBER(--B172)), "НЕ ЦИФРЫ", IF(LEFT(B172,9)*1&lt;=1001998, "OK", IF(RIGHT(B172,2)*1=IF(MOD(E172,101)&gt;=100,0,MOD(E172,101)),"OK","ОШИБКА")))))</f>
        <v/>
      </c>
      <c r="G1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2">
        <f>IF(LEN(TRIM(A172))=10, --MID(A172,1,1)*2+--MID(A172,2,1)*4+--MID(A172,3,1)*10+--MID(A172,4,1)*3+--MID(A172,5,1)*5+--MID(A172,6,1)*9+--MID(A172,7,1)*4+--MID(A172,8,1)*6+--MID(A172,9,1)*8, IF(LEN(TRIM(A172))=12, --MID(A172,1,1)*7+--MID(A172,2,1)*2+--MID(A172,3,1)*4+--MID(A172,4,1)*10+--MID(A172,5,1)*3+--MID(A172,6,1)*5+--MID(A172,7,1)*9+--MID(A172,8,1)*4+--MID(A172,9,1)*6+--MID(A172,10,1)*8, ""))</f>
        <v/>
      </c>
      <c r="I172">
        <f>IF(LEN(TRIM(A172))=12, --MID(A172,1,1)*3+--MID(A172,2,1)*7+--MID(A172,3,1)*2+--MID(A172,4,1)*4+--MID(A172,5,1)*10+--MID(A172,6,1)*3+--MID(A172,7,1)*5+--MID(A172,8,1)*9+--MID(A172,9,1)*4+--MID(A172,10,1)*6+--MID(A172,11,1)*8, "")</f>
        <v/>
      </c>
    </row>
    <row r="173">
      <c r="A173">
        <f>SUBSTITUTE(SUBSTITUTE(SUBSTITUTE(SUBSTITUTE(TRIM(INDEX(Реестр!$B:$B,ROW())),CHAR(160),""),CHAR(9),""),CHAR(10),""),CHAR(13),"")</f>
        <v/>
      </c>
      <c r="B173">
        <f>SUBSTITUTE(SUBSTITUTE(SUBSTITUTE(SUBSTITUTE(SUBSTITUTE(SUBSTITUTE(SUBSTITUTE(TRIM(INDEX(Реестр!$D:$D, ROW())), "-", ""), " ", ""), CHAR(160), ""), CHAR(9), ""), CHAR(10), ""), CHAR(13), ""), CHAR(32), "")</f>
        <v/>
      </c>
      <c r="C173">
        <f>INDEX(Реестр!$H:$H, ROW())</f>
        <v/>
      </c>
      <c r="D173">
        <f>IF(OR(ISBLANK(INDEX(Реестр!$B:$B, ROW())), INDEX(Реестр!$B:$B, ROW())=""), " ", IF(IFERROR(ISNUMBER(--A173),FALSE), IF(LEN(A173)=10, IF(MOD(MOD(H173,11),10)=--RIGHT(A173,1), "OK", "ОШИБКА"), IF(LEN(A173)=12, IF(AND(MOD(MOD(H173,11),10)=--MID(A173,11,1), MOD(MOD(I173,11),10)=--RIGHT(A173,1)), "OK", "ОШИБКА"), "ДЛИНА (10 или 12)")), "НЕ ЦИФРЫ"))</f>
        <v/>
      </c>
      <c r="E173">
        <f>MID(B173,1,1)*9+MID(B173,2,1)*8+MID(B173,3,1)*7+MID(B173,4,1)*6+MID(B173,5,1)*5+MID(B173,6,1)*4+MID(B173,7,1)*3+MID(B173,8,1)*2+MID(B173,9,1)</f>
        <v/>
      </c>
      <c r="F173">
        <f>IF(B173="", " ", IF(LEN(B173)&lt;&gt;11, "ДЛИНА", IF(NOT(ISNUMBER(--B173)), "НЕ ЦИФРЫ", IF(LEFT(B173,9)*1&lt;=1001998, "OK", IF(RIGHT(B173,2)*1=IF(MOD(E173,101)&gt;=100,0,MOD(E173,101)),"OK","ОШИБКА")))))</f>
        <v/>
      </c>
      <c r="G1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3">
        <f>IF(LEN(TRIM(A173))=10, --MID(A173,1,1)*2+--MID(A173,2,1)*4+--MID(A173,3,1)*10+--MID(A173,4,1)*3+--MID(A173,5,1)*5+--MID(A173,6,1)*9+--MID(A173,7,1)*4+--MID(A173,8,1)*6+--MID(A173,9,1)*8, IF(LEN(TRIM(A173))=12, --MID(A173,1,1)*7+--MID(A173,2,1)*2+--MID(A173,3,1)*4+--MID(A173,4,1)*10+--MID(A173,5,1)*3+--MID(A173,6,1)*5+--MID(A173,7,1)*9+--MID(A173,8,1)*4+--MID(A173,9,1)*6+--MID(A173,10,1)*8, ""))</f>
        <v/>
      </c>
      <c r="I173">
        <f>IF(LEN(TRIM(A173))=12, --MID(A173,1,1)*3+--MID(A173,2,1)*7+--MID(A173,3,1)*2+--MID(A173,4,1)*4+--MID(A173,5,1)*10+--MID(A173,6,1)*3+--MID(A173,7,1)*5+--MID(A173,8,1)*9+--MID(A173,9,1)*4+--MID(A173,10,1)*6+--MID(A173,11,1)*8, "")</f>
        <v/>
      </c>
    </row>
    <row r="174">
      <c r="A174">
        <f>SUBSTITUTE(SUBSTITUTE(SUBSTITUTE(SUBSTITUTE(TRIM(INDEX(Реестр!$B:$B,ROW())),CHAR(160),""),CHAR(9),""),CHAR(10),""),CHAR(13),"")</f>
        <v/>
      </c>
      <c r="B174">
        <f>SUBSTITUTE(SUBSTITUTE(SUBSTITUTE(SUBSTITUTE(SUBSTITUTE(SUBSTITUTE(SUBSTITUTE(TRIM(INDEX(Реестр!$D:$D, ROW())), "-", ""), " ", ""), CHAR(160), ""), CHAR(9), ""), CHAR(10), ""), CHAR(13), ""), CHAR(32), "")</f>
        <v/>
      </c>
      <c r="C174">
        <f>INDEX(Реестр!$H:$H, ROW())</f>
        <v/>
      </c>
      <c r="D174">
        <f>IF(OR(ISBLANK(INDEX(Реестр!$B:$B, ROW())), INDEX(Реестр!$B:$B, ROW())=""), " ", IF(IFERROR(ISNUMBER(--A174),FALSE), IF(LEN(A174)=10, IF(MOD(MOD(H174,11),10)=--RIGHT(A174,1), "OK", "ОШИБКА"), IF(LEN(A174)=12, IF(AND(MOD(MOD(H174,11),10)=--MID(A174,11,1), MOD(MOD(I174,11),10)=--RIGHT(A174,1)), "OK", "ОШИБКА"), "ДЛИНА (10 или 12)")), "НЕ ЦИФРЫ"))</f>
        <v/>
      </c>
      <c r="E174">
        <f>MID(B174,1,1)*9+MID(B174,2,1)*8+MID(B174,3,1)*7+MID(B174,4,1)*6+MID(B174,5,1)*5+MID(B174,6,1)*4+MID(B174,7,1)*3+MID(B174,8,1)*2+MID(B174,9,1)</f>
        <v/>
      </c>
      <c r="F174">
        <f>IF(B174="", " ", IF(LEN(B174)&lt;&gt;11, "ДЛИНА", IF(NOT(ISNUMBER(--B174)), "НЕ ЦИФРЫ", IF(LEFT(B174,9)*1&lt;=1001998, "OK", IF(RIGHT(B174,2)*1=IF(MOD(E174,101)&gt;=100,0,MOD(E174,101)),"OK","ОШИБКА")))))</f>
        <v/>
      </c>
      <c r="G1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4">
        <f>IF(LEN(TRIM(A174))=10, --MID(A174,1,1)*2+--MID(A174,2,1)*4+--MID(A174,3,1)*10+--MID(A174,4,1)*3+--MID(A174,5,1)*5+--MID(A174,6,1)*9+--MID(A174,7,1)*4+--MID(A174,8,1)*6+--MID(A174,9,1)*8, IF(LEN(TRIM(A174))=12, --MID(A174,1,1)*7+--MID(A174,2,1)*2+--MID(A174,3,1)*4+--MID(A174,4,1)*10+--MID(A174,5,1)*3+--MID(A174,6,1)*5+--MID(A174,7,1)*9+--MID(A174,8,1)*4+--MID(A174,9,1)*6+--MID(A174,10,1)*8, ""))</f>
        <v/>
      </c>
      <c r="I174">
        <f>IF(LEN(TRIM(A174))=12, --MID(A174,1,1)*3+--MID(A174,2,1)*7+--MID(A174,3,1)*2+--MID(A174,4,1)*4+--MID(A174,5,1)*10+--MID(A174,6,1)*3+--MID(A174,7,1)*5+--MID(A174,8,1)*9+--MID(A174,9,1)*4+--MID(A174,10,1)*6+--MID(A174,11,1)*8, "")</f>
        <v/>
      </c>
    </row>
    <row r="175">
      <c r="A175">
        <f>SUBSTITUTE(SUBSTITUTE(SUBSTITUTE(SUBSTITUTE(TRIM(INDEX(Реестр!$B:$B,ROW())),CHAR(160),""),CHAR(9),""),CHAR(10),""),CHAR(13),"")</f>
        <v/>
      </c>
      <c r="B175">
        <f>SUBSTITUTE(SUBSTITUTE(SUBSTITUTE(SUBSTITUTE(SUBSTITUTE(SUBSTITUTE(SUBSTITUTE(TRIM(INDEX(Реестр!$D:$D, ROW())), "-", ""), " ", ""), CHAR(160), ""), CHAR(9), ""), CHAR(10), ""), CHAR(13), ""), CHAR(32), "")</f>
        <v/>
      </c>
      <c r="C175">
        <f>INDEX(Реестр!$H:$H, ROW())</f>
        <v/>
      </c>
      <c r="D175">
        <f>IF(OR(ISBLANK(INDEX(Реестр!$B:$B, ROW())), INDEX(Реестр!$B:$B, ROW())=""), " ", IF(IFERROR(ISNUMBER(--A175),FALSE), IF(LEN(A175)=10, IF(MOD(MOD(H175,11),10)=--RIGHT(A175,1), "OK", "ОШИБКА"), IF(LEN(A175)=12, IF(AND(MOD(MOD(H175,11),10)=--MID(A175,11,1), MOD(MOD(I175,11),10)=--RIGHT(A175,1)), "OK", "ОШИБКА"), "ДЛИНА (10 или 12)")), "НЕ ЦИФРЫ"))</f>
        <v/>
      </c>
      <c r="E175">
        <f>MID(B175,1,1)*9+MID(B175,2,1)*8+MID(B175,3,1)*7+MID(B175,4,1)*6+MID(B175,5,1)*5+MID(B175,6,1)*4+MID(B175,7,1)*3+MID(B175,8,1)*2+MID(B175,9,1)</f>
        <v/>
      </c>
      <c r="F175">
        <f>IF(B175="", " ", IF(LEN(B175)&lt;&gt;11, "ДЛИНА", IF(NOT(ISNUMBER(--B175)), "НЕ ЦИФРЫ", IF(LEFT(B175,9)*1&lt;=1001998, "OK", IF(RIGHT(B175,2)*1=IF(MOD(E175,101)&gt;=100,0,MOD(E175,101)),"OK","ОШИБКА")))))</f>
        <v/>
      </c>
      <c r="G1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5">
        <f>IF(LEN(TRIM(A175))=10, --MID(A175,1,1)*2+--MID(A175,2,1)*4+--MID(A175,3,1)*10+--MID(A175,4,1)*3+--MID(A175,5,1)*5+--MID(A175,6,1)*9+--MID(A175,7,1)*4+--MID(A175,8,1)*6+--MID(A175,9,1)*8, IF(LEN(TRIM(A175))=12, --MID(A175,1,1)*7+--MID(A175,2,1)*2+--MID(A175,3,1)*4+--MID(A175,4,1)*10+--MID(A175,5,1)*3+--MID(A175,6,1)*5+--MID(A175,7,1)*9+--MID(A175,8,1)*4+--MID(A175,9,1)*6+--MID(A175,10,1)*8, ""))</f>
        <v/>
      </c>
      <c r="I175">
        <f>IF(LEN(TRIM(A175))=12, --MID(A175,1,1)*3+--MID(A175,2,1)*7+--MID(A175,3,1)*2+--MID(A175,4,1)*4+--MID(A175,5,1)*10+--MID(A175,6,1)*3+--MID(A175,7,1)*5+--MID(A175,8,1)*9+--MID(A175,9,1)*4+--MID(A175,10,1)*6+--MID(A175,11,1)*8, "")</f>
        <v/>
      </c>
    </row>
    <row r="176">
      <c r="A176">
        <f>SUBSTITUTE(SUBSTITUTE(SUBSTITUTE(SUBSTITUTE(TRIM(INDEX(Реестр!$B:$B,ROW())),CHAR(160),""),CHAR(9),""),CHAR(10),""),CHAR(13),"")</f>
        <v/>
      </c>
      <c r="B176">
        <f>SUBSTITUTE(SUBSTITUTE(SUBSTITUTE(SUBSTITUTE(SUBSTITUTE(SUBSTITUTE(SUBSTITUTE(TRIM(INDEX(Реестр!$D:$D, ROW())), "-", ""), " ", ""), CHAR(160), ""), CHAR(9), ""), CHAR(10), ""), CHAR(13), ""), CHAR(32), "")</f>
        <v/>
      </c>
      <c r="C176">
        <f>INDEX(Реестр!$H:$H, ROW())</f>
        <v/>
      </c>
      <c r="D176">
        <f>IF(OR(ISBLANK(INDEX(Реестр!$B:$B, ROW())), INDEX(Реестр!$B:$B, ROW())=""), " ", IF(IFERROR(ISNUMBER(--A176),FALSE), IF(LEN(A176)=10, IF(MOD(MOD(H176,11),10)=--RIGHT(A176,1), "OK", "ОШИБКА"), IF(LEN(A176)=12, IF(AND(MOD(MOD(H176,11),10)=--MID(A176,11,1), MOD(MOD(I176,11),10)=--RIGHT(A176,1)), "OK", "ОШИБКА"), "ДЛИНА (10 или 12)")), "НЕ ЦИФРЫ"))</f>
        <v/>
      </c>
      <c r="E176">
        <f>MID(B176,1,1)*9+MID(B176,2,1)*8+MID(B176,3,1)*7+MID(B176,4,1)*6+MID(B176,5,1)*5+MID(B176,6,1)*4+MID(B176,7,1)*3+MID(B176,8,1)*2+MID(B176,9,1)</f>
        <v/>
      </c>
      <c r="F176">
        <f>IF(B176="", " ", IF(LEN(B176)&lt;&gt;11, "ДЛИНА", IF(NOT(ISNUMBER(--B176)), "НЕ ЦИФРЫ", IF(LEFT(B176,9)*1&lt;=1001998, "OK", IF(RIGHT(B176,2)*1=IF(MOD(E176,101)&gt;=100,0,MOD(E176,101)),"OK","ОШИБКА")))))</f>
        <v/>
      </c>
      <c r="G1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6">
        <f>IF(LEN(TRIM(A176))=10, --MID(A176,1,1)*2+--MID(A176,2,1)*4+--MID(A176,3,1)*10+--MID(A176,4,1)*3+--MID(A176,5,1)*5+--MID(A176,6,1)*9+--MID(A176,7,1)*4+--MID(A176,8,1)*6+--MID(A176,9,1)*8, IF(LEN(TRIM(A176))=12, --MID(A176,1,1)*7+--MID(A176,2,1)*2+--MID(A176,3,1)*4+--MID(A176,4,1)*10+--MID(A176,5,1)*3+--MID(A176,6,1)*5+--MID(A176,7,1)*9+--MID(A176,8,1)*4+--MID(A176,9,1)*6+--MID(A176,10,1)*8, ""))</f>
        <v/>
      </c>
      <c r="I176">
        <f>IF(LEN(TRIM(A176))=12, --MID(A176,1,1)*3+--MID(A176,2,1)*7+--MID(A176,3,1)*2+--MID(A176,4,1)*4+--MID(A176,5,1)*10+--MID(A176,6,1)*3+--MID(A176,7,1)*5+--MID(A176,8,1)*9+--MID(A176,9,1)*4+--MID(A176,10,1)*6+--MID(A176,11,1)*8, "")</f>
        <v/>
      </c>
    </row>
    <row r="177">
      <c r="A177">
        <f>SUBSTITUTE(SUBSTITUTE(SUBSTITUTE(SUBSTITUTE(TRIM(INDEX(Реестр!$B:$B,ROW())),CHAR(160),""),CHAR(9),""),CHAR(10),""),CHAR(13),"")</f>
        <v/>
      </c>
      <c r="B177">
        <f>SUBSTITUTE(SUBSTITUTE(SUBSTITUTE(SUBSTITUTE(SUBSTITUTE(SUBSTITUTE(SUBSTITUTE(TRIM(INDEX(Реестр!$D:$D, ROW())), "-", ""), " ", ""), CHAR(160), ""), CHAR(9), ""), CHAR(10), ""), CHAR(13), ""), CHAR(32), "")</f>
        <v/>
      </c>
      <c r="C177">
        <f>INDEX(Реестр!$H:$H, ROW())</f>
        <v/>
      </c>
      <c r="D177">
        <f>IF(OR(ISBLANK(INDEX(Реестр!$B:$B, ROW())), INDEX(Реестр!$B:$B, ROW())=""), " ", IF(IFERROR(ISNUMBER(--A177),FALSE), IF(LEN(A177)=10, IF(MOD(MOD(H177,11),10)=--RIGHT(A177,1), "OK", "ОШИБКА"), IF(LEN(A177)=12, IF(AND(MOD(MOD(H177,11),10)=--MID(A177,11,1), MOD(MOD(I177,11),10)=--RIGHT(A177,1)), "OK", "ОШИБКА"), "ДЛИНА (10 или 12)")), "НЕ ЦИФРЫ"))</f>
        <v/>
      </c>
      <c r="E177">
        <f>MID(B177,1,1)*9+MID(B177,2,1)*8+MID(B177,3,1)*7+MID(B177,4,1)*6+MID(B177,5,1)*5+MID(B177,6,1)*4+MID(B177,7,1)*3+MID(B177,8,1)*2+MID(B177,9,1)</f>
        <v/>
      </c>
      <c r="F177">
        <f>IF(B177="", " ", IF(LEN(B177)&lt;&gt;11, "ДЛИНА", IF(NOT(ISNUMBER(--B177)), "НЕ ЦИФРЫ", IF(LEFT(B177,9)*1&lt;=1001998, "OK", IF(RIGHT(B177,2)*1=IF(MOD(E177,101)&gt;=100,0,MOD(E177,101)),"OK","ОШИБКА")))))</f>
        <v/>
      </c>
      <c r="G1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7">
        <f>IF(LEN(TRIM(A177))=10, --MID(A177,1,1)*2+--MID(A177,2,1)*4+--MID(A177,3,1)*10+--MID(A177,4,1)*3+--MID(A177,5,1)*5+--MID(A177,6,1)*9+--MID(A177,7,1)*4+--MID(A177,8,1)*6+--MID(A177,9,1)*8, IF(LEN(TRIM(A177))=12, --MID(A177,1,1)*7+--MID(A177,2,1)*2+--MID(A177,3,1)*4+--MID(A177,4,1)*10+--MID(A177,5,1)*3+--MID(A177,6,1)*5+--MID(A177,7,1)*9+--MID(A177,8,1)*4+--MID(A177,9,1)*6+--MID(A177,10,1)*8, ""))</f>
        <v/>
      </c>
      <c r="I177">
        <f>IF(LEN(TRIM(A177))=12, --MID(A177,1,1)*3+--MID(A177,2,1)*7+--MID(A177,3,1)*2+--MID(A177,4,1)*4+--MID(A177,5,1)*10+--MID(A177,6,1)*3+--MID(A177,7,1)*5+--MID(A177,8,1)*9+--MID(A177,9,1)*4+--MID(A177,10,1)*6+--MID(A177,11,1)*8, "")</f>
        <v/>
      </c>
    </row>
    <row r="178">
      <c r="A178">
        <f>SUBSTITUTE(SUBSTITUTE(SUBSTITUTE(SUBSTITUTE(TRIM(INDEX(Реестр!$B:$B,ROW())),CHAR(160),""),CHAR(9),""),CHAR(10),""),CHAR(13),"")</f>
        <v/>
      </c>
      <c r="B178">
        <f>SUBSTITUTE(SUBSTITUTE(SUBSTITUTE(SUBSTITUTE(SUBSTITUTE(SUBSTITUTE(SUBSTITUTE(TRIM(INDEX(Реестр!$D:$D, ROW())), "-", ""), " ", ""), CHAR(160), ""), CHAR(9), ""), CHAR(10), ""), CHAR(13), ""), CHAR(32), "")</f>
        <v/>
      </c>
      <c r="C178">
        <f>INDEX(Реестр!$H:$H, ROW())</f>
        <v/>
      </c>
      <c r="D178">
        <f>IF(OR(ISBLANK(INDEX(Реестр!$B:$B, ROW())), INDEX(Реестр!$B:$B, ROW())=""), " ", IF(IFERROR(ISNUMBER(--A178),FALSE), IF(LEN(A178)=10, IF(MOD(MOD(H178,11),10)=--RIGHT(A178,1), "OK", "ОШИБКА"), IF(LEN(A178)=12, IF(AND(MOD(MOD(H178,11),10)=--MID(A178,11,1), MOD(MOD(I178,11),10)=--RIGHT(A178,1)), "OK", "ОШИБКА"), "ДЛИНА (10 или 12)")), "НЕ ЦИФРЫ"))</f>
        <v/>
      </c>
      <c r="E178">
        <f>MID(B178,1,1)*9+MID(B178,2,1)*8+MID(B178,3,1)*7+MID(B178,4,1)*6+MID(B178,5,1)*5+MID(B178,6,1)*4+MID(B178,7,1)*3+MID(B178,8,1)*2+MID(B178,9,1)</f>
        <v/>
      </c>
      <c r="F178">
        <f>IF(B178="", " ", IF(LEN(B178)&lt;&gt;11, "ДЛИНА", IF(NOT(ISNUMBER(--B178)), "НЕ ЦИФРЫ", IF(LEFT(B178,9)*1&lt;=1001998, "OK", IF(RIGHT(B178,2)*1=IF(MOD(E178,101)&gt;=100,0,MOD(E178,101)),"OK","ОШИБКА")))))</f>
        <v/>
      </c>
      <c r="G1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8">
        <f>IF(LEN(TRIM(A178))=10, --MID(A178,1,1)*2+--MID(A178,2,1)*4+--MID(A178,3,1)*10+--MID(A178,4,1)*3+--MID(A178,5,1)*5+--MID(A178,6,1)*9+--MID(A178,7,1)*4+--MID(A178,8,1)*6+--MID(A178,9,1)*8, IF(LEN(TRIM(A178))=12, --MID(A178,1,1)*7+--MID(A178,2,1)*2+--MID(A178,3,1)*4+--MID(A178,4,1)*10+--MID(A178,5,1)*3+--MID(A178,6,1)*5+--MID(A178,7,1)*9+--MID(A178,8,1)*4+--MID(A178,9,1)*6+--MID(A178,10,1)*8, ""))</f>
        <v/>
      </c>
      <c r="I178">
        <f>IF(LEN(TRIM(A178))=12, --MID(A178,1,1)*3+--MID(A178,2,1)*7+--MID(A178,3,1)*2+--MID(A178,4,1)*4+--MID(A178,5,1)*10+--MID(A178,6,1)*3+--MID(A178,7,1)*5+--MID(A178,8,1)*9+--MID(A178,9,1)*4+--MID(A178,10,1)*6+--MID(A178,11,1)*8, "")</f>
        <v/>
      </c>
    </row>
    <row r="179">
      <c r="A179">
        <f>SUBSTITUTE(SUBSTITUTE(SUBSTITUTE(SUBSTITUTE(TRIM(INDEX(Реестр!$B:$B,ROW())),CHAR(160),""),CHAR(9),""),CHAR(10),""),CHAR(13),"")</f>
        <v/>
      </c>
      <c r="B179">
        <f>SUBSTITUTE(SUBSTITUTE(SUBSTITUTE(SUBSTITUTE(SUBSTITUTE(SUBSTITUTE(SUBSTITUTE(TRIM(INDEX(Реестр!$D:$D, ROW())), "-", ""), " ", ""), CHAR(160), ""), CHAR(9), ""), CHAR(10), ""), CHAR(13), ""), CHAR(32), "")</f>
        <v/>
      </c>
      <c r="C179">
        <f>INDEX(Реестр!$H:$H, ROW())</f>
        <v/>
      </c>
      <c r="D179">
        <f>IF(OR(ISBLANK(INDEX(Реестр!$B:$B, ROW())), INDEX(Реестр!$B:$B, ROW())=""), " ", IF(IFERROR(ISNUMBER(--A179),FALSE), IF(LEN(A179)=10, IF(MOD(MOD(H179,11),10)=--RIGHT(A179,1), "OK", "ОШИБКА"), IF(LEN(A179)=12, IF(AND(MOD(MOD(H179,11),10)=--MID(A179,11,1), MOD(MOD(I179,11),10)=--RIGHT(A179,1)), "OK", "ОШИБКА"), "ДЛИНА (10 или 12)")), "НЕ ЦИФРЫ"))</f>
        <v/>
      </c>
      <c r="E179">
        <f>MID(B179,1,1)*9+MID(B179,2,1)*8+MID(B179,3,1)*7+MID(B179,4,1)*6+MID(B179,5,1)*5+MID(B179,6,1)*4+MID(B179,7,1)*3+MID(B179,8,1)*2+MID(B179,9,1)</f>
        <v/>
      </c>
      <c r="F179">
        <f>IF(B179="", " ", IF(LEN(B179)&lt;&gt;11, "ДЛИНА", IF(NOT(ISNUMBER(--B179)), "НЕ ЦИФРЫ", IF(LEFT(B179,9)*1&lt;=1001998, "OK", IF(RIGHT(B179,2)*1=IF(MOD(E179,101)&gt;=100,0,MOD(E179,101)),"OK","ОШИБКА")))))</f>
        <v/>
      </c>
      <c r="G1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79">
        <f>IF(LEN(TRIM(A179))=10, --MID(A179,1,1)*2+--MID(A179,2,1)*4+--MID(A179,3,1)*10+--MID(A179,4,1)*3+--MID(A179,5,1)*5+--MID(A179,6,1)*9+--MID(A179,7,1)*4+--MID(A179,8,1)*6+--MID(A179,9,1)*8, IF(LEN(TRIM(A179))=12, --MID(A179,1,1)*7+--MID(A179,2,1)*2+--MID(A179,3,1)*4+--MID(A179,4,1)*10+--MID(A179,5,1)*3+--MID(A179,6,1)*5+--MID(A179,7,1)*9+--MID(A179,8,1)*4+--MID(A179,9,1)*6+--MID(A179,10,1)*8, ""))</f>
        <v/>
      </c>
      <c r="I179">
        <f>IF(LEN(TRIM(A179))=12, --MID(A179,1,1)*3+--MID(A179,2,1)*7+--MID(A179,3,1)*2+--MID(A179,4,1)*4+--MID(A179,5,1)*10+--MID(A179,6,1)*3+--MID(A179,7,1)*5+--MID(A179,8,1)*9+--MID(A179,9,1)*4+--MID(A179,10,1)*6+--MID(A179,11,1)*8, "")</f>
        <v/>
      </c>
    </row>
    <row r="180">
      <c r="A180">
        <f>SUBSTITUTE(SUBSTITUTE(SUBSTITUTE(SUBSTITUTE(TRIM(INDEX(Реестр!$B:$B,ROW())),CHAR(160),""),CHAR(9),""),CHAR(10),""),CHAR(13),"")</f>
        <v/>
      </c>
      <c r="B180">
        <f>SUBSTITUTE(SUBSTITUTE(SUBSTITUTE(SUBSTITUTE(SUBSTITUTE(SUBSTITUTE(SUBSTITUTE(TRIM(INDEX(Реестр!$D:$D, ROW())), "-", ""), " ", ""), CHAR(160), ""), CHAR(9), ""), CHAR(10), ""), CHAR(13), ""), CHAR(32), "")</f>
        <v/>
      </c>
      <c r="C180">
        <f>INDEX(Реестр!$H:$H, ROW())</f>
        <v/>
      </c>
      <c r="D180">
        <f>IF(OR(ISBLANK(INDEX(Реестр!$B:$B, ROW())), INDEX(Реестр!$B:$B, ROW())=""), " ", IF(IFERROR(ISNUMBER(--A180),FALSE), IF(LEN(A180)=10, IF(MOD(MOD(H180,11),10)=--RIGHT(A180,1), "OK", "ОШИБКА"), IF(LEN(A180)=12, IF(AND(MOD(MOD(H180,11),10)=--MID(A180,11,1), MOD(MOD(I180,11),10)=--RIGHT(A180,1)), "OK", "ОШИБКА"), "ДЛИНА (10 или 12)")), "НЕ ЦИФРЫ"))</f>
        <v/>
      </c>
      <c r="E180">
        <f>MID(B180,1,1)*9+MID(B180,2,1)*8+MID(B180,3,1)*7+MID(B180,4,1)*6+MID(B180,5,1)*5+MID(B180,6,1)*4+MID(B180,7,1)*3+MID(B180,8,1)*2+MID(B180,9,1)</f>
        <v/>
      </c>
      <c r="F180">
        <f>IF(B180="", " ", IF(LEN(B180)&lt;&gt;11, "ДЛИНА", IF(NOT(ISNUMBER(--B180)), "НЕ ЦИФРЫ", IF(LEFT(B180,9)*1&lt;=1001998, "OK", IF(RIGHT(B180,2)*1=IF(MOD(E180,101)&gt;=100,0,MOD(E180,101)),"OK","ОШИБКА")))))</f>
        <v/>
      </c>
      <c r="G1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0">
        <f>IF(LEN(TRIM(A180))=10, --MID(A180,1,1)*2+--MID(A180,2,1)*4+--MID(A180,3,1)*10+--MID(A180,4,1)*3+--MID(A180,5,1)*5+--MID(A180,6,1)*9+--MID(A180,7,1)*4+--MID(A180,8,1)*6+--MID(A180,9,1)*8, IF(LEN(TRIM(A180))=12, --MID(A180,1,1)*7+--MID(A180,2,1)*2+--MID(A180,3,1)*4+--MID(A180,4,1)*10+--MID(A180,5,1)*3+--MID(A180,6,1)*5+--MID(A180,7,1)*9+--MID(A180,8,1)*4+--MID(A180,9,1)*6+--MID(A180,10,1)*8, ""))</f>
        <v/>
      </c>
      <c r="I180">
        <f>IF(LEN(TRIM(A180))=12, --MID(A180,1,1)*3+--MID(A180,2,1)*7+--MID(A180,3,1)*2+--MID(A180,4,1)*4+--MID(A180,5,1)*10+--MID(A180,6,1)*3+--MID(A180,7,1)*5+--MID(A180,8,1)*9+--MID(A180,9,1)*4+--MID(A180,10,1)*6+--MID(A180,11,1)*8, "")</f>
        <v/>
      </c>
    </row>
    <row r="181">
      <c r="A181">
        <f>SUBSTITUTE(SUBSTITUTE(SUBSTITUTE(SUBSTITUTE(TRIM(INDEX(Реестр!$B:$B,ROW())),CHAR(160),""),CHAR(9),""),CHAR(10),""),CHAR(13),"")</f>
        <v/>
      </c>
      <c r="B181">
        <f>SUBSTITUTE(SUBSTITUTE(SUBSTITUTE(SUBSTITUTE(SUBSTITUTE(SUBSTITUTE(SUBSTITUTE(TRIM(INDEX(Реестр!$D:$D, ROW())), "-", ""), " ", ""), CHAR(160), ""), CHAR(9), ""), CHAR(10), ""), CHAR(13), ""), CHAR(32), "")</f>
        <v/>
      </c>
      <c r="C181">
        <f>INDEX(Реестр!$H:$H, ROW())</f>
        <v/>
      </c>
      <c r="D181">
        <f>IF(OR(ISBLANK(INDEX(Реестр!$B:$B, ROW())), INDEX(Реестр!$B:$B, ROW())=""), " ", IF(IFERROR(ISNUMBER(--A181),FALSE), IF(LEN(A181)=10, IF(MOD(MOD(H181,11),10)=--RIGHT(A181,1), "OK", "ОШИБКА"), IF(LEN(A181)=12, IF(AND(MOD(MOD(H181,11),10)=--MID(A181,11,1), MOD(MOD(I181,11),10)=--RIGHT(A181,1)), "OK", "ОШИБКА"), "ДЛИНА (10 или 12)")), "НЕ ЦИФРЫ"))</f>
        <v/>
      </c>
      <c r="E181">
        <f>MID(B181,1,1)*9+MID(B181,2,1)*8+MID(B181,3,1)*7+MID(B181,4,1)*6+MID(B181,5,1)*5+MID(B181,6,1)*4+MID(B181,7,1)*3+MID(B181,8,1)*2+MID(B181,9,1)</f>
        <v/>
      </c>
      <c r="F181">
        <f>IF(B181="", " ", IF(LEN(B181)&lt;&gt;11, "ДЛИНА", IF(NOT(ISNUMBER(--B181)), "НЕ ЦИФРЫ", IF(LEFT(B181,9)*1&lt;=1001998, "OK", IF(RIGHT(B181,2)*1=IF(MOD(E181,101)&gt;=100,0,MOD(E181,101)),"OK","ОШИБКА")))))</f>
        <v/>
      </c>
      <c r="G1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1">
        <f>IF(LEN(TRIM(A181))=10, --MID(A181,1,1)*2+--MID(A181,2,1)*4+--MID(A181,3,1)*10+--MID(A181,4,1)*3+--MID(A181,5,1)*5+--MID(A181,6,1)*9+--MID(A181,7,1)*4+--MID(A181,8,1)*6+--MID(A181,9,1)*8, IF(LEN(TRIM(A181))=12, --MID(A181,1,1)*7+--MID(A181,2,1)*2+--MID(A181,3,1)*4+--MID(A181,4,1)*10+--MID(A181,5,1)*3+--MID(A181,6,1)*5+--MID(A181,7,1)*9+--MID(A181,8,1)*4+--MID(A181,9,1)*6+--MID(A181,10,1)*8, ""))</f>
        <v/>
      </c>
      <c r="I181">
        <f>IF(LEN(TRIM(A181))=12, --MID(A181,1,1)*3+--MID(A181,2,1)*7+--MID(A181,3,1)*2+--MID(A181,4,1)*4+--MID(A181,5,1)*10+--MID(A181,6,1)*3+--MID(A181,7,1)*5+--MID(A181,8,1)*9+--MID(A181,9,1)*4+--MID(A181,10,1)*6+--MID(A181,11,1)*8, "")</f>
        <v/>
      </c>
    </row>
    <row r="182">
      <c r="A182">
        <f>SUBSTITUTE(SUBSTITUTE(SUBSTITUTE(SUBSTITUTE(TRIM(INDEX(Реестр!$B:$B,ROW())),CHAR(160),""),CHAR(9),""),CHAR(10),""),CHAR(13),"")</f>
        <v/>
      </c>
      <c r="B182">
        <f>SUBSTITUTE(SUBSTITUTE(SUBSTITUTE(SUBSTITUTE(SUBSTITUTE(SUBSTITUTE(SUBSTITUTE(TRIM(INDEX(Реестр!$D:$D, ROW())), "-", ""), " ", ""), CHAR(160), ""), CHAR(9), ""), CHAR(10), ""), CHAR(13), ""), CHAR(32), "")</f>
        <v/>
      </c>
      <c r="C182">
        <f>INDEX(Реестр!$H:$H, ROW())</f>
        <v/>
      </c>
      <c r="D182">
        <f>IF(OR(ISBLANK(INDEX(Реестр!$B:$B, ROW())), INDEX(Реестр!$B:$B, ROW())=""), " ", IF(IFERROR(ISNUMBER(--A182),FALSE), IF(LEN(A182)=10, IF(MOD(MOD(H182,11),10)=--RIGHT(A182,1), "OK", "ОШИБКА"), IF(LEN(A182)=12, IF(AND(MOD(MOD(H182,11),10)=--MID(A182,11,1), MOD(MOD(I182,11),10)=--RIGHT(A182,1)), "OK", "ОШИБКА"), "ДЛИНА (10 или 12)")), "НЕ ЦИФРЫ"))</f>
        <v/>
      </c>
      <c r="E182">
        <f>MID(B182,1,1)*9+MID(B182,2,1)*8+MID(B182,3,1)*7+MID(B182,4,1)*6+MID(B182,5,1)*5+MID(B182,6,1)*4+MID(B182,7,1)*3+MID(B182,8,1)*2+MID(B182,9,1)</f>
        <v/>
      </c>
      <c r="F182">
        <f>IF(B182="", " ", IF(LEN(B182)&lt;&gt;11, "ДЛИНА", IF(NOT(ISNUMBER(--B182)), "НЕ ЦИФРЫ", IF(LEFT(B182,9)*1&lt;=1001998, "OK", IF(RIGHT(B182,2)*1=IF(MOD(E182,101)&gt;=100,0,MOD(E182,101)),"OK","ОШИБКА")))))</f>
        <v/>
      </c>
      <c r="G1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2">
        <f>IF(LEN(TRIM(A182))=10, --MID(A182,1,1)*2+--MID(A182,2,1)*4+--MID(A182,3,1)*10+--MID(A182,4,1)*3+--MID(A182,5,1)*5+--MID(A182,6,1)*9+--MID(A182,7,1)*4+--MID(A182,8,1)*6+--MID(A182,9,1)*8, IF(LEN(TRIM(A182))=12, --MID(A182,1,1)*7+--MID(A182,2,1)*2+--MID(A182,3,1)*4+--MID(A182,4,1)*10+--MID(A182,5,1)*3+--MID(A182,6,1)*5+--MID(A182,7,1)*9+--MID(A182,8,1)*4+--MID(A182,9,1)*6+--MID(A182,10,1)*8, ""))</f>
        <v/>
      </c>
      <c r="I182">
        <f>IF(LEN(TRIM(A182))=12, --MID(A182,1,1)*3+--MID(A182,2,1)*7+--MID(A182,3,1)*2+--MID(A182,4,1)*4+--MID(A182,5,1)*10+--MID(A182,6,1)*3+--MID(A182,7,1)*5+--MID(A182,8,1)*9+--MID(A182,9,1)*4+--MID(A182,10,1)*6+--MID(A182,11,1)*8, "")</f>
        <v/>
      </c>
    </row>
    <row r="183">
      <c r="A183">
        <f>SUBSTITUTE(SUBSTITUTE(SUBSTITUTE(SUBSTITUTE(TRIM(INDEX(Реестр!$B:$B,ROW())),CHAR(160),""),CHAR(9),""),CHAR(10),""),CHAR(13),"")</f>
        <v/>
      </c>
      <c r="B183">
        <f>SUBSTITUTE(SUBSTITUTE(SUBSTITUTE(SUBSTITUTE(SUBSTITUTE(SUBSTITUTE(SUBSTITUTE(TRIM(INDEX(Реестр!$D:$D, ROW())), "-", ""), " ", ""), CHAR(160), ""), CHAR(9), ""), CHAR(10), ""), CHAR(13), ""), CHAR(32), "")</f>
        <v/>
      </c>
      <c r="C183">
        <f>INDEX(Реестр!$H:$H, ROW())</f>
        <v/>
      </c>
      <c r="D183">
        <f>IF(OR(ISBLANK(INDEX(Реестр!$B:$B, ROW())), INDEX(Реестр!$B:$B, ROW())=""), " ", IF(IFERROR(ISNUMBER(--A183),FALSE), IF(LEN(A183)=10, IF(MOD(MOD(H183,11),10)=--RIGHT(A183,1), "OK", "ОШИБКА"), IF(LEN(A183)=12, IF(AND(MOD(MOD(H183,11),10)=--MID(A183,11,1), MOD(MOD(I183,11),10)=--RIGHT(A183,1)), "OK", "ОШИБКА"), "ДЛИНА (10 или 12)")), "НЕ ЦИФРЫ"))</f>
        <v/>
      </c>
      <c r="E183">
        <f>MID(B183,1,1)*9+MID(B183,2,1)*8+MID(B183,3,1)*7+MID(B183,4,1)*6+MID(B183,5,1)*5+MID(B183,6,1)*4+MID(B183,7,1)*3+MID(B183,8,1)*2+MID(B183,9,1)</f>
        <v/>
      </c>
      <c r="F183">
        <f>IF(B183="", " ", IF(LEN(B183)&lt;&gt;11, "ДЛИНА", IF(NOT(ISNUMBER(--B183)), "НЕ ЦИФРЫ", IF(LEFT(B183,9)*1&lt;=1001998, "OK", IF(RIGHT(B183,2)*1=IF(MOD(E183,101)&gt;=100,0,MOD(E183,101)),"OK","ОШИБКА")))))</f>
        <v/>
      </c>
      <c r="G1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3">
        <f>IF(LEN(TRIM(A183))=10, --MID(A183,1,1)*2+--MID(A183,2,1)*4+--MID(A183,3,1)*10+--MID(A183,4,1)*3+--MID(A183,5,1)*5+--MID(A183,6,1)*9+--MID(A183,7,1)*4+--MID(A183,8,1)*6+--MID(A183,9,1)*8, IF(LEN(TRIM(A183))=12, --MID(A183,1,1)*7+--MID(A183,2,1)*2+--MID(A183,3,1)*4+--MID(A183,4,1)*10+--MID(A183,5,1)*3+--MID(A183,6,1)*5+--MID(A183,7,1)*9+--MID(A183,8,1)*4+--MID(A183,9,1)*6+--MID(A183,10,1)*8, ""))</f>
        <v/>
      </c>
      <c r="I183">
        <f>IF(LEN(TRIM(A183))=12, --MID(A183,1,1)*3+--MID(A183,2,1)*7+--MID(A183,3,1)*2+--MID(A183,4,1)*4+--MID(A183,5,1)*10+--MID(A183,6,1)*3+--MID(A183,7,1)*5+--MID(A183,8,1)*9+--MID(A183,9,1)*4+--MID(A183,10,1)*6+--MID(A183,11,1)*8, "")</f>
        <v/>
      </c>
    </row>
    <row r="184">
      <c r="A184">
        <f>SUBSTITUTE(SUBSTITUTE(SUBSTITUTE(SUBSTITUTE(TRIM(INDEX(Реестр!$B:$B,ROW())),CHAR(160),""),CHAR(9),""),CHAR(10),""),CHAR(13),"")</f>
        <v/>
      </c>
      <c r="B184">
        <f>SUBSTITUTE(SUBSTITUTE(SUBSTITUTE(SUBSTITUTE(SUBSTITUTE(SUBSTITUTE(SUBSTITUTE(TRIM(INDEX(Реестр!$D:$D, ROW())), "-", ""), " ", ""), CHAR(160), ""), CHAR(9), ""), CHAR(10), ""), CHAR(13), ""), CHAR(32), "")</f>
        <v/>
      </c>
      <c r="C184">
        <f>INDEX(Реестр!$H:$H, ROW())</f>
        <v/>
      </c>
      <c r="D184">
        <f>IF(OR(ISBLANK(INDEX(Реестр!$B:$B, ROW())), INDEX(Реестр!$B:$B, ROW())=""), " ", IF(IFERROR(ISNUMBER(--A184),FALSE), IF(LEN(A184)=10, IF(MOD(MOD(H184,11),10)=--RIGHT(A184,1), "OK", "ОШИБКА"), IF(LEN(A184)=12, IF(AND(MOD(MOD(H184,11),10)=--MID(A184,11,1), MOD(MOD(I184,11),10)=--RIGHT(A184,1)), "OK", "ОШИБКА"), "ДЛИНА (10 или 12)")), "НЕ ЦИФРЫ"))</f>
        <v/>
      </c>
      <c r="E184">
        <f>MID(B184,1,1)*9+MID(B184,2,1)*8+MID(B184,3,1)*7+MID(B184,4,1)*6+MID(B184,5,1)*5+MID(B184,6,1)*4+MID(B184,7,1)*3+MID(B184,8,1)*2+MID(B184,9,1)</f>
        <v/>
      </c>
      <c r="F184">
        <f>IF(B184="", " ", IF(LEN(B184)&lt;&gt;11, "ДЛИНА", IF(NOT(ISNUMBER(--B184)), "НЕ ЦИФРЫ", IF(LEFT(B184,9)*1&lt;=1001998, "OK", IF(RIGHT(B184,2)*1=IF(MOD(E184,101)&gt;=100,0,MOD(E184,101)),"OK","ОШИБКА")))))</f>
        <v/>
      </c>
      <c r="G1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4">
        <f>IF(LEN(TRIM(A184))=10, --MID(A184,1,1)*2+--MID(A184,2,1)*4+--MID(A184,3,1)*10+--MID(A184,4,1)*3+--MID(A184,5,1)*5+--MID(A184,6,1)*9+--MID(A184,7,1)*4+--MID(A184,8,1)*6+--MID(A184,9,1)*8, IF(LEN(TRIM(A184))=12, --MID(A184,1,1)*7+--MID(A184,2,1)*2+--MID(A184,3,1)*4+--MID(A184,4,1)*10+--MID(A184,5,1)*3+--MID(A184,6,1)*5+--MID(A184,7,1)*9+--MID(A184,8,1)*4+--MID(A184,9,1)*6+--MID(A184,10,1)*8, ""))</f>
        <v/>
      </c>
      <c r="I184">
        <f>IF(LEN(TRIM(A184))=12, --MID(A184,1,1)*3+--MID(A184,2,1)*7+--MID(A184,3,1)*2+--MID(A184,4,1)*4+--MID(A184,5,1)*10+--MID(A184,6,1)*3+--MID(A184,7,1)*5+--MID(A184,8,1)*9+--MID(A184,9,1)*4+--MID(A184,10,1)*6+--MID(A184,11,1)*8, "")</f>
        <v/>
      </c>
    </row>
    <row r="185">
      <c r="A185">
        <f>SUBSTITUTE(SUBSTITUTE(SUBSTITUTE(SUBSTITUTE(TRIM(INDEX(Реестр!$B:$B,ROW())),CHAR(160),""),CHAR(9),""),CHAR(10),""),CHAR(13),"")</f>
        <v/>
      </c>
      <c r="B185">
        <f>SUBSTITUTE(SUBSTITUTE(SUBSTITUTE(SUBSTITUTE(SUBSTITUTE(SUBSTITUTE(SUBSTITUTE(TRIM(INDEX(Реестр!$D:$D, ROW())), "-", ""), " ", ""), CHAR(160), ""), CHAR(9), ""), CHAR(10), ""), CHAR(13), ""), CHAR(32), "")</f>
        <v/>
      </c>
      <c r="C185">
        <f>INDEX(Реестр!$H:$H, ROW())</f>
        <v/>
      </c>
      <c r="D185">
        <f>IF(OR(ISBLANK(INDEX(Реестр!$B:$B, ROW())), INDEX(Реестр!$B:$B, ROW())=""), " ", IF(IFERROR(ISNUMBER(--A185),FALSE), IF(LEN(A185)=10, IF(MOD(MOD(H185,11),10)=--RIGHT(A185,1), "OK", "ОШИБКА"), IF(LEN(A185)=12, IF(AND(MOD(MOD(H185,11),10)=--MID(A185,11,1), MOD(MOD(I185,11),10)=--RIGHT(A185,1)), "OK", "ОШИБКА"), "ДЛИНА (10 или 12)")), "НЕ ЦИФРЫ"))</f>
        <v/>
      </c>
      <c r="E185">
        <f>MID(B185,1,1)*9+MID(B185,2,1)*8+MID(B185,3,1)*7+MID(B185,4,1)*6+MID(B185,5,1)*5+MID(B185,6,1)*4+MID(B185,7,1)*3+MID(B185,8,1)*2+MID(B185,9,1)</f>
        <v/>
      </c>
      <c r="F185">
        <f>IF(B185="", " ", IF(LEN(B185)&lt;&gt;11, "ДЛИНА", IF(NOT(ISNUMBER(--B185)), "НЕ ЦИФРЫ", IF(LEFT(B185,9)*1&lt;=1001998, "OK", IF(RIGHT(B185,2)*1=IF(MOD(E185,101)&gt;=100,0,MOD(E185,101)),"OK","ОШИБКА")))))</f>
        <v/>
      </c>
      <c r="G1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5">
        <f>IF(LEN(TRIM(A185))=10, --MID(A185,1,1)*2+--MID(A185,2,1)*4+--MID(A185,3,1)*10+--MID(A185,4,1)*3+--MID(A185,5,1)*5+--MID(A185,6,1)*9+--MID(A185,7,1)*4+--MID(A185,8,1)*6+--MID(A185,9,1)*8, IF(LEN(TRIM(A185))=12, --MID(A185,1,1)*7+--MID(A185,2,1)*2+--MID(A185,3,1)*4+--MID(A185,4,1)*10+--MID(A185,5,1)*3+--MID(A185,6,1)*5+--MID(A185,7,1)*9+--MID(A185,8,1)*4+--MID(A185,9,1)*6+--MID(A185,10,1)*8, ""))</f>
        <v/>
      </c>
      <c r="I185">
        <f>IF(LEN(TRIM(A185))=12, --MID(A185,1,1)*3+--MID(A185,2,1)*7+--MID(A185,3,1)*2+--MID(A185,4,1)*4+--MID(A185,5,1)*10+--MID(A185,6,1)*3+--MID(A185,7,1)*5+--MID(A185,8,1)*9+--MID(A185,9,1)*4+--MID(A185,10,1)*6+--MID(A185,11,1)*8, "")</f>
        <v/>
      </c>
    </row>
    <row r="186">
      <c r="A186">
        <f>SUBSTITUTE(SUBSTITUTE(SUBSTITUTE(SUBSTITUTE(TRIM(INDEX(Реестр!$B:$B,ROW())),CHAR(160),""),CHAR(9),""),CHAR(10),""),CHAR(13),"")</f>
        <v/>
      </c>
      <c r="B186">
        <f>SUBSTITUTE(SUBSTITUTE(SUBSTITUTE(SUBSTITUTE(SUBSTITUTE(SUBSTITUTE(SUBSTITUTE(TRIM(INDEX(Реестр!$D:$D, ROW())), "-", ""), " ", ""), CHAR(160), ""), CHAR(9), ""), CHAR(10), ""), CHAR(13), ""), CHAR(32), "")</f>
        <v/>
      </c>
      <c r="C186">
        <f>INDEX(Реестр!$H:$H, ROW())</f>
        <v/>
      </c>
      <c r="D186">
        <f>IF(OR(ISBLANK(INDEX(Реестр!$B:$B, ROW())), INDEX(Реестр!$B:$B, ROW())=""), " ", IF(IFERROR(ISNUMBER(--A186),FALSE), IF(LEN(A186)=10, IF(MOD(MOD(H186,11),10)=--RIGHT(A186,1), "OK", "ОШИБКА"), IF(LEN(A186)=12, IF(AND(MOD(MOD(H186,11),10)=--MID(A186,11,1), MOD(MOD(I186,11),10)=--RIGHT(A186,1)), "OK", "ОШИБКА"), "ДЛИНА (10 или 12)")), "НЕ ЦИФРЫ"))</f>
        <v/>
      </c>
      <c r="E186">
        <f>MID(B186,1,1)*9+MID(B186,2,1)*8+MID(B186,3,1)*7+MID(B186,4,1)*6+MID(B186,5,1)*5+MID(B186,6,1)*4+MID(B186,7,1)*3+MID(B186,8,1)*2+MID(B186,9,1)</f>
        <v/>
      </c>
      <c r="F186">
        <f>IF(B186="", " ", IF(LEN(B186)&lt;&gt;11, "ДЛИНА", IF(NOT(ISNUMBER(--B186)), "НЕ ЦИФРЫ", IF(LEFT(B186,9)*1&lt;=1001998, "OK", IF(RIGHT(B186,2)*1=IF(MOD(E186,101)&gt;=100,0,MOD(E186,101)),"OK","ОШИБКА")))))</f>
        <v/>
      </c>
      <c r="G1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6">
        <f>IF(LEN(TRIM(A186))=10, --MID(A186,1,1)*2+--MID(A186,2,1)*4+--MID(A186,3,1)*10+--MID(A186,4,1)*3+--MID(A186,5,1)*5+--MID(A186,6,1)*9+--MID(A186,7,1)*4+--MID(A186,8,1)*6+--MID(A186,9,1)*8, IF(LEN(TRIM(A186))=12, --MID(A186,1,1)*7+--MID(A186,2,1)*2+--MID(A186,3,1)*4+--MID(A186,4,1)*10+--MID(A186,5,1)*3+--MID(A186,6,1)*5+--MID(A186,7,1)*9+--MID(A186,8,1)*4+--MID(A186,9,1)*6+--MID(A186,10,1)*8, ""))</f>
        <v/>
      </c>
      <c r="I186">
        <f>IF(LEN(TRIM(A186))=12, --MID(A186,1,1)*3+--MID(A186,2,1)*7+--MID(A186,3,1)*2+--MID(A186,4,1)*4+--MID(A186,5,1)*10+--MID(A186,6,1)*3+--MID(A186,7,1)*5+--MID(A186,8,1)*9+--MID(A186,9,1)*4+--MID(A186,10,1)*6+--MID(A186,11,1)*8, "")</f>
        <v/>
      </c>
    </row>
    <row r="187">
      <c r="A187">
        <f>SUBSTITUTE(SUBSTITUTE(SUBSTITUTE(SUBSTITUTE(TRIM(INDEX(Реестр!$B:$B,ROW())),CHAR(160),""),CHAR(9),""),CHAR(10),""),CHAR(13),"")</f>
        <v/>
      </c>
      <c r="B187">
        <f>SUBSTITUTE(SUBSTITUTE(SUBSTITUTE(SUBSTITUTE(SUBSTITUTE(SUBSTITUTE(SUBSTITUTE(TRIM(INDEX(Реестр!$D:$D, ROW())), "-", ""), " ", ""), CHAR(160), ""), CHAR(9), ""), CHAR(10), ""), CHAR(13), ""), CHAR(32), "")</f>
        <v/>
      </c>
      <c r="C187">
        <f>INDEX(Реестр!$H:$H, ROW())</f>
        <v/>
      </c>
      <c r="D187">
        <f>IF(OR(ISBLANK(INDEX(Реестр!$B:$B, ROW())), INDEX(Реестр!$B:$B, ROW())=""), " ", IF(IFERROR(ISNUMBER(--A187),FALSE), IF(LEN(A187)=10, IF(MOD(MOD(H187,11),10)=--RIGHT(A187,1), "OK", "ОШИБКА"), IF(LEN(A187)=12, IF(AND(MOD(MOD(H187,11),10)=--MID(A187,11,1), MOD(MOD(I187,11),10)=--RIGHT(A187,1)), "OK", "ОШИБКА"), "ДЛИНА (10 или 12)")), "НЕ ЦИФРЫ"))</f>
        <v/>
      </c>
      <c r="E187">
        <f>MID(B187,1,1)*9+MID(B187,2,1)*8+MID(B187,3,1)*7+MID(B187,4,1)*6+MID(B187,5,1)*5+MID(B187,6,1)*4+MID(B187,7,1)*3+MID(B187,8,1)*2+MID(B187,9,1)</f>
        <v/>
      </c>
      <c r="F187">
        <f>IF(B187="", " ", IF(LEN(B187)&lt;&gt;11, "ДЛИНА", IF(NOT(ISNUMBER(--B187)), "НЕ ЦИФРЫ", IF(LEFT(B187,9)*1&lt;=1001998, "OK", IF(RIGHT(B187,2)*1=IF(MOD(E187,101)&gt;=100,0,MOD(E187,101)),"OK","ОШИБКА")))))</f>
        <v/>
      </c>
      <c r="G1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7">
        <f>IF(LEN(TRIM(A187))=10, --MID(A187,1,1)*2+--MID(A187,2,1)*4+--MID(A187,3,1)*10+--MID(A187,4,1)*3+--MID(A187,5,1)*5+--MID(A187,6,1)*9+--MID(A187,7,1)*4+--MID(A187,8,1)*6+--MID(A187,9,1)*8, IF(LEN(TRIM(A187))=12, --MID(A187,1,1)*7+--MID(A187,2,1)*2+--MID(A187,3,1)*4+--MID(A187,4,1)*10+--MID(A187,5,1)*3+--MID(A187,6,1)*5+--MID(A187,7,1)*9+--MID(A187,8,1)*4+--MID(A187,9,1)*6+--MID(A187,10,1)*8, ""))</f>
        <v/>
      </c>
      <c r="I187">
        <f>IF(LEN(TRIM(A187))=12, --MID(A187,1,1)*3+--MID(A187,2,1)*7+--MID(A187,3,1)*2+--MID(A187,4,1)*4+--MID(A187,5,1)*10+--MID(A187,6,1)*3+--MID(A187,7,1)*5+--MID(A187,8,1)*9+--MID(A187,9,1)*4+--MID(A187,10,1)*6+--MID(A187,11,1)*8, "")</f>
        <v/>
      </c>
    </row>
    <row r="188">
      <c r="A188">
        <f>SUBSTITUTE(SUBSTITUTE(SUBSTITUTE(SUBSTITUTE(TRIM(INDEX(Реестр!$B:$B,ROW())),CHAR(160),""),CHAR(9),""),CHAR(10),""),CHAR(13),"")</f>
        <v/>
      </c>
      <c r="B188">
        <f>SUBSTITUTE(SUBSTITUTE(SUBSTITUTE(SUBSTITUTE(SUBSTITUTE(SUBSTITUTE(SUBSTITUTE(TRIM(INDEX(Реестр!$D:$D, ROW())), "-", ""), " ", ""), CHAR(160), ""), CHAR(9), ""), CHAR(10), ""), CHAR(13), ""), CHAR(32), "")</f>
        <v/>
      </c>
      <c r="C188">
        <f>INDEX(Реестр!$H:$H, ROW())</f>
        <v/>
      </c>
      <c r="D188">
        <f>IF(OR(ISBLANK(INDEX(Реестр!$B:$B, ROW())), INDEX(Реестр!$B:$B, ROW())=""), " ", IF(IFERROR(ISNUMBER(--A188),FALSE), IF(LEN(A188)=10, IF(MOD(MOD(H188,11),10)=--RIGHT(A188,1), "OK", "ОШИБКА"), IF(LEN(A188)=12, IF(AND(MOD(MOD(H188,11),10)=--MID(A188,11,1), MOD(MOD(I188,11),10)=--RIGHT(A188,1)), "OK", "ОШИБКА"), "ДЛИНА (10 или 12)")), "НЕ ЦИФРЫ"))</f>
        <v/>
      </c>
      <c r="E188">
        <f>MID(B188,1,1)*9+MID(B188,2,1)*8+MID(B188,3,1)*7+MID(B188,4,1)*6+MID(B188,5,1)*5+MID(B188,6,1)*4+MID(B188,7,1)*3+MID(B188,8,1)*2+MID(B188,9,1)</f>
        <v/>
      </c>
      <c r="F188">
        <f>IF(B188="", " ", IF(LEN(B188)&lt;&gt;11, "ДЛИНА", IF(NOT(ISNUMBER(--B188)), "НЕ ЦИФРЫ", IF(LEFT(B188,9)*1&lt;=1001998, "OK", IF(RIGHT(B188,2)*1=IF(MOD(E188,101)&gt;=100,0,MOD(E188,101)),"OK","ОШИБКА")))))</f>
        <v/>
      </c>
      <c r="G1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8">
        <f>IF(LEN(TRIM(A188))=10, --MID(A188,1,1)*2+--MID(A188,2,1)*4+--MID(A188,3,1)*10+--MID(A188,4,1)*3+--MID(A188,5,1)*5+--MID(A188,6,1)*9+--MID(A188,7,1)*4+--MID(A188,8,1)*6+--MID(A188,9,1)*8, IF(LEN(TRIM(A188))=12, --MID(A188,1,1)*7+--MID(A188,2,1)*2+--MID(A188,3,1)*4+--MID(A188,4,1)*10+--MID(A188,5,1)*3+--MID(A188,6,1)*5+--MID(A188,7,1)*9+--MID(A188,8,1)*4+--MID(A188,9,1)*6+--MID(A188,10,1)*8, ""))</f>
        <v/>
      </c>
      <c r="I188">
        <f>IF(LEN(TRIM(A188))=12, --MID(A188,1,1)*3+--MID(A188,2,1)*7+--MID(A188,3,1)*2+--MID(A188,4,1)*4+--MID(A188,5,1)*10+--MID(A188,6,1)*3+--MID(A188,7,1)*5+--MID(A188,8,1)*9+--MID(A188,9,1)*4+--MID(A188,10,1)*6+--MID(A188,11,1)*8, "")</f>
        <v/>
      </c>
    </row>
    <row r="189">
      <c r="A189">
        <f>SUBSTITUTE(SUBSTITUTE(SUBSTITUTE(SUBSTITUTE(TRIM(INDEX(Реестр!$B:$B,ROW())),CHAR(160),""),CHAR(9),""),CHAR(10),""),CHAR(13),"")</f>
        <v/>
      </c>
      <c r="B189">
        <f>SUBSTITUTE(SUBSTITUTE(SUBSTITUTE(SUBSTITUTE(SUBSTITUTE(SUBSTITUTE(SUBSTITUTE(TRIM(INDEX(Реестр!$D:$D, ROW())), "-", ""), " ", ""), CHAR(160), ""), CHAR(9), ""), CHAR(10), ""), CHAR(13), ""), CHAR(32), "")</f>
        <v/>
      </c>
      <c r="C189">
        <f>INDEX(Реестр!$H:$H, ROW())</f>
        <v/>
      </c>
      <c r="D189">
        <f>IF(OR(ISBLANK(INDEX(Реестр!$B:$B, ROW())), INDEX(Реестр!$B:$B, ROW())=""), " ", IF(IFERROR(ISNUMBER(--A189),FALSE), IF(LEN(A189)=10, IF(MOD(MOD(H189,11),10)=--RIGHT(A189,1), "OK", "ОШИБКА"), IF(LEN(A189)=12, IF(AND(MOD(MOD(H189,11),10)=--MID(A189,11,1), MOD(MOD(I189,11),10)=--RIGHT(A189,1)), "OK", "ОШИБКА"), "ДЛИНА (10 или 12)")), "НЕ ЦИФРЫ"))</f>
        <v/>
      </c>
      <c r="E189">
        <f>MID(B189,1,1)*9+MID(B189,2,1)*8+MID(B189,3,1)*7+MID(B189,4,1)*6+MID(B189,5,1)*5+MID(B189,6,1)*4+MID(B189,7,1)*3+MID(B189,8,1)*2+MID(B189,9,1)</f>
        <v/>
      </c>
      <c r="F189">
        <f>IF(B189="", " ", IF(LEN(B189)&lt;&gt;11, "ДЛИНА", IF(NOT(ISNUMBER(--B189)), "НЕ ЦИФРЫ", IF(LEFT(B189,9)*1&lt;=1001998, "OK", IF(RIGHT(B189,2)*1=IF(MOD(E189,101)&gt;=100,0,MOD(E189,101)),"OK","ОШИБКА")))))</f>
        <v/>
      </c>
      <c r="G1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89">
        <f>IF(LEN(TRIM(A189))=10, --MID(A189,1,1)*2+--MID(A189,2,1)*4+--MID(A189,3,1)*10+--MID(A189,4,1)*3+--MID(A189,5,1)*5+--MID(A189,6,1)*9+--MID(A189,7,1)*4+--MID(A189,8,1)*6+--MID(A189,9,1)*8, IF(LEN(TRIM(A189))=12, --MID(A189,1,1)*7+--MID(A189,2,1)*2+--MID(A189,3,1)*4+--MID(A189,4,1)*10+--MID(A189,5,1)*3+--MID(A189,6,1)*5+--MID(A189,7,1)*9+--MID(A189,8,1)*4+--MID(A189,9,1)*6+--MID(A189,10,1)*8, ""))</f>
        <v/>
      </c>
      <c r="I189">
        <f>IF(LEN(TRIM(A189))=12, --MID(A189,1,1)*3+--MID(A189,2,1)*7+--MID(A189,3,1)*2+--MID(A189,4,1)*4+--MID(A189,5,1)*10+--MID(A189,6,1)*3+--MID(A189,7,1)*5+--MID(A189,8,1)*9+--MID(A189,9,1)*4+--MID(A189,10,1)*6+--MID(A189,11,1)*8, "")</f>
        <v/>
      </c>
    </row>
    <row r="190">
      <c r="A190">
        <f>SUBSTITUTE(SUBSTITUTE(SUBSTITUTE(SUBSTITUTE(TRIM(INDEX(Реестр!$B:$B,ROW())),CHAR(160),""),CHAR(9),""),CHAR(10),""),CHAR(13),"")</f>
        <v/>
      </c>
      <c r="B190">
        <f>SUBSTITUTE(SUBSTITUTE(SUBSTITUTE(SUBSTITUTE(SUBSTITUTE(SUBSTITUTE(SUBSTITUTE(TRIM(INDEX(Реестр!$D:$D, ROW())), "-", ""), " ", ""), CHAR(160), ""), CHAR(9), ""), CHAR(10), ""), CHAR(13), ""), CHAR(32), "")</f>
        <v/>
      </c>
      <c r="C190">
        <f>INDEX(Реестр!$H:$H, ROW())</f>
        <v/>
      </c>
      <c r="D190">
        <f>IF(OR(ISBLANK(INDEX(Реестр!$B:$B, ROW())), INDEX(Реестр!$B:$B, ROW())=""), " ", IF(IFERROR(ISNUMBER(--A190),FALSE), IF(LEN(A190)=10, IF(MOD(MOD(H190,11),10)=--RIGHT(A190,1), "OK", "ОШИБКА"), IF(LEN(A190)=12, IF(AND(MOD(MOD(H190,11),10)=--MID(A190,11,1), MOD(MOD(I190,11),10)=--RIGHT(A190,1)), "OK", "ОШИБКА"), "ДЛИНА (10 или 12)")), "НЕ ЦИФРЫ"))</f>
        <v/>
      </c>
      <c r="E190">
        <f>MID(B190,1,1)*9+MID(B190,2,1)*8+MID(B190,3,1)*7+MID(B190,4,1)*6+MID(B190,5,1)*5+MID(B190,6,1)*4+MID(B190,7,1)*3+MID(B190,8,1)*2+MID(B190,9,1)</f>
        <v/>
      </c>
      <c r="F190">
        <f>IF(B190="", " ", IF(LEN(B190)&lt;&gt;11, "ДЛИНА", IF(NOT(ISNUMBER(--B190)), "НЕ ЦИФРЫ", IF(LEFT(B190,9)*1&lt;=1001998, "OK", IF(RIGHT(B190,2)*1=IF(MOD(E190,101)&gt;=100,0,MOD(E190,101)),"OK","ОШИБКА")))))</f>
        <v/>
      </c>
      <c r="G1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0">
        <f>IF(LEN(TRIM(A190))=10, --MID(A190,1,1)*2+--MID(A190,2,1)*4+--MID(A190,3,1)*10+--MID(A190,4,1)*3+--MID(A190,5,1)*5+--MID(A190,6,1)*9+--MID(A190,7,1)*4+--MID(A190,8,1)*6+--MID(A190,9,1)*8, IF(LEN(TRIM(A190))=12, --MID(A190,1,1)*7+--MID(A190,2,1)*2+--MID(A190,3,1)*4+--MID(A190,4,1)*10+--MID(A190,5,1)*3+--MID(A190,6,1)*5+--MID(A190,7,1)*9+--MID(A190,8,1)*4+--MID(A190,9,1)*6+--MID(A190,10,1)*8, ""))</f>
        <v/>
      </c>
      <c r="I190">
        <f>IF(LEN(TRIM(A190))=12, --MID(A190,1,1)*3+--MID(A190,2,1)*7+--MID(A190,3,1)*2+--MID(A190,4,1)*4+--MID(A190,5,1)*10+--MID(A190,6,1)*3+--MID(A190,7,1)*5+--MID(A190,8,1)*9+--MID(A190,9,1)*4+--MID(A190,10,1)*6+--MID(A190,11,1)*8, "")</f>
        <v/>
      </c>
    </row>
    <row r="191">
      <c r="A191">
        <f>SUBSTITUTE(SUBSTITUTE(SUBSTITUTE(SUBSTITUTE(TRIM(INDEX(Реестр!$B:$B,ROW())),CHAR(160),""),CHAR(9),""),CHAR(10),""),CHAR(13),"")</f>
        <v/>
      </c>
      <c r="B191">
        <f>SUBSTITUTE(SUBSTITUTE(SUBSTITUTE(SUBSTITUTE(SUBSTITUTE(SUBSTITUTE(SUBSTITUTE(TRIM(INDEX(Реестр!$D:$D, ROW())), "-", ""), " ", ""), CHAR(160), ""), CHAR(9), ""), CHAR(10), ""), CHAR(13), ""), CHAR(32), "")</f>
        <v/>
      </c>
      <c r="C191">
        <f>INDEX(Реестр!$H:$H, ROW())</f>
        <v/>
      </c>
      <c r="D191">
        <f>IF(OR(ISBLANK(INDEX(Реестр!$B:$B, ROW())), INDEX(Реестр!$B:$B, ROW())=""), " ", IF(IFERROR(ISNUMBER(--A191),FALSE), IF(LEN(A191)=10, IF(MOD(MOD(H191,11),10)=--RIGHT(A191,1), "OK", "ОШИБКА"), IF(LEN(A191)=12, IF(AND(MOD(MOD(H191,11),10)=--MID(A191,11,1), MOD(MOD(I191,11),10)=--RIGHT(A191,1)), "OK", "ОШИБКА"), "ДЛИНА (10 или 12)")), "НЕ ЦИФРЫ"))</f>
        <v/>
      </c>
      <c r="E191">
        <f>MID(B191,1,1)*9+MID(B191,2,1)*8+MID(B191,3,1)*7+MID(B191,4,1)*6+MID(B191,5,1)*5+MID(B191,6,1)*4+MID(B191,7,1)*3+MID(B191,8,1)*2+MID(B191,9,1)</f>
        <v/>
      </c>
      <c r="F191">
        <f>IF(B191="", " ", IF(LEN(B191)&lt;&gt;11, "ДЛИНА", IF(NOT(ISNUMBER(--B191)), "НЕ ЦИФРЫ", IF(LEFT(B191,9)*1&lt;=1001998, "OK", IF(RIGHT(B191,2)*1=IF(MOD(E191,101)&gt;=100,0,MOD(E191,101)),"OK","ОШИБКА")))))</f>
        <v/>
      </c>
      <c r="G1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1">
        <f>IF(LEN(TRIM(A191))=10, --MID(A191,1,1)*2+--MID(A191,2,1)*4+--MID(A191,3,1)*10+--MID(A191,4,1)*3+--MID(A191,5,1)*5+--MID(A191,6,1)*9+--MID(A191,7,1)*4+--MID(A191,8,1)*6+--MID(A191,9,1)*8, IF(LEN(TRIM(A191))=12, --MID(A191,1,1)*7+--MID(A191,2,1)*2+--MID(A191,3,1)*4+--MID(A191,4,1)*10+--MID(A191,5,1)*3+--MID(A191,6,1)*5+--MID(A191,7,1)*9+--MID(A191,8,1)*4+--MID(A191,9,1)*6+--MID(A191,10,1)*8, ""))</f>
        <v/>
      </c>
      <c r="I191">
        <f>IF(LEN(TRIM(A191))=12, --MID(A191,1,1)*3+--MID(A191,2,1)*7+--MID(A191,3,1)*2+--MID(A191,4,1)*4+--MID(A191,5,1)*10+--MID(A191,6,1)*3+--MID(A191,7,1)*5+--MID(A191,8,1)*9+--MID(A191,9,1)*4+--MID(A191,10,1)*6+--MID(A191,11,1)*8, "")</f>
        <v/>
      </c>
    </row>
    <row r="192">
      <c r="A192">
        <f>SUBSTITUTE(SUBSTITUTE(SUBSTITUTE(SUBSTITUTE(TRIM(INDEX(Реестр!$B:$B,ROW())),CHAR(160),""),CHAR(9),""),CHAR(10),""),CHAR(13),"")</f>
        <v/>
      </c>
      <c r="B192">
        <f>SUBSTITUTE(SUBSTITUTE(SUBSTITUTE(SUBSTITUTE(SUBSTITUTE(SUBSTITUTE(SUBSTITUTE(TRIM(INDEX(Реестр!$D:$D, ROW())), "-", ""), " ", ""), CHAR(160), ""), CHAR(9), ""), CHAR(10), ""), CHAR(13), ""), CHAR(32), "")</f>
        <v/>
      </c>
      <c r="C192">
        <f>INDEX(Реестр!$H:$H, ROW())</f>
        <v/>
      </c>
      <c r="D192">
        <f>IF(OR(ISBLANK(INDEX(Реестр!$B:$B, ROW())), INDEX(Реестр!$B:$B, ROW())=""), " ", IF(IFERROR(ISNUMBER(--A192),FALSE), IF(LEN(A192)=10, IF(MOD(MOD(H192,11),10)=--RIGHT(A192,1), "OK", "ОШИБКА"), IF(LEN(A192)=12, IF(AND(MOD(MOD(H192,11),10)=--MID(A192,11,1), MOD(MOD(I192,11),10)=--RIGHT(A192,1)), "OK", "ОШИБКА"), "ДЛИНА (10 или 12)")), "НЕ ЦИФРЫ"))</f>
        <v/>
      </c>
      <c r="E192">
        <f>MID(B192,1,1)*9+MID(B192,2,1)*8+MID(B192,3,1)*7+MID(B192,4,1)*6+MID(B192,5,1)*5+MID(B192,6,1)*4+MID(B192,7,1)*3+MID(B192,8,1)*2+MID(B192,9,1)</f>
        <v/>
      </c>
      <c r="F192">
        <f>IF(B192="", " ", IF(LEN(B192)&lt;&gt;11, "ДЛИНА", IF(NOT(ISNUMBER(--B192)), "НЕ ЦИФРЫ", IF(LEFT(B192,9)*1&lt;=1001998, "OK", IF(RIGHT(B192,2)*1=IF(MOD(E192,101)&gt;=100,0,MOD(E192,101)),"OK","ОШИБКА")))))</f>
        <v/>
      </c>
      <c r="G1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2">
        <f>IF(LEN(TRIM(A192))=10, --MID(A192,1,1)*2+--MID(A192,2,1)*4+--MID(A192,3,1)*10+--MID(A192,4,1)*3+--MID(A192,5,1)*5+--MID(A192,6,1)*9+--MID(A192,7,1)*4+--MID(A192,8,1)*6+--MID(A192,9,1)*8, IF(LEN(TRIM(A192))=12, --MID(A192,1,1)*7+--MID(A192,2,1)*2+--MID(A192,3,1)*4+--MID(A192,4,1)*10+--MID(A192,5,1)*3+--MID(A192,6,1)*5+--MID(A192,7,1)*9+--MID(A192,8,1)*4+--MID(A192,9,1)*6+--MID(A192,10,1)*8, ""))</f>
        <v/>
      </c>
      <c r="I192">
        <f>IF(LEN(TRIM(A192))=12, --MID(A192,1,1)*3+--MID(A192,2,1)*7+--MID(A192,3,1)*2+--MID(A192,4,1)*4+--MID(A192,5,1)*10+--MID(A192,6,1)*3+--MID(A192,7,1)*5+--MID(A192,8,1)*9+--MID(A192,9,1)*4+--MID(A192,10,1)*6+--MID(A192,11,1)*8, "")</f>
        <v/>
      </c>
    </row>
    <row r="193">
      <c r="A193">
        <f>SUBSTITUTE(SUBSTITUTE(SUBSTITUTE(SUBSTITUTE(TRIM(INDEX(Реестр!$B:$B,ROW())),CHAR(160),""),CHAR(9),""),CHAR(10),""),CHAR(13),"")</f>
        <v/>
      </c>
      <c r="B193">
        <f>SUBSTITUTE(SUBSTITUTE(SUBSTITUTE(SUBSTITUTE(SUBSTITUTE(SUBSTITUTE(SUBSTITUTE(TRIM(INDEX(Реестр!$D:$D, ROW())), "-", ""), " ", ""), CHAR(160), ""), CHAR(9), ""), CHAR(10), ""), CHAR(13), ""), CHAR(32), "")</f>
        <v/>
      </c>
      <c r="C193">
        <f>INDEX(Реестр!$H:$H, ROW())</f>
        <v/>
      </c>
      <c r="D193">
        <f>IF(OR(ISBLANK(INDEX(Реестр!$B:$B, ROW())), INDEX(Реестр!$B:$B, ROW())=""), " ", IF(IFERROR(ISNUMBER(--A193),FALSE), IF(LEN(A193)=10, IF(MOD(MOD(H193,11),10)=--RIGHT(A193,1), "OK", "ОШИБКА"), IF(LEN(A193)=12, IF(AND(MOD(MOD(H193,11),10)=--MID(A193,11,1), MOD(MOD(I193,11),10)=--RIGHT(A193,1)), "OK", "ОШИБКА"), "ДЛИНА (10 или 12)")), "НЕ ЦИФРЫ"))</f>
        <v/>
      </c>
      <c r="E193">
        <f>MID(B193,1,1)*9+MID(B193,2,1)*8+MID(B193,3,1)*7+MID(B193,4,1)*6+MID(B193,5,1)*5+MID(B193,6,1)*4+MID(B193,7,1)*3+MID(B193,8,1)*2+MID(B193,9,1)</f>
        <v/>
      </c>
      <c r="F193">
        <f>IF(B193="", " ", IF(LEN(B193)&lt;&gt;11, "ДЛИНА", IF(NOT(ISNUMBER(--B193)), "НЕ ЦИФРЫ", IF(LEFT(B193,9)*1&lt;=1001998, "OK", IF(RIGHT(B193,2)*1=IF(MOD(E193,101)&gt;=100,0,MOD(E193,101)),"OK","ОШИБКА")))))</f>
        <v/>
      </c>
      <c r="G1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3">
        <f>IF(LEN(TRIM(A193))=10, --MID(A193,1,1)*2+--MID(A193,2,1)*4+--MID(A193,3,1)*10+--MID(A193,4,1)*3+--MID(A193,5,1)*5+--MID(A193,6,1)*9+--MID(A193,7,1)*4+--MID(A193,8,1)*6+--MID(A193,9,1)*8, IF(LEN(TRIM(A193))=12, --MID(A193,1,1)*7+--MID(A193,2,1)*2+--MID(A193,3,1)*4+--MID(A193,4,1)*10+--MID(A193,5,1)*3+--MID(A193,6,1)*5+--MID(A193,7,1)*9+--MID(A193,8,1)*4+--MID(A193,9,1)*6+--MID(A193,10,1)*8, ""))</f>
        <v/>
      </c>
      <c r="I193">
        <f>IF(LEN(TRIM(A193))=12, --MID(A193,1,1)*3+--MID(A193,2,1)*7+--MID(A193,3,1)*2+--MID(A193,4,1)*4+--MID(A193,5,1)*10+--MID(A193,6,1)*3+--MID(A193,7,1)*5+--MID(A193,8,1)*9+--MID(A193,9,1)*4+--MID(A193,10,1)*6+--MID(A193,11,1)*8, "")</f>
        <v/>
      </c>
    </row>
    <row r="194">
      <c r="A194">
        <f>SUBSTITUTE(SUBSTITUTE(SUBSTITUTE(SUBSTITUTE(TRIM(INDEX(Реестр!$B:$B,ROW())),CHAR(160),""),CHAR(9),""),CHAR(10),""),CHAR(13),"")</f>
        <v/>
      </c>
      <c r="B194">
        <f>SUBSTITUTE(SUBSTITUTE(SUBSTITUTE(SUBSTITUTE(SUBSTITUTE(SUBSTITUTE(SUBSTITUTE(TRIM(INDEX(Реестр!$D:$D, ROW())), "-", ""), " ", ""), CHAR(160), ""), CHAR(9), ""), CHAR(10), ""), CHAR(13), ""), CHAR(32), "")</f>
        <v/>
      </c>
      <c r="C194">
        <f>INDEX(Реестр!$H:$H, ROW())</f>
        <v/>
      </c>
      <c r="D194">
        <f>IF(OR(ISBLANK(INDEX(Реестр!$B:$B, ROW())), INDEX(Реестр!$B:$B, ROW())=""), " ", IF(IFERROR(ISNUMBER(--A194),FALSE), IF(LEN(A194)=10, IF(MOD(MOD(H194,11),10)=--RIGHT(A194,1), "OK", "ОШИБКА"), IF(LEN(A194)=12, IF(AND(MOD(MOD(H194,11),10)=--MID(A194,11,1), MOD(MOD(I194,11),10)=--RIGHT(A194,1)), "OK", "ОШИБКА"), "ДЛИНА (10 или 12)")), "НЕ ЦИФРЫ"))</f>
        <v/>
      </c>
      <c r="E194">
        <f>MID(B194,1,1)*9+MID(B194,2,1)*8+MID(B194,3,1)*7+MID(B194,4,1)*6+MID(B194,5,1)*5+MID(B194,6,1)*4+MID(B194,7,1)*3+MID(B194,8,1)*2+MID(B194,9,1)</f>
        <v/>
      </c>
      <c r="F194">
        <f>IF(B194="", " ", IF(LEN(B194)&lt;&gt;11, "ДЛИНА", IF(NOT(ISNUMBER(--B194)), "НЕ ЦИФРЫ", IF(LEFT(B194,9)*1&lt;=1001998, "OK", IF(RIGHT(B194,2)*1=IF(MOD(E194,101)&gt;=100,0,MOD(E194,101)),"OK","ОШИБКА")))))</f>
        <v/>
      </c>
      <c r="G1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4">
        <f>IF(LEN(TRIM(A194))=10, --MID(A194,1,1)*2+--MID(A194,2,1)*4+--MID(A194,3,1)*10+--MID(A194,4,1)*3+--MID(A194,5,1)*5+--MID(A194,6,1)*9+--MID(A194,7,1)*4+--MID(A194,8,1)*6+--MID(A194,9,1)*8, IF(LEN(TRIM(A194))=12, --MID(A194,1,1)*7+--MID(A194,2,1)*2+--MID(A194,3,1)*4+--MID(A194,4,1)*10+--MID(A194,5,1)*3+--MID(A194,6,1)*5+--MID(A194,7,1)*9+--MID(A194,8,1)*4+--MID(A194,9,1)*6+--MID(A194,10,1)*8, ""))</f>
        <v/>
      </c>
      <c r="I194">
        <f>IF(LEN(TRIM(A194))=12, --MID(A194,1,1)*3+--MID(A194,2,1)*7+--MID(A194,3,1)*2+--MID(A194,4,1)*4+--MID(A194,5,1)*10+--MID(A194,6,1)*3+--MID(A194,7,1)*5+--MID(A194,8,1)*9+--MID(A194,9,1)*4+--MID(A194,10,1)*6+--MID(A194,11,1)*8, "")</f>
        <v/>
      </c>
    </row>
    <row r="195">
      <c r="A195">
        <f>SUBSTITUTE(SUBSTITUTE(SUBSTITUTE(SUBSTITUTE(TRIM(INDEX(Реестр!$B:$B,ROW())),CHAR(160),""),CHAR(9),""),CHAR(10),""),CHAR(13),"")</f>
        <v/>
      </c>
      <c r="B195">
        <f>SUBSTITUTE(SUBSTITUTE(SUBSTITUTE(SUBSTITUTE(SUBSTITUTE(SUBSTITUTE(SUBSTITUTE(TRIM(INDEX(Реестр!$D:$D, ROW())), "-", ""), " ", ""), CHAR(160), ""), CHAR(9), ""), CHAR(10), ""), CHAR(13), ""), CHAR(32), "")</f>
        <v/>
      </c>
      <c r="C195">
        <f>INDEX(Реестр!$H:$H, ROW())</f>
        <v/>
      </c>
      <c r="D195">
        <f>IF(OR(ISBLANK(INDEX(Реестр!$B:$B, ROW())), INDEX(Реестр!$B:$B, ROW())=""), " ", IF(IFERROR(ISNUMBER(--A195),FALSE), IF(LEN(A195)=10, IF(MOD(MOD(H195,11),10)=--RIGHT(A195,1), "OK", "ОШИБКА"), IF(LEN(A195)=12, IF(AND(MOD(MOD(H195,11),10)=--MID(A195,11,1), MOD(MOD(I195,11),10)=--RIGHT(A195,1)), "OK", "ОШИБКА"), "ДЛИНА (10 или 12)")), "НЕ ЦИФРЫ"))</f>
        <v/>
      </c>
      <c r="E195">
        <f>MID(B195,1,1)*9+MID(B195,2,1)*8+MID(B195,3,1)*7+MID(B195,4,1)*6+MID(B195,5,1)*5+MID(B195,6,1)*4+MID(B195,7,1)*3+MID(B195,8,1)*2+MID(B195,9,1)</f>
        <v/>
      </c>
      <c r="F195">
        <f>IF(B195="", " ", IF(LEN(B195)&lt;&gt;11, "ДЛИНА", IF(NOT(ISNUMBER(--B195)), "НЕ ЦИФРЫ", IF(LEFT(B195,9)*1&lt;=1001998, "OK", IF(RIGHT(B195,2)*1=IF(MOD(E195,101)&gt;=100,0,MOD(E195,101)),"OK","ОШИБКА")))))</f>
        <v/>
      </c>
      <c r="G1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5">
        <f>IF(LEN(TRIM(A195))=10, --MID(A195,1,1)*2+--MID(A195,2,1)*4+--MID(A195,3,1)*10+--MID(A195,4,1)*3+--MID(A195,5,1)*5+--MID(A195,6,1)*9+--MID(A195,7,1)*4+--MID(A195,8,1)*6+--MID(A195,9,1)*8, IF(LEN(TRIM(A195))=12, --MID(A195,1,1)*7+--MID(A195,2,1)*2+--MID(A195,3,1)*4+--MID(A195,4,1)*10+--MID(A195,5,1)*3+--MID(A195,6,1)*5+--MID(A195,7,1)*9+--MID(A195,8,1)*4+--MID(A195,9,1)*6+--MID(A195,10,1)*8, ""))</f>
        <v/>
      </c>
      <c r="I195">
        <f>IF(LEN(TRIM(A195))=12, --MID(A195,1,1)*3+--MID(A195,2,1)*7+--MID(A195,3,1)*2+--MID(A195,4,1)*4+--MID(A195,5,1)*10+--MID(A195,6,1)*3+--MID(A195,7,1)*5+--MID(A195,8,1)*9+--MID(A195,9,1)*4+--MID(A195,10,1)*6+--MID(A195,11,1)*8, "")</f>
        <v/>
      </c>
    </row>
    <row r="196">
      <c r="A196">
        <f>SUBSTITUTE(SUBSTITUTE(SUBSTITUTE(SUBSTITUTE(TRIM(INDEX(Реестр!$B:$B,ROW())),CHAR(160),""),CHAR(9),""),CHAR(10),""),CHAR(13),"")</f>
        <v/>
      </c>
      <c r="B196">
        <f>SUBSTITUTE(SUBSTITUTE(SUBSTITUTE(SUBSTITUTE(SUBSTITUTE(SUBSTITUTE(SUBSTITUTE(TRIM(INDEX(Реестр!$D:$D, ROW())), "-", ""), " ", ""), CHAR(160), ""), CHAR(9), ""), CHAR(10), ""), CHAR(13), ""), CHAR(32), "")</f>
        <v/>
      </c>
      <c r="C196">
        <f>INDEX(Реестр!$H:$H, ROW())</f>
        <v/>
      </c>
      <c r="D196">
        <f>IF(OR(ISBLANK(INDEX(Реестр!$B:$B, ROW())), INDEX(Реестр!$B:$B, ROW())=""), " ", IF(IFERROR(ISNUMBER(--A196),FALSE), IF(LEN(A196)=10, IF(MOD(MOD(H196,11),10)=--RIGHT(A196,1), "OK", "ОШИБКА"), IF(LEN(A196)=12, IF(AND(MOD(MOD(H196,11),10)=--MID(A196,11,1), MOD(MOD(I196,11),10)=--RIGHT(A196,1)), "OK", "ОШИБКА"), "ДЛИНА (10 или 12)")), "НЕ ЦИФРЫ"))</f>
        <v/>
      </c>
      <c r="E196">
        <f>MID(B196,1,1)*9+MID(B196,2,1)*8+MID(B196,3,1)*7+MID(B196,4,1)*6+MID(B196,5,1)*5+MID(B196,6,1)*4+MID(B196,7,1)*3+MID(B196,8,1)*2+MID(B196,9,1)</f>
        <v/>
      </c>
      <c r="F196">
        <f>IF(B196="", " ", IF(LEN(B196)&lt;&gt;11, "ДЛИНА", IF(NOT(ISNUMBER(--B196)), "НЕ ЦИФРЫ", IF(LEFT(B196,9)*1&lt;=1001998, "OK", IF(RIGHT(B196,2)*1=IF(MOD(E196,101)&gt;=100,0,MOD(E196,101)),"OK","ОШИБКА")))))</f>
        <v/>
      </c>
      <c r="G1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6">
        <f>IF(LEN(TRIM(A196))=10, --MID(A196,1,1)*2+--MID(A196,2,1)*4+--MID(A196,3,1)*10+--MID(A196,4,1)*3+--MID(A196,5,1)*5+--MID(A196,6,1)*9+--MID(A196,7,1)*4+--MID(A196,8,1)*6+--MID(A196,9,1)*8, IF(LEN(TRIM(A196))=12, --MID(A196,1,1)*7+--MID(A196,2,1)*2+--MID(A196,3,1)*4+--MID(A196,4,1)*10+--MID(A196,5,1)*3+--MID(A196,6,1)*5+--MID(A196,7,1)*9+--MID(A196,8,1)*4+--MID(A196,9,1)*6+--MID(A196,10,1)*8, ""))</f>
        <v/>
      </c>
      <c r="I196">
        <f>IF(LEN(TRIM(A196))=12, --MID(A196,1,1)*3+--MID(A196,2,1)*7+--MID(A196,3,1)*2+--MID(A196,4,1)*4+--MID(A196,5,1)*10+--MID(A196,6,1)*3+--MID(A196,7,1)*5+--MID(A196,8,1)*9+--MID(A196,9,1)*4+--MID(A196,10,1)*6+--MID(A196,11,1)*8, "")</f>
        <v/>
      </c>
    </row>
    <row r="197">
      <c r="A197">
        <f>SUBSTITUTE(SUBSTITUTE(SUBSTITUTE(SUBSTITUTE(TRIM(INDEX(Реестр!$B:$B,ROW())),CHAR(160),""),CHAR(9),""),CHAR(10),""),CHAR(13),"")</f>
        <v/>
      </c>
      <c r="B197">
        <f>SUBSTITUTE(SUBSTITUTE(SUBSTITUTE(SUBSTITUTE(SUBSTITUTE(SUBSTITUTE(SUBSTITUTE(TRIM(INDEX(Реестр!$D:$D, ROW())), "-", ""), " ", ""), CHAR(160), ""), CHAR(9), ""), CHAR(10), ""), CHAR(13), ""), CHAR(32), "")</f>
        <v/>
      </c>
      <c r="C197">
        <f>INDEX(Реестр!$H:$H, ROW())</f>
        <v/>
      </c>
      <c r="D197">
        <f>IF(OR(ISBLANK(INDEX(Реестр!$B:$B, ROW())), INDEX(Реестр!$B:$B, ROW())=""), " ", IF(IFERROR(ISNUMBER(--A197),FALSE), IF(LEN(A197)=10, IF(MOD(MOD(H197,11),10)=--RIGHT(A197,1), "OK", "ОШИБКА"), IF(LEN(A197)=12, IF(AND(MOD(MOD(H197,11),10)=--MID(A197,11,1), MOD(MOD(I197,11),10)=--RIGHT(A197,1)), "OK", "ОШИБКА"), "ДЛИНА (10 или 12)")), "НЕ ЦИФРЫ"))</f>
        <v/>
      </c>
      <c r="E197">
        <f>MID(B197,1,1)*9+MID(B197,2,1)*8+MID(B197,3,1)*7+MID(B197,4,1)*6+MID(B197,5,1)*5+MID(B197,6,1)*4+MID(B197,7,1)*3+MID(B197,8,1)*2+MID(B197,9,1)</f>
        <v/>
      </c>
      <c r="F197">
        <f>IF(B197="", " ", IF(LEN(B197)&lt;&gt;11, "ДЛИНА", IF(NOT(ISNUMBER(--B197)), "НЕ ЦИФРЫ", IF(LEFT(B197,9)*1&lt;=1001998, "OK", IF(RIGHT(B197,2)*1=IF(MOD(E197,101)&gt;=100,0,MOD(E197,101)),"OK","ОШИБКА")))))</f>
        <v/>
      </c>
      <c r="G1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7">
        <f>IF(LEN(TRIM(A197))=10, --MID(A197,1,1)*2+--MID(A197,2,1)*4+--MID(A197,3,1)*10+--MID(A197,4,1)*3+--MID(A197,5,1)*5+--MID(A197,6,1)*9+--MID(A197,7,1)*4+--MID(A197,8,1)*6+--MID(A197,9,1)*8, IF(LEN(TRIM(A197))=12, --MID(A197,1,1)*7+--MID(A197,2,1)*2+--MID(A197,3,1)*4+--MID(A197,4,1)*10+--MID(A197,5,1)*3+--MID(A197,6,1)*5+--MID(A197,7,1)*9+--MID(A197,8,1)*4+--MID(A197,9,1)*6+--MID(A197,10,1)*8, ""))</f>
        <v/>
      </c>
      <c r="I197">
        <f>IF(LEN(TRIM(A197))=12, --MID(A197,1,1)*3+--MID(A197,2,1)*7+--MID(A197,3,1)*2+--MID(A197,4,1)*4+--MID(A197,5,1)*10+--MID(A197,6,1)*3+--MID(A197,7,1)*5+--MID(A197,8,1)*9+--MID(A197,9,1)*4+--MID(A197,10,1)*6+--MID(A197,11,1)*8, "")</f>
        <v/>
      </c>
    </row>
    <row r="198">
      <c r="A198">
        <f>SUBSTITUTE(SUBSTITUTE(SUBSTITUTE(SUBSTITUTE(TRIM(INDEX(Реестр!$B:$B,ROW())),CHAR(160),""),CHAR(9),""),CHAR(10),""),CHAR(13),"")</f>
        <v/>
      </c>
      <c r="B198">
        <f>SUBSTITUTE(SUBSTITUTE(SUBSTITUTE(SUBSTITUTE(SUBSTITUTE(SUBSTITUTE(SUBSTITUTE(TRIM(INDEX(Реестр!$D:$D, ROW())), "-", ""), " ", ""), CHAR(160), ""), CHAR(9), ""), CHAR(10), ""), CHAR(13), ""), CHAR(32), "")</f>
        <v/>
      </c>
      <c r="C198">
        <f>INDEX(Реестр!$H:$H, ROW())</f>
        <v/>
      </c>
      <c r="D198">
        <f>IF(OR(ISBLANK(INDEX(Реестр!$B:$B, ROW())), INDEX(Реестр!$B:$B, ROW())=""), " ", IF(IFERROR(ISNUMBER(--A198),FALSE), IF(LEN(A198)=10, IF(MOD(MOD(H198,11),10)=--RIGHT(A198,1), "OK", "ОШИБКА"), IF(LEN(A198)=12, IF(AND(MOD(MOD(H198,11),10)=--MID(A198,11,1), MOD(MOD(I198,11),10)=--RIGHT(A198,1)), "OK", "ОШИБКА"), "ДЛИНА (10 или 12)")), "НЕ ЦИФРЫ"))</f>
        <v/>
      </c>
      <c r="E198">
        <f>MID(B198,1,1)*9+MID(B198,2,1)*8+MID(B198,3,1)*7+MID(B198,4,1)*6+MID(B198,5,1)*5+MID(B198,6,1)*4+MID(B198,7,1)*3+MID(B198,8,1)*2+MID(B198,9,1)</f>
        <v/>
      </c>
      <c r="F198">
        <f>IF(B198="", " ", IF(LEN(B198)&lt;&gt;11, "ДЛИНА", IF(NOT(ISNUMBER(--B198)), "НЕ ЦИФРЫ", IF(LEFT(B198,9)*1&lt;=1001998, "OK", IF(RIGHT(B198,2)*1=IF(MOD(E198,101)&gt;=100,0,MOD(E198,101)),"OK","ОШИБКА")))))</f>
        <v/>
      </c>
      <c r="G1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8">
        <f>IF(LEN(TRIM(A198))=10, --MID(A198,1,1)*2+--MID(A198,2,1)*4+--MID(A198,3,1)*10+--MID(A198,4,1)*3+--MID(A198,5,1)*5+--MID(A198,6,1)*9+--MID(A198,7,1)*4+--MID(A198,8,1)*6+--MID(A198,9,1)*8, IF(LEN(TRIM(A198))=12, --MID(A198,1,1)*7+--MID(A198,2,1)*2+--MID(A198,3,1)*4+--MID(A198,4,1)*10+--MID(A198,5,1)*3+--MID(A198,6,1)*5+--MID(A198,7,1)*9+--MID(A198,8,1)*4+--MID(A198,9,1)*6+--MID(A198,10,1)*8, ""))</f>
        <v/>
      </c>
      <c r="I198">
        <f>IF(LEN(TRIM(A198))=12, --MID(A198,1,1)*3+--MID(A198,2,1)*7+--MID(A198,3,1)*2+--MID(A198,4,1)*4+--MID(A198,5,1)*10+--MID(A198,6,1)*3+--MID(A198,7,1)*5+--MID(A198,8,1)*9+--MID(A198,9,1)*4+--MID(A198,10,1)*6+--MID(A198,11,1)*8, "")</f>
        <v/>
      </c>
    </row>
    <row r="199">
      <c r="A199">
        <f>SUBSTITUTE(SUBSTITUTE(SUBSTITUTE(SUBSTITUTE(TRIM(INDEX(Реестр!$B:$B,ROW())),CHAR(160),""),CHAR(9),""),CHAR(10),""),CHAR(13),"")</f>
        <v/>
      </c>
      <c r="B199">
        <f>SUBSTITUTE(SUBSTITUTE(SUBSTITUTE(SUBSTITUTE(SUBSTITUTE(SUBSTITUTE(SUBSTITUTE(TRIM(INDEX(Реестр!$D:$D, ROW())), "-", ""), " ", ""), CHAR(160), ""), CHAR(9), ""), CHAR(10), ""), CHAR(13), ""), CHAR(32), "")</f>
        <v/>
      </c>
      <c r="C199">
        <f>INDEX(Реестр!$H:$H, ROW())</f>
        <v/>
      </c>
      <c r="D199">
        <f>IF(OR(ISBLANK(INDEX(Реестр!$B:$B, ROW())), INDEX(Реестр!$B:$B, ROW())=""), " ", IF(IFERROR(ISNUMBER(--A199),FALSE), IF(LEN(A199)=10, IF(MOD(MOD(H199,11),10)=--RIGHT(A199,1), "OK", "ОШИБКА"), IF(LEN(A199)=12, IF(AND(MOD(MOD(H199,11),10)=--MID(A199,11,1), MOD(MOD(I199,11),10)=--RIGHT(A199,1)), "OK", "ОШИБКА"), "ДЛИНА (10 или 12)")), "НЕ ЦИФРЫ"))</f>
        <v/>
      </c>
      <c r="E199">
        <f>MID(B199,1,1)*9+MID(B199,2,1)*8+MID(B199,3,1)*7+MID(B199,4,1)*6+MID(B199,5,1)*5+MID(B199,6,1)*4+MID(B199,7,1)*3+MID(B199,8,1)*2+MID(B199,9,1)</f>
        <v/>
      </c>
      <c r="F199">
        <f>IF(B199="", " ", IF(LEN(B199)&lt;&gt;11, "ДЛИНА", IF(NOT(ISNUMBER(--B199)), "НЕ ЦИФРЫ", IF(LEFT(B199,9)*1&lt;=1001998, "OK", IF(RIGHT(B199,2)*1=IF(MOD(E199,101)&gt;=100,0,MOD(E199,101)),"OK","ОШИБКА")))))</f>
        <v/>
      </c>
      <c r="G1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99">
        <f>IF(LEN(TRIM(A199))=10, --MID(A199,1,1)*2+--MID(A199,2,1)*4+--MID(A199,3,1)*10+--MID(A199,4,1)*3+--MID(A199,5,1)*5+--MID(A199,6,1)*9+--MID(A199,7,1)*4+--MID(A199,8,1)*6+--MID(A199,9,1)*8, IF(LEN(TRIM(A199))=12, --MID(A199,1,1)*7+--MID(A199,2,1)*2+--MID(A199,3,1)*4+--MID(A199,4,1)*10+--MID(A199,5,1)*3+--MID(A199,6,1)*5+--MID(A199,7,1)*9+--MID(A199,8,1)*4+--MID(A199,9,1)*6+--MID(A199,10,1)*8, ""))</f>
        <v/>
      </c>
      <c r="I199">
        <f>IF(LEN(TRIM(A199))=12, --MID(A199,1,1)*3+--MID(A199,2,1)*7+--MID(A199,3,1)*2+--MID(A199,4,1)*4+--MID(A199,5,1)*10+--MID(A199,6,1)*3+--MID(A199,7,1)*5+--MID(A199,8,1)*9+--MID(A199,9,1)*4+--MID(A199,10,1)*6+--MID(A199,11,1)*8, "")</f>
        <v/>
      </c>
    </row>
    <row r="200">
      <c r="A200">
        <f>SUBSTITUTE(SUBSTITUTE(SUBSTITUTE(SUBSTITUTE(TRIM(INDEX(Реестр!$B:$B,ROW())),CHAR(160),""),CHAR(9),""),CHAR(10),""),CHAR(13),"")</f>
        <v/>
      </c>
      <c r="B200">
        <f>SUBSTITUTE(SUBSTITUTE(SUBSTITUTE(SUBSTITUTE(SUBSTITUTE(SUBSTITUTE(SUBSTITUTE(TRIM(INDEX(Реестр!$D:$D, ROW())), "-", ""), " ", ""), CHAR(160), ""), CHAR(9), ""), CHAR(10), ""), CHAR(13), ""), CHAR(32), "")</f>
        <v/>
      </c>
      <c r="C200">
        <f>INDEX(Реестр!$H:$H, ROW())</f>
        <v/>
      </c>
      <c r="D200">
        <f>IF(OR(ISBLANK(INDEX(Реестр!$B:$B, ROW())), INDEX(Реестр!$B:$B, ROW())=""), " ", IF(IFERROR(ISNUMBER(--A200),FALSE), IF(LEN(A200)=10, IF(MOD(MOD(H200,11),10)=--RIGHT(A200,1), "OK", "ОШИБКА"), IF(LEN(A200)=12, IF(AND(MOD(MOD(H200,11),10)=--MID(A200,11,1), MOD(MOD(I200,11),10)=--RIGHT(A200,1)), "OK", "ОШИБКА"), "ДЛИНА (10 или 12)")), "НЕ ЦИФРЫ"))</f>
        <v/>
      </c>
      <c r="E200">
        <f>MID(B200,1,1)*9+MID(B200,2,1)*8+MID(B200,3,1)*7+MID(B200,4,1)*6+MID(B200,5,1)*5+MID(B200,6,1)*4+MID(B200,7,1)*3+MID(B200,8,1)*2+MID(B200,9,1)</f>
        <v/>
      </c>
      <c r="F200">
        <f>IF(B200="", " ", IF(LEN(B200)&lt;&gt;11, "ДЛИНА", IF(NOT(ISNUMBER(--B200)), "НЕ ЦИФРЫ", IF(LEFT(B200,9)*1&lt;=1001998, "OK", IF(RIGHT(B200,2)*1=IF(MOD(E200,101)&gt;=100,0,MOD(E200,101)),"OK","ОШИБКА")))))</f>
        <v/>
      </c>
      <c r="G2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0">
        <f>IF(LEN(TRIM(A200))=10, --MID(A200,1,1)*2+--MID(A200,2,1)*4+--MID(A200,3,1)*10+--MID(A200,4,1)*3+--MID(A200,5,1)*5+--MID(A200,6,1)*9+--MID(A200,7,1)*4+--MID(A200,8,1)*6+--MID(A200,9,1)*8, IF(LEN(TRIM(A200))=12, --MID(A200,1,1)*7+--MID(A200,2,1)*2+--MID(A200,3,1)*4+--MID(A200,4,1)*10+--MID(A200,5,1)*3+--MID(A200,6,1)*5+--MID(A200,7,1)*9+--MID(A200,8,1)*4+--MID(A200,9,1)*6+--MID(A200,10,1)*8, ""))</f>
        <v/>
      </c>
      <c r="I200">
        <f>IF(LEN(TRIM(A200))=12, --MID(A200,1,1)*3+--MID(A200,2,1)*7+--MID(A200,3,1)*2+--MID(A200,4,1)*4+--MID(A200,5,1)*10+--MID(A200,6,1)*3+--MID(A200,7,1)*5+--MID(A200,8,1)*9+--MID(A200,9,1)*4+--MID(A200,10,1)*6+--MID(A200,11,1)*8, "")</f>
        <v/>
      </c>
    </row>
    <row r="201">
      <c r="A201">
        <f>SUBSTITUTE(SUBSTITUTE(SUBSTITUTE(SUBSTITUTE(TRIM(INDEX(Реестр!$B:$B,ROW())),CHAR(160),""),CHAR(9),""),CHAR(10),""),CHAR(13),"")</f>
        <v/>
      </c>
      <c r="B201">
        <f>SUBSTITUTE(SUBSTITUTE(SUBSTITUTE(SUBSTITUTE(SUBSTITUTE(SUBSTITUTE(SUBSTITUTE(TRIM(INDEX(Реестр!$D:$D, ROW())), "-", ""), " ", ""), CHAR(160), ""), CHAR(9), ""), CHAR(10), ""), CHAR(13), ""), CHAR(32), "")</f>
        <v/>
      </c>
      <c r="C201">
        <f>INDEX(Реестр!$H:$H, ROW())</f>
        <v/>
      </c>
      <c r="D201">
        <f>IF(OR(ISBLANK(INDEX(Реестр!$B:$B, ROW())), INDEX(Реестр!$B:$B, ROW())=""), " ", IF(IFERROR(ISNUMBER(--A201),FALSE), IF(LEN(A201)=10, IF(MOD(MOD(H201,11),10)=--RIGHT(A201,1), "OK", "ОШИБКА"), IF(LEN(A201)=12, IF(AND(MOD(MOD(H201,11),10)=--MID(A201,11,1), MOD(MOD(I201,11),10)=--RIGHT(A201,1)), "OK", "ОШИБКА"), "ДЛИНА (10 или 12)")), "НЕ ЦИФРЫ"))</f>
        <v/>
      </c>
      <c r="E201">
        <f>MID(B201,1,1)*9+MID(B201,2,1)*8+MID(B201,3,1)*7+MID(B201,4,1)*6+MID(B201,5,1)*5+MID(B201,6,1)*4+MID(B201,7,1)*3+MID(B201,8,1)*2+MID(B201,9,1)</f>
        <v/>
      </c>
      <c r="F201">
        <f>IF(B201="", " ", IF(LEN(B201)&lt;&gt;11, "ДЛИНА", IF(NOT(ISNUMBER(--B201)), "НЕ ЦИФРЫ", IF(LEFT(B201,9)*1&lt;=1001998, "OK", IF(RIGHT(B201,2)*1=IF(MOD(E201,101)&gt;=100,0,MOD(E201,101)),"OK","ОШИБКА")))))</f>
        <v/>
      </c>
      <c r="G2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1">
        <f>IF(LEN(TRIM(A201))=10, --MID(A201,1,1)*2+--MID(A201,2,1)*4+--MID(A201,3,1)*10+--MID(A201,4,1)*3+--MID(A201,5,1)*5+--MID(A201,6,1)*9+--MID(A201,7,1)*4+--MID(A201,8,1)*6+--MID(A201,9,1)*8, IF(LEN(TRIM(A201))=12, --MID(A201,1,1)*7+--MID(A201,2,1)*2+--MID(A201,3,1)*4+--MID(A201,4,1)*10+--MID(A201,5,1)*3+--MID(A201,6,1)*5+--MID(A201,7,1)*9+--MID(A201,8,1)*4+--MID(A201,9,1)*6+--MID(A201,10,1)*8, ""))</f>
        <v/>
      </c>
      <c r="I201">
        <f>IF(LEN(TRIM(A201))=12, --MID(A201,1,1)*3+--MID(A201,2,1)*7+--MID(A201,3,1)*2+--MID(A201,4,1)*4+--MID(A201,5,1)*10+--MID(A201,6,1)*3+--MID(A201,7,1)*5+--MID(A201,8,1)*9+--MID(A201,9,1)*4+--MID(A201,10,1)*6+--MID(A201,11,1)*8, "")</f>
        <v/>
      </c>
    </row>
    <row r="202">
      <c r="A202">
        <f>SUBSTITUTE(SUBSTITUTE(SUBSTITUTE(SUBSTITUTE(TRIM(INDEX(Реестр!$B:$B,ROW())),CHAR(160),""),CHAR(9),""),CHAR(10),""),CHAR(13),"")</f>
        <v/>
      </c>
      <c r="B202">
        <f>SUBSTITUTE(SUBSTITUTE(SUBSTITUTE(SUBSTITUTE(SUBSTITUTE(SUBSTITUTE(SUBSTITUTE(TRIM(INDEX(Реестр!$D:$D, ROW())), "-", ""), " ", ""), CHAR(160), ""), CHAR(9), ""), CHAR(10), ""), CHAR(13), ""), CHAR(32), "")</f>
        <v/>
      </c>
      <c r="C202">
        <f>INDEX(Реестр!$H:$H, ROW())</f>
        <v/>
      </c>
      <c r="D202">
        <f>IF(OR(ISBLANK(INDEX(Реестр!$B:$B, ROW())), INDEX(Реестр!$B:$B, ROW())=""), " ", IF(IFERROR(ISNUMBER(--A202),FALSE), IF(LEN(A202)=10, IF(MOD(MOD(H202,11),10)=--RIGHT(A202,1), "OK", "ОШИБКА"), IF(LEN(A202)=12, IF(AND(MOD(MOD(H202,11),10)=--MID(A202,11,1), MOD(MOD(I202,11),10)=--RIGHT(A202,1)), "OK", "ОШИБКА"), "ДЛИНА (10 или 12)")), "НЕ ЦИФРЫ"))</f>
        <v/>
      </c>
      <c r="E202">
        <f>MID(B202,1,1)*9+MID(B202,2,1)*8+MID(B202,3,1)*7+MID(B202,4,1)*6+MID(B202,5,1)*5+MID(B202,6,1)*4+MID(B202,7,1)*3+MID(B202,8,1)*2+MID(B202,9,1)</f>
        <v/>
      </c>
      <c r="F202">
        <f>IF(B202="", " ", IF(LEN(B202)&lt;&gt;11, "ДЛИНА", IF(NOT(ISNUMBER(--B202)), "НЕ ЦИФРЫ", IF(LEFT(B202,9)*1&lt;=1001998, "OK", IF(RIGHT(B202,2)*1=IF(MOD(E202,101)&gt;=100,0,MOD(E202,101)),"OK","ОШИБКА")))))</f>
        <v/>
      </c>
      <c r="G2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2">
        <f>IF(LEN(TRIM(A202))=10, --MID(A202,1,1)*2+--MID(A202,2,1)*4+--MID(A202,3,1)*10+--MID(A202,4,1)*3+--MID(A202,5,1)*5+--MID(A202,6,1)*9+--MID(A202,7,1)*4+--MID(A202,8,1)*6+--MID(A202,9,1)*8, IF(LEN(TRIM(A202))=12, --MID(A202,1,1)*7+--MID(A202,2,1)*2+--MID(A202,3,1)*4+--MID(A202,4,1)*10+--MID(A202,5,1)*3+--MID(A202,6,1)*5+--MID(A202,7,1)*9+--MID(A202,8,1)*4+--MID(A202,9,1)*6+--MID(A202,10,1)*8, ""))</f>
        <v/>
      </c>
      <c r="I202">
        <f>IF(LEN(TRIM(A202))=12, --MID(A202,1,1)*3+--MID(A202,2,1)*7+--MID(A202,3,1)*2+--MID(A202,4,1)*4+--MID(A202,5,1)*10+--MID(A202,6,1)*3+--MID(A202,7,1)*5+--MID(A202,8,1)*9+--MID(A202,9,1)*4+--MID(A202,10,1)*6+--MID(A202,11,1)*8, "")</f>
        <v/>
      </c>
    </row>
    <row r="203">
      <c r="A203">
        <f>SUBSTITUTE(SUBSTITUTE(SUBSTITUTE(SUBSTITUTE(TRIM(INDEX(Реестр!$B:$B,ROW())),CHAR(160),""),CHAR(9),""),CHAR(10),""),CHAR(13),"")</f>
        <v/>
      </c>
      <c r="B203">
        <f>SUBSTITUTE(SUBSTITUTE(SUBSTITUTE(SUBSTITUTE(SUBSTITUTE(SUBSTITUTE(SUBSTITUTE(TRIM(INDEX(Реестр!$D:$D, ROW())), "-", ""), " ", ""), CHAR(160), ""), CHAR(9), ""), CHAR(10), ""), CHAR(13), ""), CHAR(32), "")</f>
        <v/>
      </c>
      <c r="C203">
        <f>INDEX(Реестр!$H:$H, ROW())</f>
        <v/>
      </c>
      <c r="D203">
        <f>IF(OR(ISBLANK(INDEX(Реестр!$B:$B, ROW())), INDEX(Реестр!$B:$B, ROW())=""), " ", IF(IFERROR(ISNUMBER(--A203),FALSE), IF(LEN(A203)=10, IF(MOD(MOD(H203,11),10)=--RIGHT(A203,1), "OK", "ОШИБКА"), IF(LEN(A203)=12, IF(AND(MOD(MOD(H203,11),10)=--MID(A203,11,1), MOD(MOD(I203,11),10)=--RIGHT(A203,1)), "OK", "ОШИБКА"), "ДЛИНА (10 или 12)")), "НЕ ЦИФРЫ"))</f>
        <v/>
      </c>
      <c r="E203">
        <f>MID(B203,1,1)*9+MID(B203,2,1)*8+MID(B203,3,1)*7+MID(B203,4,1)*6+MID(B203,5,1)*5+MID(B203,6,1)*4+MID(B203,7,1)*3+MID(B203,8,1)*2+MID(B203,9,1)</f>
        <v/>
      </c>
      <c r="F203">
        <f>IF(B203="", " ", IF(LEN(B203)&lt;&gt;11, "ДЛИНА", IF(NOT(ISNUMBER(--B203)), "НЕ ЦИФРЫ", IF(LEFT(B203,9)*1&lt;=1001998, "OK", IF(RIGHT(B203,2)*1=IF(MOD(E203,101)&gt;=100,0,MOD(E203,101)),"OK","ОШИБКА")))))</f>
        <v/>
      </c>
      <c r="G2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3">
        <f>IF(LEN(TRIM(A203))=10, --MID(A203,1,1)*2+--MID(A203,2,1)*4+--MID(A203,3,1)*10+--MID(A203,4,1)*3+--MID(A203,5,1)*5+--MID(A203,6,1)*9+--MID(A203,7,1)*4+--MID(A203,8,1)*6+--MID(A203,9,1)*8, IF(LEN(TRIM(A203))=12, --MID(A203,1,1)*7+--MID(A203,2,1)*2+--MID(A203,3,1)*4+--MID(A203,4,1)*10+--MID(A203,5,1)*3+--MID(A203,6,1)*5+--MID(A203,7,1)*9+--MID(A203,8,1)*4+--MID(A203,9,1)*6+--MID(A203,10,1)*8, ""))</f>
        <v/>
      </c>
      <c r="I203">
        <f>IF(LEN(TRIM(A203))=12, --MID(A203,1,1)*3+--MID(A203,2,1)*7+--MID(A203,3,1)*2+--MID(A203,4,1)*4+--MID(A203,5,1)*10+--MID(A203,6,1)*3+--MID(A203,7,1)*5+--MID(A203,8,1)*9+--MID(A203,9,1)*4+--MID(A203,10,1)*6+--MID(A203,11,1)*8, "")</f>
        <v/>
      </c>
    </row>
    <row r="204">
      <c r="A204">
        <f>SUBSTITUTE(SUBSTITUTE(SUBSTITUTE(SUBSTITUTE(TRIM(INDEX(Реестр!$B:$B,ROW())),CHAR(160),""),CHAR(9),""),CHAR(10),""),CHAR(13),"")</f>
        <v/>
      </c>
      <c r="B204">
        <f>SUBSTITUTE(SUBSTITUTE(SUBSTITUTE(SUBSTITUTE(SUBSTITUTE(SUBSTITUTE(SUBSTITUTE(TRIM(INDEX(Реестр!$D:$D, ROW())), "-", ""), " ", ""), CHAR(160), ""), CHAR(9), ""), CHAR(10), ""), CHAR(13), ""), CHAR(32), "")</f>
        <v/>
      </c>
      <c r="C204">
        <f>INDEX(Реестр!$H:$H, ROW())</f>
        <v/>
      </c>
      <c r="D204">
        <f>IF(OR(ISBLANK(INDEX(Реестр!$B:$B, ROW())), INDEX(Реестр!$B:$B, ROW())=""), " ", IF(IFERROR(ISNUMBER(--A204),FALSE), IF(LEN(A204)=10, IF(MOD(MOD(H204,11),10)=--RIGHT(A204,1), "OK", "ОШИБКА"), IF(LEN(A204)=12, IF(AND(MOD(MOD(H204,11),10)=--MID(A204,11,1), MOD(MOD(I204,11),10)=--RIGHT(A204,1)), "OK", "ОШИБКА"), "ДЛИНА (10 или 12)")), "НЕ ЦИФРЫ"))</f>
        <v/>
      </c>
      <c r="E204">
        <f>MID(B204,1,1)*9+MID(B204,2,1)*8+MID(B204,3,1)*7+MID(B204,4,1)*6+MID(B204,5,1)*5+MID(B204,6,1)*4+MID(B204,7,1)*3+MID(B204,8,1)*2+MID(B204,9,1)</f>
        <v/>
      </c>
      <c r="F204">
        <f>IF(B204="", " ", IF(LEN(B204)&lt;&gt;11, "ДЛИНА", IF(NOT(ISNUMBER(--B204)), "НЕ ЦИФРЫ", IF(LEFT(B204,9)*1&lt;=1001998, "OK", IF(RIGHT(B204,2)*1=IF(MOD(E204,101)&gt;=100,0,MOD(E204,101)),"OK","ОШИБКА")))))</f>
        <v/>
      </c>
      <c r="G2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4">
        <f>IF(LEN(TRIM(A204))=10, --MID(A204,1,1)*2+--MID(A204,2,1)*4+--MID(A204,3,1)*10+--MID(A204,4,1)*3+--MID(A204,5,1)*5+--MID(A204,6,1)*9+--MID(A204,7,1)*4+--MID(A204,8,1)*6+--MID(A204,9,1)*8, IF(LEN(TRIM(A204))=12, --MID(A204,1,1)*7+--MID(A204,2,1)*2+--MID(A204,3,1)*4+--MID(A204,4,1)*10+--MID(A204,5,1)*3+--MID(A204,6,1)*5+--MID(A204,7,1)*9+--MID(A204,8,1)*4+--MID(A204,9,1)*6+--MID(A204,10,1)*8, ""))</f>
        <v/>
      </c>
      <c r="I204">
        <f>IF(LEN(TRIM(A204))=12, --MID(A204,1,1)*3+--MID(A204,2,1)*7+--MID(A204,3,1)*2+--MID(A204,4,1)*4+--MID(A204,5,1)*10+--MID(A204,6,1)*3+--MID(A204,7,1)*5+--MID(A204,8,1)*9+--MID(A204,9,1)*4+--MID(A204,10,1)*6+--MID(A204,11,1)*8, "")</f>
        <v/>
      </c>
    </row>
    <row r="205">
      <c r="A205">
        <f>SUBSTITUTE(SUBSTITUTE(SUBSTITUTE(SUBSTITUTE(TRIM(INDEX(Реестр!$B:$B,ROW())),CHAR(160),""),CHAR(9),""),CHAR(10),""),CHAR(13),"")</f>
        <v/>
      </c>
      <c r="B205">
        <f>SUBSTITUTE(SUBSTITUTE(SUBSTITUTE(SUBSTITUTE(SUBSTITUTE(SUBSTITUTE(SUBSTITUTE(TRIM(INDEX(Реестр!$D:$D, ROW())), "-", ""), " ", ""), CHAR(160), ""), CHAR(9), ""), CHAR(10), ""), CHAR(13), ""), CHAR(32), "")</f>
        <v/>
      </c>
      <c r="C205">
        <f>INDEX(Реестр!$H:$H, ROW())</f>
        <v/>
      </c>
      <c r="D205">
        <f>IF(OR(ISBLANK(INDEX(Реестр!$B:$B, ROW())), INDEX(Реестр!$B:$B, ROW())=""), " ", IF(IFERROR(ISNUMBER(--A205),FALSE), IF(LEN(A205)=10, IF(MOD(MOD(H205,11),10)=--RIGHT(A205,1), "OK", "ОШИБКА"), IF(LEN(A205)=12, IF(AND(MOD(MOD(H205,11),10)=--MID(A205,11,1), MOD(MOD(I205,11),10)=--RIGHT(A205,1)), "OK", "ОШИБКА"), "ДЛИНА (10 или 12)")), "НЕ ЦИФРЫ"))</f>
        <v/>
      </c>
      <c r="E205">
        <f>MID(B205,1,1)*9+MID(B205,2,1)*8+MID(B205,3,1)*7+MID(B205,4,1)*6+MID(B205,5,1)*5+MID(B205,6,1)*4+MID(B205,7,1)*3+MID(B205,8,1)*2+MID(B205,9,1)</f>
        <v/>
      </c>
      <c r="F205">
        <f>IF(B205="", " ", IF(LEN(B205)&lt;&gt;11, "ДЛИНА", IF(NOT(ISNUMBER(--B205)), "НЕ ЦИФРЫ", IF(LEFT(B205,9)*1&lt;=1001998, "OK", IF(RIGHT(B205,2)*1=IF(MOD(E205,101)&gt;=100,0,MOD(E205,101)),"OK","ОШИБКА")))))</f>
        <v/>
      </c>
      <c r="G2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5">
        <f>IF(LEN(TRIM(A205))=10, --MID(A205,1,1)*2+--MID(A205,2,1)*4+--MID(A205,3,1)*10+--MID(A205,4,1)*3+--MID(A205,5,1)*5+--MID(A205,6,1)*9+--MID(A205,7,1)*4+--MID(A205,8,1)*6+--MID(A205,9,1)*8, IF(LEN(TRIM(A205))=12, --MID(A205,1,1)*7+--MID(A205,2,1)*2+--MID(A205,3,1)*4+--MID(A205,4,1)*10+--MID(A205,5,1)*3+--MID(A205,6,1)*5+--MID(A205,7,1)*9+--MID(A205,8,1)*4+--MID(A205,9,1)*6+--MID(A205,10,1)*8, ""))</f>
        <v/>
      </c>
      <c r="I205">
        <f>IF(LEN(TRIM(A205))=12, --MID(A205,1,1)*3+--MID(A205,2,1)*7+--MID(A205,3,1)*2+--MID(A205,4,1)*4+--MID(A205,5,1)*10+--MID(A205,6,1)*3+--MID(A205,7,1)*5+--MID(A205,8,1)*9+--MID(A205,9,1)*4+--MID(A205,10,1)*6+--MID(A205,11,1)*8, "")</f>
        <v/>
      </c>
    </row>
    <row r="206">
      <c r="A206">
        <f>SUBSTITUTE(SUBSTITUTE(SUBSTITUTE(SUBSTITUTE(TRIM(INDEX(Реестр!$B:$B,ROW())),CHAR(160),""),CHAR(9),""),CHAR(10),""),CHAR(13),"")</f>
        <v/>
      </c>
      <c r="B206">
        <f>SUBSTITUTE(SUBSTITUTE(SUBSTITUTE(SUBSTITUTE(SUBSTITUTE(SUBSTITUTE(SUBSTITUTE(TRIM(INDEX(Реестр!$D:$D, ROW())), "-", ""), " ", ""), CHAR(160), ""), CHAR(9), ""), CHAR(10), ""), CHAR(13), ""), CHAR(32), "")</f>
        <v/>
      </c>
      <c r="C206">
        <f>INDEX(Реестр!$H:$H, ROW())</f>
        <v/>
      </c>
      <c r="D206">
        <f>IF(OR(ISBLANK(INDEX(Реестр!$B:$B, ROW())), INDEX(Реестр!$B:$B, ROW())=""), " ", IF(IFERROR(ISNUMBER(--A206),FALSE), IF(LEN(A206)=10, IF(MOD(MOD(H206,11),10)=--RIGHT(A206,1), "OK", "ОШИБКА"), IF(LEN(A206)=12, IF(AND(MOD(MOD(H206,11),10)=--MID(A206,11,1), MOD(MOD(I206,11),10)=--RIGHT(A206,1)), "OK", "ОШИБКА"), "ДЛИНА (10 или 12)")), "НЕ ЦИФРЫ"))</f>
        <v/>
      </c>
      <c r="E206">
        <f>MID(B206,1,1)*9+MID(B206,2,1)*8+MID(B206,3,1)*7+MID(B206,4,1)*6+MID(B206,5,1)*5+MID(B206,6,1)*4+MID(B206,7,1)*3+MID(B206,8,1)*2+MID(B206,9,1)</f>
        <v/>
      </c>
      <c r="F206">
        <f>IF(B206="", " ", IF(LEN(B206)&lt;&gt;11, "ДЛИНА", IF(NOT(ISNUMBER(--B206)), "НЕ ЦИФРЫ", IF(LEFT(B206,9)*1&lt;=1001998, "OK", IF(RIGHT(B206,2)*1=IF(MOD(E206,101)&gt;=100,0,MOD(E206,101)),"OK","ОШИБКА")))))</f>
        <v/>
      </c>
      <c r="G2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6">
        <f>IF(LEN(TRIM(A206))=10, --MID(A206,1,1)*2+--MID(A206,2,1)*4+--MID(A206,3,1)*10+--MID(A206,4,1)*3+--MID(A206,5,1)*5+--MID(A206,6,1)*9+--MID(A206,7,1)*4+--MID(A206,8,1)*6+--MID(A206,9,1)*8, IF(LEN(TRIM(A206))=12, --MID(A206,1,1)*7+--MID(A206,2,1)*2+--MID(A206,3,1)*4+--MID(A206,4,1)*10+--MID(A206,5,1)*3+--MID(A206,6,1)*5+--MID(A206,7,1)*9+--MID(A206,8,1)*4+--MID(A206,9,1)*6+--MID(A206,10,1)*8, ""))</f>
        <v/>
      </c>
      <c r="I206">
        <f>IF(LEN(TRIM(A206))=12, --MID(A206,1,1)*3+--MID(A206,2,1)*7+--MID(A206,3,1)*2+--MID(A206,4,1)*4+--MID(A206,5,1)*10+--MID(A206,6,1)*3+--MID(A206,7,1)*5+--MID(A206,8,1)*9+--MID(A206,9,1)*4+--MID(A206,10,1)*6+--MID(A206,11,1)*8, "")</f>
        <v/>
      </c>
    </row>
    <row r="207">
      <c r="A207">
        <f>SUBSTITUTE(SUBSTITUTE(SUBSTITUTE(SUBSTITUTE(TRIM(INDEX(Реестр!$B:$B,ROW())),CHAR(160),""),CHAR(9),""),CHAR(10),""),CHAR(13),"")</f>
        <v/>
      </c>
      <c r="B207">
        <f>SUBSTITUTE(SUBSTITUTE(SUBSTITUTE(SUBSTITUTE(SUBSTITUTE(SUBSTITUTE(SUBSTITUTE(TRIM(INDEX(Реестр!$D:$D, ROW())), "-", ""), " ", ""), CHAR(160), ""), CHAR(9), ""), CHAR(10), ""), CHAR(13), ""), CHAR(32), "")</f>
        <v/>
      </c>
      <c r="C207">
        <f>INDEX(Реестр!$H:$H, ROW())</f>
        <v/>
      </c>
      <c r="D207">
        <f>IF(OR(ISBLANK(INDEX(Реестр!$B:$B, ROW())), INDEX(Реестр!$B:$B, ROW())=""), " ", IF(IFERROR(ISNUMBER(--A207),FALSE), IF(LEN(A207)=10, IF(MOD(MOD(H207,11),10)=--RIGHT(A207,1), "OK", "ОШИБКА"), IF(LEN(A207)=12, IF(AND(MOD(MOD(H207,11),10)=--MID(A207,11,1), MOD(MOD(I207,11),10)=--RIGHT(A207,1)), "OK", "ОШИБКА"), "ДЛИНА (10 или 12)")), "НЕ ЦИФРЫ"))</f>
        <v/>
      </c>
      <c r="E207">
        <f>MID(B207,1,1)*9+MID(B207,2,1)*8+MID(B207,3,1)*7+MID(B207,4,1)*6+MID(B207,5,1)*5+MID(B207,6,1)*4+MID(B207,7,1)*3+MID(B207,8,1)*2+MID(B207,9,1)</f>
        <v/>
      </c>
      <c r="F207">
        <f>IF(B207="", " ", IF(LEN(B207)&lt;&gt;11, "ДЛИНА", IF(NOT(ISNUMBER(--B207)), "НЕ ЦИФРЫ", IF(LEFT(B207,9)*1&lt;=1001998, "OK", IF(RIGHT(B207,2)*1=IF(MOD(E207,101)&gt;=100,0,MOD(E207,101)),"OK","ОШИБКА")))))</f>
        <v/>
      </c>
      <c r="G2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7">
        <f>IF(LEN(TRIM(A207))=10, --MID(A207,1,1)*2+--MID(A207,2,1)*4+--MID(A207,3,1)*10+--MID(A207,4,1)*3+--MID(A207,5,1)*5+--MID(A207,6,1)*9+--MID(A207,7,1)*4+--MID(A207,8,1)*6+--MID(A207,9,1)*8, IF(LEN(TRIM(A207))=12, --MID(A207,1,1)*7+--MID(A207,2,1)*2+--MID(A207,3,1)*4+--MID(A207,4,1)*10+--MID(A207,5,1)*3+--MID(A207,6,1)*5+--MID(A207,7,1)*9+--MID(A207,8,1)*4+--MID(A207,9,1)*6+--MID(A207,10,1)*8, ""))</f>
        <v/>
      </c>
      <c r="I207">
        <f>IF(LEN(TRIM(A207))=12, --MID(A207,1,1)*3+--MID(A207,2,1)*7+--MID(A207,3,1)*2+--MID(A207,4,1)*4+--MID(A207,5,1)*10+--MID(A207,6,1)*3+--MID(A207,7,1)*5+--MID(A207,8,1)*9+--MID(A207,9,1)*4+--MID(A207,10,1)*6+--MID(A207,11,1)*8, "")</f>
        <v/>
      </c>
    </row>
    <row r="208">
      <c r="A208">
        <f>SUBSTITUTE(SUBSTITUTE(SUBSTITUTE(SUBSTITUTE(TRIM(INDEX(Реестр!$B:$B,ROW())),CHAR(160),""),CHAR(9),""),CHAR(10),""),CHAR(13),"")</f>
        <v/>
      </c>
      <c r="B208">
        <f>SUBSTITUTE(SUBSTITUTE(SUBSTITUTE(SUBSTITUTE(SUBSTITUTE(SUBSTITUTE(SUBSTITUTE(TRIM(INDEX(Реестр!$D:$D, ROW())), "-", ""), " ", ""), CHAR(160), ""), CHAR(9), ""), CHAR(10), ""), CHAR(13), ""), CHAR(32), "")</f>
        <v/>
      </c>
      <c r="C208">
        <f>INDEX(Реестр!$H:$H, ROW())</f>
        <v/>
      </c>
      <c r="D208">
        <f>IF(OR(ISBLANK(INDEX(Реестр!$B:$B, ROW())), INDEX(Реестр!$B:$B, ROW())=""), " ", IF(IFERROR(ISNUMBER(--A208),FALSE), IF(LEN(A208)=10, IF(MOD(MOD(H208,11),10)=--RIGHT(A208,1), "OK", "ОШИБКА"), IF(LEN(A208)=12, IF(AND(MOD(MOD(H208,11),10)=--MID(A208,11,1), MOD(MOD(I208,11),10)=--RIGHT(A208,1)), "OK", "ОШИБКА"), "ДЛИНА (10 или 12)")), "НЕ ЦИФРЫ"))</f>
        <v/>
      </c>
      <c r="E208">
        <f>MID(B208,1,1)*9+MID(B208,2,1)*8+MID(B208,3,1)*7+MID(B208,4,1)*6+MID(B208,5,1)*5+MID(B208,6,1)*4+MID(B208,7,1)*3+MID(B208,8,1)*2+MID(B208,9,1)</f>
        <v/>
      </c>
      <c r="F208">
        <f>IF(B208="", " ", IF(LEN(B208)&lt;&gt;11, "ДЛИНА", IF(NOT(ISNUMBER(--B208)), "НЕ ЦИФРЫ", IF(LEFT(B208,9)*1&lt;=1001998, "OK", IF(RIGHT(B208,2)*1=IF(MOD(E208,101)&gt;=100,0,MOD(E208,101)),"OK","ОШИБКА")))))</f>
        <v/>
      </c>
      <c r="G2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8">
        <f>IF(LEN(TRIM(A208))=10, --MID(A208,1,1)*2+--MID(A208,2,1)*4+--MID(A208,3,1)*10+--MID(A208,4,1)*3+--MID(A208,5,1)*5+--MID(A208,6,1)*9+--MID(A208,7,1)*4+--MID(A208,8,1)*6+--MID(A208,9,1)*8, IF(LEN(TRIM(A208))=12, --MID(A208,1,1)*7+--MID(A208,2,1)*2+--MID(A208,3,1)*4+--MID(A208,4,1)*10+--MID(A208,5,1)*3+--MID(A208,6,1)*5+--MID(A208,7,1)*9+--MID(A208,8,1)*4+--MID(A208,9,1)*6+--MID(A208,10,1)*8, ""))</f>
        <v/>
      </c>
      <c r="I208">
        <f>IF(LEN(TRIM(A208))=12, --MID(A208,1,1)*3+--MID(A208,2,1)*7+--MID(A208,3,1)*2+--MID(A208,4,1)*4+--MID(A208,5,1)*10+--MID(A208,6,1)*3+--MID(A208,7,1)*5+--MID(A208,8,1)*9+--MID(A208,9,1)*4+--MID(A208,10,1)*6+--MID(A208,11,1)*8, "")</f>
        <v/>
      </c>
    </row>
    <row r="209">
      <c r="A209">
        <f>SUBSTITUTE(SUBSTITUTE(SUBSTITUTE(SUBSTITUTE(TRIM(INDEX(Реестр!$B:$B,ROW())),CHAR(160),""),CHAR(9),""),CHAR(10),""),CHAR(13),"")</f>
        <v/>
      </c>
      <c r="B209">
        <f>SUBSTITUTE(SUBSTITUTE(SUBSTITUTE(SUBSTITUTE(SUBSTITUTE(SUBSTITUTE(SUBSTITUTE(TRIM(INDEX(Реестр!$D:$D, ROW())), "-", ""), " ", ""), CHAR(160), ""), CHAR(9), ""), CHAR(10), ""), CHAR(13), ""), CHAR(32), "")</f>
        <v/>
      </c>
      <c r="C209">
        <f>INDEX(Реестр!$H:$H, ROW())</f>
        <v/>
      </c>
      <c r="D209">
        <f>IF(OR(ISBLANK(INDEX(Реестр!$B:$B, ROW())), INDEX(Реестр!$B:$B, ROW())=""), " ", IF(IFERROR(ISNUMBER(--A209),FALSE), IF(LEN(A209)=10, IF(MOD(MOD(H209,11),10)=--RIGHT(A209,1), "OK", "ОШИБКА"), IF(LEN(A209)=12, IF(AND(MOD(MOD(H209,11),10)=--MID(A209,11,1), MOD(MOD(I209,11),10)=--RIGHT(A209,1)), "OK", "ОШИБКА"), "ДЛИНА (10 или 12)")), "НЕ ЦИФРЫ"))</f>
        <v/>
      </c>
      <c r="E209">
        <f>MID(B209,1,1)*9+MID(B209,2,1)*8+MID(B209,3,1)*7+MID(B209,4,1)*6+MID(B209,5,1)*5+MID(B209,6,1)*4+MID(B209,7,1)*3+MID(B209,8,1)*2+MID(B209,9,1)</f>
        <v/>
      </c>
      <c r="F209">
        <f>IF(B209="", " ", IF(LEN(B209)&lt;&gt;11, "ДЛИНА", IF(NOT(ISNUMBER(--B209)), "НЕ ЦИФРЫ", IF(LEFT(B209,9)*1&lt;=1001998, "OK", IF(RIGHT(B209,2)*1=IF(MOD(E209,101)&gt;=100,0,MOD(E209,101)),"OK","ОШИБКА")))))</f>
        <v/>
      </c>
      <c r="G2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09">
        <f>IF(LEN(TRIM(A209))=10, --MID(A209,1,1)*2+--MID(A209,2,1)*4+--MID(A209,3,1)*10+--MID(A209,4,1)*3+--MID(A209,5,1)*5+--MID(A209,6,1)*9+--MID(A209,7,1)*4+--MID(A209,8,1)*6+--MID(A209,9,1)*8, IF(LEN(TRIM(A209))=12, --MID(A209,1,1)*7+--MID(A209,2,1)*2+--MID(A209,3,1)*4+--MID(A209,4,1)*10+--MID(A209,5,1)*3+--MID(A209,6,1)*5+--MID(A209,7,1)*9+--MID(A209,8,1)*4+--MID(A209,9,1)*6+--MID(A209,10,1)*8, ""))</f>
        <v/>
      </c>
      <c r="I209">
        <f>IF(LEN(TRIM(A209))=12, --MID(A209,1,1)*3+--MID(A209,2,1)*7+--MID(A209,3,1)*2+--MID(A209,4,1)*4+--MID(A209,5,1)*10+--MID(A209,6,1)*3+--MID(A209,7,1)*5+--MID(A209,8,1)*9+--MID(A209,9,1)*4+--MID(A209,10,1)*6+--MID(A209,11,1)*8, "")</f>
        <v/>
      </c>
    </row>
    <row r="210">
      <c r="A210">
        <f>SUBSTITUTE(SUBSTITUTE(SUBSTITUTE(SUBSTITUTE(TRIM(INDEX(Реестр!$B:$B,ROW())),CHAR(160),""),CHAR(9),""),CHAR(10),""),CHAR(13),"")</f>
        <v/>
      </c>
      <c r="B210">
        <f>SUBSTITUTE(SUBSTITUTE(SUBSTITUTE(SUBSTITUTE(SUBSTITUTE(SUBSTITUTE(SUBSTITUTE(TRIM(INDEX(Реестр!$D:$D, ROW())), "-", ""), " ", ""), CHAR(160), ""), CHAR(9), ""), CHAR(10), ""), CHAR(13), ""), CHAR(32), "")</f>
        <v/>
      </c>
      <c r="C210">
        <f>INDEX(Реестр!$H:$H, ROW())</f>
        <v/>
      </c>
      <c r="D210">
        <f>IF(OR(ISBLANK(INDEX(Реестр!$B:$B, ROW())), INDEX(Реестр!$B:$B, ROW())=""), " ", IF(IFERROR(ISNUMBER(--A210),FALSE), IF(LEN(A210)=10, IF(MOD(MOD(H210,11),10)=--RIGHT(A210,1), "OK", "ОШИБКА"), IF(LEN(A210)=12, IF(AND(MOD(MOD(H210,11),10)=--MID(A210,11,1), MOD(MOD(I210,11),10)=--RIGHT(A210,1)), "OK", "ОШИБКА"), "ДЛИНА (10 или 12)")), "НЕ ЦИФРЫ"))</f>
        <v/>
      </c>
      <c r="E210">
        <f>MID(B210,1,1)*9+MID(B210,2,1)*8+MID(B210,3,1)*7+MID(B210,4,1)*6+MID(B210,5,1)*5+MID(B210,6,1)*4+MID(B210,7,1)*3+MID(B210,8,1)*2+MID(B210,9,1)</f>
        <v/>
      </c>
      <c r="F210">
        <f>IF(B210="", " ", IF(LEN(B210)&lt;&gt;11, "ДЛИНА", IF(NOT(ISNUMBER(--B210)), "НЕ ЦИФРЫ", IF(LEFT(B210,9)*1&lt;=1001998, "OK", IF(RIGHT(B210,2)*1=IF(MOD(E210,101)&gt;=100,0,MOD(E210,101)),"OK","ОШИБКА")))))</f>
        <v/>
      </c>
      <c r="G2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0">
        <f>IF(LEN(TRIM(A210))=10, --MID(A210,1,1)*2+--MID(A210,2,1)*4+--MID(A210,3,1)*10+--MID(A210,4,1)*3+--MID(A210,5,1)*5+--MID(A210,6,1)*9+--MID(A210,7,1)*4+--MID(A210,8,1)*6+--MID(A210,9,1)*8, IF(LEN(TRIM(A210))=12, --MID(A210,1,1)*7+--MID(A210,2,1)*2+--MID(A210,3,1)*4+--MID(A210,4,1)*10+--MID(A210,5,1)*3+--MID(A210,6,1)*5+--MID(A210,7,1)*9+--MID(A210,8,1)*4+--MID(A210,9,1)*6+--MID(A210,10,1)*8, ""))</f>
        <v/>
      </c>
      <c r="I210">
        <f>IF(LEN(TRIM(A210))=12, --MID(A210,1,1)*3+--MID(A210,2,1)*7+--MID(A210,3,1)*2+--MID(A210,4,1)*4+--MID(A210,5,1)*10+--MID(A210,6,1)*3+--MID(A210,7,1)*5+--MID(A210,8,1)*9+--MID(A210,9,1)*4+--MID(A210,10,1)*6+--MID(A210,11,1)*8, "")</f>
        <v/>
      </c>
    </row>
    <row r="211">
      <c r="A211">
        <f>SUBSTITUTE(SUBSTITUTE(SUBSTITUTE(SUBSTITUTE(TRIM(INDEX(Реестр!$B:$B,ROW())),CHAR(160),""),CHAR(9),""),CHAR(10),""),CHAR(13),"")</f>
        <v/>
      </c>
      <c r="B211">
        <f>SUBSTITUTE(SUBSTITUTE(SUBSTITUTE(SUBSTITUTE(SUBSTITUTE(SUBSTITUTE(SUBSTITUTE(TRIM(INDEX(Реестр!$D:$D, ROW())), "-", ""), " ", ""), CHAR(160), ""), CHAR(9), ""), CHAR(10), ""), CHAR(13), ""), CHAR(32), "")</f>
        <v/>
      </c>
      <c r="C211">
        <f>INDEX(Реестр!$H:$H, ROW())</f>
        <v/>
      </c>
      <c r="D211">
        <f>IF(OR(ISBLANK(INDEX(Реестр!$B:$B, ROW())), INDEX(Реестр!$B:$B, ROW())=""), " ", IF(IFERROR(ISNUMBER(--A211),FALSE), IF(LEN(A211)=10, IF(MOD(MOD(H211,11),10)=--RIGHT(A211,1), "OK", "ОШИБКА"), IF(LEN(A211)=12, IF(AND(MOD(MOD(H211,11),10)=--MID(A211,11,1), MOD(MOD(I211,11),10)=--RIGHT(A211,1)), "OK", "ОШИБКА"), "ДЛИНА (10 или 12)")), "НЕ ЦИФРЫ"))</f>
        <v/>
      </c>
      <c r="E211">
        <f>MID(B211,1,1)*9+MID(B211,2,1)*8+MID(B211,3,1)*7+MID(B211,4,1)*6+MID(B211,5,1)*5+MID(B211,6,1)*4+MID(B211,7,1)*3+MID(B211,8,1)*2+MID(B211,9,1)</f>
        <v/>
      </c>
      <c r="F211">
        <f>IF(B211="", " ", IF(LEN(B211)&lt;&gt;11, "ДЛИНА", IF(NOT(ISNUMBER(--B211)), "НЕ ЦИФРЫ", IF(LEFT(B211,9)*1&lt;=1001998, "OK", IF(RIGHT(B211,2)*1=IF(MOD(E211,101)&gt;=100,0,MOD(E211,101)),"OK","ОШИБКА")))))</f>
        <v/>
      </c>
      <c r="G2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1">
        <f>IF(LEN(TRIM(A211))=10, --MID(A211,1,1)*2+--MID(A211,2,1)*4+--MID(A211,3,1)*10+--MID(A211,4,1)*3+--MID(A211,5,1)*5+--MID(A211,6,1)*9+--MID(A211,7,1)*4+--MID(A211,8,1)*6+--MID(A211,9,1)*8, IF(LEN(TRIM(A211))=12, --MID(A211,1,1)*7+--MID(A211,2,1)*2+--MID(A211,3,1)*4+--MID(A211,4,1)*10+--MID(A211,5,1)*3+--MID(A211,6,1)*5+--MID(A211,7,1)*9+--MID(A211,8,1)*4+--MID(A211,9,1)*6+--MID(A211,10,1)*8, ""))</f>
        <v/>
      </c>
      <c r="I211">
        <f>IF(LEN(TRIM(A211))=12, --MID(A211,1,1)*3+--MID(A211,2,1)*7+--MID(A211,3,1)*2+--MID(A211,4,1)*4+--MID(A211,5,1)*10+--MID(A211,6,1)*3+--MID(A211,7,1)*5+--MID(A211,8,1)*9+--MID(A211,9,1)*4+--MID(A211,10,1)*6+--MID(A211,11,1)*8, "")</f>
        <v/>
      </c>
    </row>
    <row r="212">
      <c r="A212">
        <f>SUBSTITUTE(SUBSTITUTE(SUBSTITUTE(SUBSTITUTE(TRIM(INDEX(Реестр!$B:$B,ROW())),CHAR(160),""),CHAR(9),""),CHAR(10),""),CHAR(13),"")</f>
        <v/>
      </c>
      <c r="B212">
        <f>SUBSTITUTE(SUBSTITUTE(SUBSTITUTE(SUBSTITUTE(SUBSTITUTE(SUBSTITUTE(SUBSTITUTE(TRIM(INDEX(Реестр!$D:$D, ROW())), "-", ""), " ", ""), CHAR(160), ""), CHAR(9), ""), CHAR(10), ""), CHAR(13), ""), CHAR(32), "")</f>
        <v/>
      </c>
      <c r="C212">
        <f>INDEX(Реестр!$H:$H, ROW())</f>
        <v/>
      </c>
      <c r="D212">
        <f>IF(OR(ISBLANK(INDEX(Реестр!$B:$B, ROW())), INDEX(Реестр!$B:$B, ROW())=""), " ", IF(IFERROR(ISNUMBER(--A212),FALSE), IF(LEN(A212)=10, IF(MOD(MOD(H212,11),10)=--RIGHT(A212,1), "OK", "ОШИБКА"), IF(LEN(A212)=12, IF(AND(MOD(MOD(H212,11),10)=--MID(A212,11,1), MOD(MOD(I212,11),10)=--RIGHT(A212,1)), "OK", "ОШИБКА"), "ДЛИНА (10 или 12)")), "НЕ ЦИФРЫ"))</f>
        <v/>
      </c>
      <c r="E212">
        <f>MID(B212,1,1)*9+MID(B212,2,1)*8+MID(B212,3,1)*7+MID(B212,4,1)*6+MID(B212,5,1)*5+MID(B212,6,1)*4+MID(B212,7,1)*3+MID(B212,8,1)*2+MID(B212,9,1)</f>
        <v/>
      </c>
      <c r="F212">
        <f>IF(B212="", " ", IF(LEN(B212)&lt;&gt;11, "ДЛИНА", IF(NOT(ISNUMBER(--B212)), "НЕ ЦИФРЫ", IF(LEFT(B212,9)*1&lt;=1001998, "OK", IF(RIGHT(B212,2)*1=IF(MOD(E212,101)&gt;=100,0,MOD(E212,101)),"OK","ОШИБКА")))))</f>
        <v/>
      </c>
      <c r="G2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2">
        <f>IF(LEN(TRIM(A212))=10, --MID(A212,1,1)*2+--MID(A212,2,1)*4+--MID(A212,3,1)*10+--MID(A212,4,1)*3+--MID(A212,5,1)*5+--MID(A212,6,1)*9+--MID(A212,7,1)*4+--MID(A212,8,1)*6+--MID(A212,9,1)*8, IF(LEN(TRIM(A212))=12, --MID(A212,1,1)*7+--MID(A212,2,1)*2+--MID(A212,3,1)*4+--MID(A212,4,1)*10+--MID(A212,5,1)*3+--MID(A212,6,1)*5+--MID(A212,7,1)*9+--MID(A212,8,1)*4+--MID(A212,9,1)*6+--MID(A212,10,1)*8, ""))</f>
        <v/>
      </c>
      <c r="I212">
        <f>IF(LEN(TRIM(A212))=12, --MID(A212,1,1)*3+--MID(A212,2,1)*7+--MID(A212,3,1)*2+--MID(A212,4,1)*4+--MID(A212,5,1)*10+--MID(A212,6,1)*3+--MID(A212,7,1)*5+--MID(A212,8,1)*9+--MID(A212,9,1)*4+--MID(A212,10,1)*6+--MID(A212,11,1)*8, "")</f>
        <v/>
      </c>
    </row>
    <row r="213">
      <c r="A213">
        <f>SUBSTITUTE(SUBSTITUTE(SUBSTITUTE(SUBSTITUTE(TRIM(INDEX(Реестр!$B:$B,ROW())),CHAR(160),""),CHAR(9),""),CHAR(10),""),CHAR(13),"")</f>
        <v/>
      </c>
      <c r="B213">
        <f>SUBSTITUTE(SUBSTITUTE(SUBSTITUTE(SUBSTITUTE(SUBSTITUTE(SUBSTITUTE(SUBSTITUTE(TRIM(INDEX(Реестр!$D:$D, ROW())), "-", ""), " ", ""), CHAR(160), ""), CHAR(9), ""), CHAR(10), ""), CHAR(13), ""), CHAR(32), "")</f>
        <v/>
      </c>
      <c r="C213">
        <f>INDEX(Реестр!$H:$H, ROW())</f>
        <v/>
      </c>
      <c r="D213">
        <f>IF(OR(ISBLANK(INDEX(Реестр!$B:$B, ROW())), INDEX(Реестр!$B:$B, ROW())=""), " ", IF(IFERROR(ISNUMBER(--A213),FALSE), IF(LEN(A213)=10, IF(MOD(MOD(H213,11),10)=--RIGHT(A213,1), "OK", "ОШИБКА"), IF(LEN(A213)=12, IF(AND(MOD(MOD(H213,11),10)=--MID(A213,11,1), MOD(MOD(I213,11),10)=--RIGHT(A213,1)), "OK", "ОШИБКА"), "ДЛИНА (10 или 12)")), "НЕ ЦИФРЫ"))</f>
        <v/>
      </c>
      <c r="E213">
        <f>MID(B213,1,1)*9+MID(B213,2,1)*8+MID(B213,3,1)*7+MID(B213,4,1)*6+MID(B213,5,1)*5+MID(B213,6,1)*4+MID(B213,7,1)*3+MID(B213,8,1)*2+MID(B213,9,1)</f>
        <v/>
      </c>
      <c r="F213">
        <f>IF(B213="", " ", IF(LEN(B213)&lt;&gt;11, "ДЛИНА", IF(NOT(ISNUMBER(--B213)), "НЕ ЦИФРЫ", IF(LEFT(B213,9)*1&lt;=1001998, "OK", IF(RIGHT(B213,2)*1=IF(MOD(E213,101)&gt;=100,0,MOD(E213,101)),"OK","ОШИБКА")))))</f>
        <v/>
      </c>
      <c r="G2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3">
        <f>IF(LEN(TRIM(A213))=10, --MID(A213,1,1)*2+--MID(A213,2,1)*4+--MID(A213,3,1)*10+--MID(A213,4,1)*3+--MID(A213,5,1)*5+--MID(A213,6,1)*9+--MID(A213,7,1)*4+--MID(A213,8,1)*6+--MID(A213,9,1)*8, IF(LEN(TRIM(A213))=12, --MID(A213,1,1)*7+--MID(A213,2,1)*2+--MID(A213,3,1)*4+--MID(A213,4,1)*10+--MID(A213,5,1)*3+--MID(A213,6,1)*5+--MID(A213,7,1)*9+--MID(A213,8,1)*4+--MID(A213,9,1)*6+--MID(A213,10,1)*8, ""))</f>
        <v/>
      </c>
      <c r="I213">
        <f>IF(LEN(TRIM(A213))=12, --MID(A213,1,1)*3+--MID(A213,2,1)*7+--MID(A213,3,1)*2+--MID(A213,4,1)*4+--MID(A213,5,1)*10+--MID(A213,6,1)*3+--MID(A213,7,1)*5+--MID(A213,8,1)*9+--MID(A213,9,1)*4+--MID(A213,10,1)*6+--MID(A213,11,1)*8, "")</f>
        <v/>
      </c>
    </row>
    <row r="214">
      <c r="A214">
        <f>SUBSTITUTE(SUBSTITUTE(SUBSTITUTE(SUBSTITUTE(TRIM(INDEX(Реестр!$B:$B,ROW())),CHAR(160),""),CHAR(9),""),CHAR(10),""),CHAR(13),"")</f>
        <v/>
      </c>
      <c r="B214">
        <f>SUBSTITUTE(SUBSTITUTE(SUBSTITUTE(SUBSTITUTE(SUBSTITUTE(SUBSTITUTE(SUBSTITUTE(TRIM(INDEX(Реестр!$D:$D, ROW())), "-", ""), " ", ""), CHAR(160), ""), CHAR(9), ""), CHAR(10), ""), CHAR(13), ""), CHAR(32), "")</f>
        <v/>
      </c>
      <c r="C214">
        <f>INDEX(Реестр!$H:$H, ROW())</f>
        <v/>
      </c>
      <c r="D214">
        <f>IF(OR(ISBLANK(INDEX(Реестр!$B:$B, ROW())), INDEX(Реестр!$B:$B, ROW())=""), " ", IF(IFERROR(ISNUMBER(--A214),FALSE), IF(LEN(A214)=10, IF(MOD(MOD(H214,11),10)=--RIGHT(A214,1), "OK", "ОШИБКА"), IF(LEN(A214)=12, IF(AND(MOD(MOD(H214,11),10)=--MID(A214,11,1), MOD(MOD(I214,11),10)=--RIGHT(A214,1)), "OK", "ОШИБКА"), "ДЛИНА (10 или 12)")), "НЕ ЦИФРЫ"))</f>
        <v/>
      </c>
      <c r="E214">
        <f>MID(B214,1,1)*9+MID(B214,2,1)*8+MID(B214,3,1)*7+MID(B214,4,1)*6+MID(B214,5,1)*5+MID(B214,6,1)*4+MID(B214,7,1)*3+MID(B214,8,1)*2+MID(B214,9,1)</f>
        <v/>
      </c>
      <c r="F214">
        <f>IF(B214="", " ", IF(LEN(B214)&lt;&gt;11, "ДЛИНА", IF(NOT(ISNUMBER(--B214)), "НЕ ЦИФРЫ", IF(LEFT(B214,9)*1&lt;=1001998, "OK", IF(RIGHT(B214,2)*1=IF(MOD(E214,101)&gt;=100,0,MOD(E214,101)),"OK","ОШИБКА")))))</f>
        <v/>
      </c>
      <c r="G2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4">
        <f>IF(LEN(TRIM(A214))=10, --MID(A214,1,1)*2+--MID(A214,2,1)*4+--MID(A214,3,1)*10+--MID(A214,4,1)*3+--MID(A214,5,1)*5+--MID(A214,6,1)*9+--MID(A214,7,1)*4+--MID(A214,8,1)*6+--MID(A214,9,1)*8, IF(LEN(TRIM(A214))=12, --MID(A214,1,1)*7+--MID(A214,2,1)*2+--MID(A214,3,1)*4+--MID(A214,4,1)*10+--MID(A214,5,1)*3+--MID(A214,6,1)*5+--MID(A214,7,1)*9+--MID(A214,8,1)*4+--MID(A214,9,1)*6+--MID(A214,10,1)*8, ""))</f>
        <v/>
      </c>
      <c r="I214">
        <f>IF(LEN(TRIM(A214))=12, --MID(A214,1,1)*3+--MID(A214,2,1)*7+--MID(A214,3,1)*2+--MID(A214,4,1)*4+--MID(A214,5,1)*10+--MID(A214,6,1)*3+--MID(A214,7,1)*5+--MID(A214,8,1)*9+--MID(A214,9,1)*4+--MID(A214,10,1)*6+--MID(A214,11,1)*8, "")</f>
        <v/>
      </c>
    </row>
    <row r="215">
      <c r="A215">
        <f>SUBSTITUTE(SUBSTITUTE(SUBSTITUTE(SUBSTITUTE(TRIM(INDEX(Реестр!$B:$B,ROW())),CHAR(160),""),CHAR(9),""),CHAR(10),""),CHAR(13),"")</f>
        <v/>
      </c>
      <c r="B215">
        <f>SUBSTITUTE(SUBSTITUTE(SUBSTITUTE(SUBSTITUTE(SUBSTITUTE(SUBSTITUTE(SUBSTITUTE(TRIM(INDEX(Реестр!$D:$D, ROW())), "-", ""), " ", ""), CHAR(160), ""), CHAR(9), ""), CHAR(10), ""), CHAR(13), ""), CHAR(32), "")</f>
        <v/>
      </c>
      <c r="C215">
        <f>INDEX(Реестр!$H:$H, ROW())</f>
        <v/>
      </c>
      <c r="D215">
        <f>IF(OR(ISBLANK(INDEX(Реестр!$B:$B, ROW())), INDEX(Реестр!$B:$B, ROW())=""), " ", IF(IFERROR(ISNUMBER(--A215),FALSE), IF(LEN(A215)=10, IF(MOD(MOD(H215,11),10)=--RIGHT(A215,1), "OK", "ОШИБКА"), IF(LEN(A215)=12, IF(AND(MOD(MOD(H215,11),10)=--MID(A215,11,1), MOD(MOD(I215,11),10)=--RIGHT(A215,1)), "OK", "ОШИБКА"), "ДЛИНА (10 или 12)")), "НЕ ЦИФРЫ"))</f>
        <v/>
      </c>
      <c r="E215">
        <f>MID(B215,1,1)*9+MID(B215,2,1)*8+MID(B215,3,1)*7+MID(B215,4,1)*6+MID(B215,5,1)*5+MID(B215,6,1)*4+MID(B215,7,1)*3+MID(B215,8,1)*2+MID(B215,9,1)</f>
        <v/>
      </c>
      <c r="F215">
        <f>IF(B215="", " ", IF(LEN(B215)&lt;&gt;11, "ДЛИНА", IF(NOT(ISNUMBER(--B215)), "НЕ ЦИФРЫ", IF(LEFT(B215,9)*1&lt;=1001998, "OK", IF(RIGHT(B215,2)*1=IF(MOD(E215,101)&gt;=100,0,MOD(E215,101)),"OK","ОШИБКА")))))</f>
        <v/>
      </c>
      <c r="G2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5">
        <f>IF(LEN(TRIM(A215))=10, --MID(A215,1,1)*2+--MID(A215,2,1)*4+--MID(A215,3,1)*10+--MID(A215,4,1)*3+--MID(A215,5,1)*5+--MID(A215,6,1)*9+--MID(A215,7,1)*4+--MID(A215,8,1)*6+--MID(A215,9,1)*8, IF(LEN(TRIM(A215))=12, --MID(A215,1,1)*7+--MID(A215,2,1)*2+--MID(A215,3,1)*4+--MID(A215,4,1)*10+--MID(A215,5,1)*3+--MID(A215,6,1)*5+--MID(A215,7,1)*9+--MID(A215,8,1)*4+--MID(A215,9,1)*6+--MID(A215,10,1)*8, ""))</f>
        <v/>
      </c>
      <c r="I215">
        <f>IF(LEN(TRIM(A215))=12, --MID(A215,1,1)*3+--MID(A215,2,1)*7+--MID(A215,3,1)*2+--MID(A215,4,1)*4+--MID(A215,5,1)*10+--MID(A215,6,1)*3+--MID(A215,7,1)*5+--MID(A215,8,1)*9+--MID(A215,9,1)*4+--MID(A215,10,1)*6+--MID(A215,11,1)*8, "")</f>
        <v/>
      </c>
    </row>
    <row r="216">
      <c r="A216">
        <f>SUBSTITUTE(SUBSTITUTE(SUBSTITUTE(SUBSTITUTE(TRIM(INDEX(Реестр!$B:$B,ROW())),CHAR(160),""),CHAR(9),""),CHAR(10),""),CHAR(13),"")</f>
        <v/>
      </c>
      <c r="B216">
        <f>SUBSTITUTE(SUBSTITUTE(SUBSTITUTE(SUBSTITUTE(SUBSTITUTE(SUBSTITUTE(SUBSTITUTE(TRIM(INDEX(Реестр!$D:$D, ROW())), "-", ""), " ", ""), CHAR(160), ""), CHAR(9), ""), CHAR(10), ""), CHAR(13), ""), CHAR(32), "")</f>
        <v/>
      </c>
      <c r="C216">
        <f>INDEX(Реестр!$H:$H, ROW())</f>
        <v/>
      </c>
      <c r="D216">
        <f>IF(OR(ISBLANK(INDEX(Реестр!$B:$B, ROW())), INDEX(Реестр!$B:$B, ROW())=""), " ", IF(IFERROR(ISNUMBER(--A216),FALSE), IF(LEN(A216)=10, IF(MOD(MOD(H216,11),10)=--RIGHT(A216,1), "OK", "ОШИБКА"), IF(LEN(A216)=12, IF(AND(MOD(MOD(H216,11),10)=--MID(A216,11,1), MOD(MOD(I216,11),10)=--RIGHT(A216,1)), "OK", "ОШИБКА"), "ДЛИНА (10 или 12)")), "НЕ ЦИФРЫ"))</f>
        <v/>
      </c>
      <c r="E216">
        <f>MID(B216,1,1)*9+MID(B216,2,1)*8+MID(B216,3,1)*7+MID(B216,4,1)*6+MID(B216,5,1)*5+MID(B216,6,1)*4+MID(B216,7,1)*3+MID(B216,8,1)*2+MID(B216,9,1)</f>
        <v/>
      </c>
      <c r="F216">
        <f>IF(B216="", " ", IF(LEN(B216)&lt;&gt;11, "ДЛИНА", IF(NOT(ISNUMBER(--B216)), "НЕ ЦИФРЫ", IF(LEFT(B216,9)*1&lt;=1001998, "OK", IF(RIGHT(B216,2)*1=IF(MOD(E216,101)&gt;=100,0,MOD(E216,101)),"OK","ОШИБКА")))))</f>
        <v/>
      </c>
      <c r="G2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6">
        <f>IF(LEN(TRIM(A216))=10, --MID(A216,1,1)*2+--MID(A216,2,1)*4+--MID(A216,3,1)*10+--MID(A216,4,1)*3+--MID(A216,5,1)*5+--MID(A216,6,1)*9+--MID(A216,7,1)*4+--MID(A216,8,1)*6+--MID(A216,9,1)*8, IF(LEN(TRIM(A216))=12, --MID(A216,1,1)*7+--MID(A216,2,1)*2+--MID(A216,3,1)*4+--MID(A216,4,1)*10+--MID(A216,5,1)*3+--MID(A216,6,1)*5+--MID(A216,7,1)*9+--MID(A216,8,1)*4+--MID(A216,9,1)*6+--MID(A216,10,1)*8, ""))</f>
        <v/>
      </c>
      <c r="I216">
        <f>IF(LEN(TRIM(A216))=12, --MID(A216,1,1)*3+--MID(A216,2,1)*7+--MID(A216,3,1)*2+--MID(A216,4,1)*4+--MID(A216,5,1)*10+--MID(A216,6,1)*3+--MID(A216,7,1)*5+--MID(A216,8,1)*9+--MID(A216,9,1)*4+--MID(A216,10,1)*6+--MID(A216,11,1)*8, "")</f>
        <v/>
      </c>
    </row>
    <row r="217">
      <c r="A217">
        <f>SUBSTITUTE(SUBSTITUTE(SUBSTITUTE(SUBSTITUTE(TRIM(INDEX(Реестр!$B:$B,ROW())),CHAR(160),""),CHAR(9),""),CHAR(10),""),CHAR(13),"")</f>
        <v/>
      </c>
      <c r="B217">
        <f>SUBSTITUTE(SUBSTITUTE(SUBSTITUTE(SUBSTITUTE(SUBSTITUTE(SUBSTITUTE(SUBSTITUTE(TRIM(INDEX(Реестр!$D:$D, ROW())), "-", ""), " ", ""), CHAR(160), ""), CHAR(9), ""), CHAR(10), ""), CHAR(13), ""), CHAR(32), "")</f>
        <v/>
      </c>
      <c r="C217">
        <f>INDEX(Реестр!$H:$H, ROW())</f>
        <v/>
      </c>
      <c r="D217">
        <f>IF(OR(ISBLANK(INDEX(Реестр!$B:$B, ROW())), INDEX(Реестр!$B:$B, ROW())=""), " ", IF(IFERROR(ISNUMBER(--A217),FALSE), IF(LEN(A217)=10, IF(MOD(MOD(H217,11),10)=--RIGHT(A217,1), "OK", "ОШИБКА"), IF(LEN(A217)=12, IF(AND(MOD(MOD(H217,11),10)=--MID(A217,11,1), MOD(MOD(I217,11),10)=--RIGHT(A217,1)), "OK", "ОШИБКА"), "ДЛИНА (10 или 12)")), "НЕ ЦИФРЫ"))</f>
        <v/>
      </c>
      <c r="E217">
        <f>MID(B217,1,1)*9+MID(B217,2,1)*8+MID(B217,3,1)*7+MID(B217,4,1)*6+MID(B217,5,1)*5+MID(B217,6,1)*4+MID(B217,7,1)*3+MID(B217,8,1)*2+MID(B217,9,1)</f>
        <v/>
      </c>
      <c r="F217">
        <f>IF(B217="", " ", IF(LEN(B217)&lt;&gt;11, "ДЛИНА", IF(NOT(ISNUMBER(--B217)), "НЕ ЦИФРЫ", IF(LEFT(B217,9)*1&lt;=1001998, "OK", IF(RIGHT(B217,2)*1=IF(MOD(E217,101)&gt;=100,0,MOD(E217,101)),"OK","ОШИБКА")))))</f>
        <v/>
      </c>
      <c r="G2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7">
        <f>IF(LEN(TRIM(A217))=10, --MID(A217,1,1)*2+--MID(A217,2,1)*4+--MID(A217,3,1)*10+--MID(A217,4,1)*3+--MID(A217,5,1)*5+--MID(A217,6,1)*9+--MID(A217,7,1)*4+--MID(A217,8,1)*6+--MID(A217,9,1)*8, IF(LEN(TRIM(A217))=12, --MID(A217,1,1)*7+--MID(A217,2,1)*2+--MID(A217,3,1)*4+--MID(A217,4,1)*10+--MID(A217,5,1)*3+--MID(A217,6,1)*5+--MID(A217,7,1)*9+--MID(A217,8,1)*4+--MID(A217,9,1)*6+--MID(A217,10,1)*8, ""))</f>
        <v/>
      </c>
      <c r="I217">
        <f>IF(LEN(TRIM(A217))=12, --MID(A217,1,1)*3+--MID(A217,2,1)*7+--MID(A217,3,1)*2+--MID(A217,4,1)*4+--MID(A217,5,1)*10+--MID(A217,6,1)*3+--MID(A217,7,1)*5+--MID(A217,8,1)*9+--MID(A217,9,1)*4+--MID(A217,10,1)*6+--MID(A217,11,1)*8, "")</f>
        <v/>
      </c>
    </row>
    <row r="218">
      <c r="A218">
        <f>SUBSTITUTE(SUBSTITUTE(SUBSTITUTE(SUBSTITUTE(TRIM(INDEX(Реестр!$B:$B,ROW())),CHAR(160),""),CHAR(9),""),CHAR(10),""),CHAR(13),"")</f>
        <v/>
      </c>
      <c r="B218">
        <f>SUBSTITUTE(SUBSTITUTE(SUBSTITUTE(SUBSTITUTE(SUBSTITUTE(SUBSTITUTE(SUBSTITUTE(TRIM(INDEX(Реестр!$D:$D, ROW())), "-", ""), " ", ""), CHAR(160), ""), CHAR(9), ""), CHAR(10), ""), CHAR(13), ""), CHAR(32), "")</f>
        <v/>
      </c>
      <c r="C218">
        <f>INDEX(Реестр!$H:$H, ROW())</f>
        <v/>
      </c>
      <c r="D218">
        <f>IF(OR(ISBLANK(INDEX(Реестр!$B:$B, ROW())), INDEX(Реестр!$B:$B, ROW())=""), " ", IF(IFERROR(ISNUMBER(--A218),FALSE), IF(LEN(A218)=10, IF(MOD(MOD(H218,11),10)=--RIGHT(A218,1), "OK", "ОШИБКА"), IF(LEN(A218)=12, IF(AND(MOD(MOD(H218,11),10)=--MID(A218,11,1), MOD(MOD(I218,11),10)=--RIGHT(A218,1)), "OK", "ОШИБКА"), "ДЛИНА (10 или 12)")), "НЕ ЦИФРЫ"))</f>
        <v/>
      </c>
      <c r="E218">
        <f>MID(B218,1,1)*9+MID(B218,2,1)*8+MID(B218,3,1)*7+MID(B218,4,1)*6+MID(B218,5,1)*5+MID(B218,6,1)*4+MID(B218,7,1)*3+MID(B218,8,1)*2+MID(B218,9,1)</f>
        <v/>
      </c>
      <c r="F218">
        <f>IF(B218="", " ", IF(LEN(B218)&lt;&gt;11, "ДЛИНА", IF(NOT(ISNUMBER(--B218)), "НЕ ЦИФРЫ", IF(LEFT(B218,9)*1&lt;=1001998, "OK", IF(RIGHT(B218,2)*1=IF(MOD(E218,101)&gt;=100,0,MOD(E218,101)),"OK","ОШИБКА")))))</f>
        <v/>
      </c>
      <c r="G2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8">
        <f>IF(LEN(TRIM(A218))=10, --MID(A218,1,1)*2+--MID(A218,2,1)*4+--MID(A218,3,1)*10+--MID(A218,4,1)*3+--MID(A218,5,1)*5+--MID(A218,6,1)*9+--MID(A218,7,1)*4+--MID(A218,8,1)*6+--MID(A218,9,1)*8, IF(LEN(TRIM(A218))=12, --MID(A218,1,1)*7+--MID(A218,2,1)*2+--MID(A218,3,1)*4+--MID(A218,4,1)*10+--MID(A218,5,1)*3+--MID(A218,6,1)*5+--MID(A218,7,1)*9+--MID(A218,8,1)*4+--MID(A218,9,1)*6+--MID(A218,10,1)*8, ""))</f>
        <v/>
      </c>
      <c r="I218">
        <f>IF(LEN(TRIM(A218))=12, --MID(A218,1,1)*3+--MID(A218,2,1)*7+--MID(A218,3,1)*2+--MID(A218,4,1)*4+--MID(A218,5,1)*10+--MID(A218,6,1)*3+--MID(A218,7,1)*5+--MID(A218,8,1)*9+--MID(A218,9,1)*4+--MID(A218,10,1)*6+--MID(A218,11,1)*8, "")</f>
        <v/>
      </c>
    </row>
    <row r="219">
      <c r="A219">
        <f>SUBSTITUTE(SUBSTITUTE(SUBSTITUTE(SUBSTITUTE(TRIM(INDEX(Реестр!$B:$B,ROW())),CHAR(160),""),CHAR(9),""),CHAR(10),""),CHAR(13),"")</f>
        <v/>
      </c>
      <c r="B219">
        <f>SUBSTITUTE(SUBSTITUTE(SUBSTITUTE(SUBSTITUTE(SUBSTITUTE(SUBSTITUTE(SUBSTITUTE(TRIM(INDEX(Реестр!$D:$D, ROW())), "-", ""), " ", ""), CHAR(160), ""), CHAR(9), ""), CHAR(10), ""), CHAR(13), ""), CHAR(32), "")</f>
        <v/>
      </c>
      <c r="C219">
        <f>INDEX(Реестр!$H:$H, ROW())</f>
        <v/>
      </c>
      <c r="D219">
        <f>IF(OR(ISBLANK(INDEX(Реестр!$B:$B, ROW())), INDEX(Реестр!$B:$B, ROW())=""), " ", IF(IFERROR(ISNUMBER(--A219),FALSE), IF(LEN(A219)=10, IF(MOD(MOD(H219,11),10)=--RIGHT(A219,1), "OK", "ОШИБКА"), IF(LEN(A219)=12, IF(AND(MOD(MOD(H219,11),10)=--MID(A219,11,1), MOD(MOD(I219,11),10)=--RIGHT(A219,1)), "OK", "ОШИБКА"), "ДЛИНА (10 или 12)")), "НЕ ЦИФРЫ"))</f>
        <v/>
      </c>
      <c r="E219">
        <f>MID(B219,1,1)*9+MID(B219,2,1)*8+MID(B219,3,1)*7+MID(B219,4,1)*6+MID(B219,5,1)*5+MID(B219,6,1)*4+MID(B219,7,1)*3+MID(B219,8,1)*2+MID(B219,9,1)</f>
        <v/>
      </c>
      <c r="F219">
        <f>IF(B219="", " ", IF(LEN(B219)&lt;&gt;11, "ДЛИНА", IF(NOT(ISNUMBER(--B219)), "НЕ ЦИФРЫ", IF(LEFT(B219,9)*1&lt;=1001998, "OK", IF(RIGHT(B219,2)*1=IF(MOD(E219,101)&gt;=100,0,MOD(E219,101)),"OK","ОШИБКА")))))</f>
        <v/>
      </c>
      <c r="G2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19">
        <f>IF(LEN(TRIM(A219))=10, --MID(A219,1,1)*2+--MID(A219,2,1)*4+--MID(A219,3,1)*10+--MID(A219,4,1)*3+--MID(A219,5,1)*5+--MID(A219,6,1)*9+--MID(A219,7,1)*4+--MID(A219,8,1)*6+--MID(A219,9,1)*8, IF(LEN(TRIM(A219))=12, --MID(A219,1,1)*7+--MID(A219,2,1)*2+--MID(A219,3,1)*4+--MID(A219,4,1)*10+--MID(A219,5,1)*3+--MID(A219,6,1)*5+--MID(A219,7,1)*9+--MID(A219,8,1)*4+--MID(A219,9,1)*6+--MID(A219,10,1)*8, ""))</f>
        <v/>
      </c>
      <c r="I219">
        <f>IF(LEN(TRIM(A219))=12, --MID(A219,1,1)*3+--MID(A219,2,1)*7+--MID(A219,3,1)*2+--MID(A219,4,1)*4+--MID(A219,5,1)*10+--MID(A219,6,1)*3+--MID(A219,7,1)*5+--MID(A219,8,1)*9+--MID(A219,9,1)*4+--MID(A219,10,1)*6+--MID(A219,11,1)*8, "")</f>
        <v/>
      </c>
    </row>
    <row r="220">
      <c r="A220">
        <f>SUBSTITUTE(SUBSTITUTE(SUBSTITUTE(SUBSTITUTE(TRIM(INDEX(Реестр!$B:$B,ROW())),CHAR(160),""),CHAR(9),""),CHAR(10),""),CHAR(13),"")</f>
        <v/>
      </c>
      <c r="B220">
        <f>SUBSTITUTE(SUBSTITUTE(SUBSTITUTE(SUBSTITUTE(SUBSTITUTE(SUBSTITUTE(SUBSTITUTE(TRIM(INDEX(Реестр!$D:$D, ROW())), "-", ""), " ", ""), CHAR(160), ""), CHAR(9), ""), CHAR(10), ""), CHAR(13), ""), CHAR(32), "")</f>
        <v/>
      </c>
      <c r="C220">
        <f>INDEX(Реестр!$H:$H, ROW())</f>
        <v/>
      </c>
      <c r="D220">
        <f>IF(OR(ISBLANK(INDEX(Реестр!$B:$B, ROW())), INDEX(Реестр!$B:$B, ROW())=""), " ", IF(IFERROR(ISNUMBER(--A220),FALSE), IF(LEN(A220)=10, IF(MOD(MOD(H220,11),10)=--RIGHT(A220,1), "OK", "ОШИБКА"), IF(LEN(A220)=12, IF(AND(MOD(MOD(H220,11),10)=--MID(A220,11,1), MOD(MOD(I220,11),10)=--RIGHT(A220,1)), "OK", "ОШИБКА"), "ДЛИНА (10 или 12)")), "НЕ ЦИФРЫ"))</f>
        <v/>
      </c>
      <c r="E220">
        <f>MID(B220,1,1)*9+MID(B220,2,1)*8+MID(B220,3,1)*7+MID(B220,4,1)*6+MID(B220,5,1)*5+MID(B220,6,1)*4+MID(B220,7,1)*3+MID(B220,8,1)*2+MID(B220,9,1)</f>
        <v/>
      </c>
      <c r="F220">
        <f>IF(B220="", " ", IF(LEN(B220)&lt;&gt;11, "ДЛИНА", IF(NOT(ISNUMBER(--B220)), "НЕ ЦИФРЫ", IF(LEFT(B220,9)*1&lt;=1001998, "OK", IF(RIGHT(B220,2)*1=IF(MOD(E220,101)&gt;=100,0,MOD(E220,101)),"OK","ОШИБКА")))))</f>
        <v/>
      </c>
      <c r="G2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0">
        <f>IF(LEN(TRIM(A220))=10, --MID(A220,1,1)*2+--MID(A220,2,1)*4+--MID(A220,3,1)*10+--MID(A220,4,1)*3+--MID(A220,5,1)*5+--MID(A220,6,1)*9+--MID(A220,7,1)*4+--MID(A220,8,1)*6+--MID(A220,9,1)*8, IF(LEN(TRIM(A220))=12, --MID(A220,1,1)*7+--MID(A220,2,1)*2+--MID(A220,3,1)*4+--MID(A220,4,1)*10+--MID(A220,5,1)*3+--MID(A220,6,1)*5+--MID(A220,7,1)*9+--MID(A220,8,1)*4+--MID(A220,9,1)*6+--MID(A220,10,1)*8, ""))</f>
        <v/>
      </c>
      <c r="I220">
        <f>IF(LEN(TRIM(A220))=12, --MID(A220,1,1)*3+--MID(A220,2,1)*7+--MID(A220,3,1)*2+--MID(A220,4,1)*4+--MID(A220,5,1)*10+--MID(A220,6,1)*3+--MID(A220,7,1)*5+--MID(A220,8,1)*9+--MID(A220,9,1)*4+--MID(A220,10,1)*6+--MID(A220,11,1)*8, "")</f>
        <v/>
      </c>
    </row>
    <row r="221">
      <c r="A221">
        <f>SUBSTITUTE(SUBSTITUTE(SUBSTITUTE(SUBSTITUTE(TRIM(INDEX(Реестр!$B:$B,ROW())),CHAR(160),""),CHAR(9),""),CHAR(10),""),CHAR(13),"")</f>
        <v/>
      </c>
      <c r="B221">
        <f>SUBSTITUTE(SUBSTITUTE(SUBSTITUTE(SUBSTITUTE(SUBSTITUTE(SUBSTITUTE(SUBSTITUTE(TRIM(INDEX(Реестр!$D:$D, ROW())), "-", ""), " ", ""), CHAR(160), ""), CHAR(9), ""), CHAR(10), ""), CHAR(13), ""), CHAR(32), "")</f>
        <v/>
      </c>
      <c r="C221">
        <f>INDEX(Реестр!$H:$H, ROW())</f>
        <v/>
      </c>
      <c r="D221">
        <f>IF(OR(ISBLANK(INDEX(Реестр!$B:$B, ROW())), INDEX(Реестр!$B:$B, ROW())=""), " ", IF(IFERROR(ISNUMBER(--A221),FALSE), IF(LEN(A221)=10, IF(MOD(MOD(H221,11),10)=--RIGHT(A221,1), "OK", "ОШИБКА"), IF(LEN(A221)=12, IF(AND(MOD(MOD(H221,11),10)=--MID(A221,11,1), MOD(MOD(I221,11),10)=--RIGHT(A221,1)), "OK", "ОШИБКА"), "ДЛИНА (10 или 12)")), "НЕ ЦИФРЫ"))</f>
        <v/>
      </c>
      <c r="E221">
        <f>MID(B221,1,1)*9+MID(B221,2,1)*8+MID(B221,3,1)*7+MID(B221,4,1)*6+MID(B221,5,1)*5+MID(B221,6,1)*4+MID(B221,7,1)*3+MID(B221,8,1)*2+MID(B221,9,1)</f>
        <v/>
      </c>
      <c r="F221">
        <f>IF(B221="", " ", IF(LEN(B221)&lt;&gt;11, "ДЛИНА", IF(NOT(ISNUMBER(--B221)), "НЕ ЦИФРЫ", IF(LEFT(B221,9)*1&lt;=1001998, "OK", IF(RIGHT(B221,2)*1=IF(MOD(E221,101)&gt;=100,0,MOD(E221,101)),"OK","ОШИБКА")))))</f>
        <v/>
      </c>
      <c r="G2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1">
        <f>IF(LEN(TRIM(A221))=10, --MID(A221,1,1)*2+--MID(A221,2,1)*4+--MID(A221,3,1)*10+--MID(A221,4,1)*3+--MID(A221,5,1)*5+--MID(A221,6,1)*9+--MID(A221,7,1)*4+--MID(A221,8,1)*6+--MID(A221,9,1)*8, IF(LEN(TRIM(A221))=12, --MID(A221,1,1)*7+--MID(A221,2,1)*2+--MID(A221,3,1)*4+--MID(A221,4,1)*10+--MID(A221,5,1)*3+--MID(A221,6,1)*5+--MID(A221,7,1)*9+--MID(A221,8,1)*4+--MID(A221,9,1)*6+--MID(A221,10,1)*8, ""))</f>
        <v/>
      </c>
      <c r="I221">
        <f>IF(LEN(TRIM(A221))=12, --MID(A221,1,1)*3+--MID(A221,2,1)*7+--MID(A221,3,1)*2+--MID(A221,4,1)*4+--MID(A221,5,1)*10+--MID(A221,6,1)*3+--MID(A221,7,1)*5+--MID(A221,8,1)*9+--MID(A221,9,1)*4+--MID(A221,10,1)*6+--MID(A221,11,1)*8, "")</f>
        <v/>
      </c>
    </row>
    <row r="222">
      <c r="A222">
        <f>SUBSTITUTE(SUBSTITUTE(SUBSTITUTE(SUBSTITUTE(TRIM(INDEX(Реестр!$B:$B,ROW())),CHAR(160),""),CHAR(9),""),CHAR(10),""),CHAR(13),"")</f>
        <v/>
      </c>
      <c r="B222">
        <f>SUBSTITUTE(SUBSTITUTE(SUBSTITUTE(SUBSTITUTE(SUBSTITUTE(SUBSTITUTE(SUBSTITUTE(TRIM(INDEX(Реестр!$D:$D, ROW())), "-", ""), " ", ""), CHAR(160), ""), CHAR(9), ""), CHAR(10), ""), CHAR(13), ""), CHAR(32), "")</f>
        <v/>
      </c>
      <c r="C222">
        <f>INDEX(Реестр!$H:$H, ROW())</f>
        <v/>
      </c>
      <c r="D222">
        <f>IF(OR(ISBLANK(INDEX(Реестр!$B:$B, ROW())), INDEX(Реестр!$B:$B, ROW())=""), " ", IF(IFERROR(ISNUMBER(--A222),FALSE), IF(LEN(A222)=10, IF(MOD(MOD(H222,11),10)=--RIGHT(A222,1), "OK", "ОШИБКА"), IF(LEN(A222)=12, IF(AND(MOD(MOD(H222,11),10)=--MID(A222,11,1), MOD(MOD(I222,11),10)=--RIGHT(A222,1)), "OK", "ОШИБКА"), "ДЛИНА (10 или 12)")), "НЕ ЦИФРЫ"))</f>
        <v/>
      </c>
      <c r="E222">
        <f>MID(B222,1,1)*9+MID(B222,2,1)*8+MID(B222,3,1)*7+MID(B222,4,1)*6+MID(B222,5,1)*5+MID(B222,6,1)*4+MID(B222,7,1)*3+MID(B222,8,1)*2+MID(B222,9,1)</f>
        <v/>
      </c>
      <c r="F222">
        <f>IF(B222="", " ", IF(LEN(B222)&lt;&gt;11, "ДЛИНА", IF(NOT(ISNUMBER(--B222)), "НЕ ЦИФРЫ", IF(LEFT(B222,9)*1&lt;=1001998, "OK", IF(RIGHT(B222,2)*1=IF(MOD(E222,101)&gt;=100,0,MOD(E222,101)),"OK","ОШИБКА")))))</f>
        <v/>
      </c>
      <c r="G2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2">
        <f>IF(LEN(TRIM(A222))=10, --MID(A222,1,1)*2+--MID(A222,2,1)*4+--MID(A222,3,1)*10+--MID(A222,4,1)*3+--MID(A222,5,1)*5+--MID(A222,6,1)*9+--MID(A222,7,1)*4+--MID(A222,8,1)*6+--MID(A222,9,1)*8, IF(LEN(TRIM(A222))=12, --MID(A222,1,1)*7+--MID(A222,2,1)*2+--MID(A222,3,1)*4+--MID(A222,4,1)*10+--MID(A222,5,1)*3+--MID(A222,6,1)*5+--MID(A222,7,1)*9+--MID(A222,8,1)*4+--MID(A222,9,1)*6+--MID(A222,10,1)*8, ""))</f>
        <v/>
      </c>
      <c r="I222">
        <f>IF(LEN(TRIM(A222))=12, --MID(A222,1,1)*3+--MID(A222,2,1)*7+--MID(A222,3,1)*2+--MID(A222,4,1)*4+--MID(A222,5,1)*10+--MID(A222,6,1)*3+--MID(A222,7,1)*5+--MID(A222,8,1)*9+--MID(A222,9,1)*4+--MID(A222,10,1)*6+--MID(A222,11,1)*8, "")</f>
        <v/>
      </c>
    </row>
    <row r="223">
      <c r="A223">
        <f>SUBSTITUTE(SUBSTITUTE(SUBSTITUTE(SUBSTITUTE(TRIM(INDEX(Реестр!$B:$B,ROW())),CHAR(160),""),CHAR(9),""),CHAR(10),""),CHAR(13),"")</f>
        <v/>
      </c>
      <c r="B223">
        <f>SUBSTITUTE(SUBSTITUTE(SUBSTITUTE(SUBSTITUTE(SUBSTITUTE(SUBSTITUTE(SUBSTITUTE(TRIM(INDEX(Реестр!$D:$D, ROW())), "-", ""), " ", ""), CHAR(160), ""), CHAR(9), ""), CHAR(10), ""), CHAR(13), ""), CHAR(32), "")</f>
        <v/>
      </c>
      <c r="C223">
        <f>INDEX(Реестр!$H:$H, ROW())</f>
        <v/>
      </c>
      <c r="D223">
        <f>IF(OR(ISBLANK(INDEX(Реестр!$B:$B, ROW())), INDEX(Реестр!$B:$B, ROW())=""), " ", IF(IFERROR(ISNUMBER(--A223),FALSE), IF(LEN(A223)=10, IF(MOD(MOD(H223,11),10)=--RIGHT(A223,1), "OK", "ОШИБКА"), IF(LEN(A223)=12, IF(AND(MOD(MOD(H223,11),10)=--MID(A223,11,1), MOD(MOD(I223,11),10)=--RIGHT(A223,1)), "OK", "ОШИБКА"), "ДЛИНА (10 или 12)")), "НЕ ЦИФРЫ"))</f>
        <v/>
      </c>
      <c r="E223">
        <f>MID(B223,1,1)*9+MID(B223,2,1)*8+MID(B223,3,1)*7+MID(B223,4,1)*6+MID(B223,5,1)*5+MID(B223,6,1)*4+MID(B223,7,1)*3+MID(B223,8,1)*2+MID(B223,9,1)</f>
        <v/>
      </c>
      <c r="F223">
        <f>IF(B223="", " ", IF(LEN(B223)&lt;&gt;11, "ДЛИНА", IF(NOT(ISNUMBER(--B223)), "НЕ ЦИФРЫ", IF(LEFT(B223,9)*1&lt;=1001998, "OK", IF(RIGHT(B223,2)*1=IF(MOD(E223,101)&gt;=100,0,MOD(E223,101)),"OK","ОШИБКА")))))</f>
        <v/>
      </c>
      <c r="G2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3">
        <f>IF(LEN(TRIM(A223))=10, --MID(A223,1,1)*2+--MID(A223,2,1)*4+--MID(A223,3,1)*10+--MID(A223,4,1)*3+--MID(A223,5,1)*5+--MID(A223,6,1)*9+--MID(A223,7,1)*4+--MID(A223,8,1)*6+--MID(A223,9,1)*8, IF(LEN(TRIM(A223))=12, --MID(A223,1,1)*7+--MID(A223,2,1)*2+--MID(A223,3,1)*4+--MID(A223,4,1)*10+--MID(A223,5,1)*3+--MID(A223,6,1)*5+--MID(A223,7,1)*9+--MID(A223,8,1)*4+--MID(A223,9,1)*6+--MID(A223,10,1)*8, ""))</f>
        <v/>
      </c>
      <c r="I223">
        <f>IF(LEN(TRIM(A223))=12, --MID(A223,1,1)*3+--MID(A223,2,1)*7+--MID(A223,3,1)*2+--MID(A223,4,1)*4+--MID(A223,5,1)*10+--MID(A223,6,1)*3+--MID(A223,7,1)*5+--MID(A223,8,1)*9+--MID(A223,9,1)*4+--MID(A223,10,1)*6+--MID(A223,11,1)*8, "")</f>
        <v/>
      </c>
    </row>
    <row r="224">
      <c r="A224">
        <f>SUBSTITUTE(SUBSTITUTE(SUBSTITUTE(SUBSTITUTE(TRIM(INDEX(Реестр!$B:$B,ROW())),CHAR(160),""),CHAR(9),""),CHAR(10),""),CHAR(13),"")</f>
        <v/>
      </c>
      <c r="B224">
        <f>SUBSTITUTE(SUBSTITUTE(SUBSTITUTE(SUBSTITUTE(SUBSTITUTE(SUBSTITUTE(SUBSTITUTE(TRIM(INDEX(Реестр!$D:$D, ROW())), "-", ""), " ", ""), CHAR(160), ""), CHAR(9), ""), CHAR(10), ""), CHAR(13), ""), CHAR(32), "")</f>
        <v/>
      </c>
      <c r="C224">
        <f>INDEX(Реестр!$H:$H, ROW())</f>
        <v/>
      </c>
      <c r="D224">
        <f>IF(OR(ISBLANK(INDEX(Реестр!$B:$B, ROW())), INDEX(Реестр!$B:$B, ROW())=""), " ", IF(IFERROR(ISNUMBER(--A224),FALSE), IF(LEN(A224)=10, IF(MOD(MOD(H224,11),10)=--RIGHT(A224,1), "OK", "ОШИБКА"), IF(LEN(A224)=12, IF(AND(MOD(MOD(H224,11),10)=--MID(A224,11,1), MOD(MOD(I224,11),10)=--RIGHT(A224,1)), "OK", "ОШИБКА"), "ДЛИНА (10 или 12)")), "НЕ ЦИФРЫ"))</f>
        <v/>
      </c>
      <c r="E224">
        <f>MID(B224,1,1)*9+MID(B224,2,1)*8+MID(B224,3,1)*7+MID(B224,4,1)*6+MID(B224,5,1)*5+MID(B224,6,1)*4+MID(B224,7,1)*3+MID(B224,8,1)*2+MID(B224,9,1)</f>
        <v/>
      </c>
      <c r="F224">
        <f>IF(B224="", " ", IF(LEN(B224)&lt;&gt;11, "ДЛИНА", IF(NOT(ISNUMBER(--B224)), "НЕ ЦИФРЫ", IF(LEFT(B224,9)*1&lt;=1001998, "OK", IF(RIGHT(B224,2)*1=IF(MOD(E224,101)&gt;=100,0,MOD(E224,101)),"OK","ОШИБКА")))))</f>
        <v/>
      </c>
      <c r="G2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4">
        <f>IF(LEN(TRIM(A224))=10, --MID(A224,1,1)*2+--MID(A224,2,1)*4+--MID(A224,3,1)*10+--MID(A224,4,1)*3+--MID(A224,5,1)*5+--MID(A224,6,1)*9+--MID(A224,7,1)*4+--MID(A224,8,1)*6+--MID(A224,9,1)*8, IF(LEN(TRIM(A224))=12, --MID(A224,1,1)*7+--MID(A224,2,1)*2+--MID(A224,3,1)*4+--MID(A224,4,1)*10+--MID(A224,5,1)*3+--MID(A224,6,1)*5+--MID(A224,7,1)*9+--MID(A224,8,1)*4+--MID(A224,9,1)*6+--MID(A224,10,1)*8, ""))</f>
        <v/>
      </c>
      <c r="I224">
        <f>IF(LEN(TRIM(A224))=12, --MID(A224,1,1)*3+--MID(A224,2,1)*7+--MID(A224,3,1)*2+--MID(A224,4,1)*4+--MID(A224,5,1)*10+--MID(A224,6,1)*3+--MID(A224,7,1)*5+--MID(A224,8,1)*9+--MID(A224,9,1)*4+--MID(A224,10,1)*6+--MID(A224,11,1)*8, "")</f>
        <v/>
      </c>
    </row>
    <row r="225">
      <c r="A225">
        <f>SUBSTITUTE(SUBSTITUTE(SUBSTITUTE(SUBSTITUTE(TRIM(INDEX(Реестр!$B:$B,ROW())),CHAR(160),""),CHAR(9),""),CHAR(10),""),CHAR(13),"")</f>
        <v/>
      </c>
      <c r="B225">
        <f>SUBSTITUTE(SUBSTITUTE(SUBSTITUTE(SUBSTITUTE(SUBSTITUTE(SUBSTITUTE(SUBSTITUTE(TRIM(INDEX(Реестр!$D:$D, ROW())), "-", ""), " ", ""), CHAR(160), ""), CHAR(9), ""), CHAR(10), ""), CHAR(13), ""), CHAR(32), "")</f>
        <v/>
      </c>
      <c r="C225">
        <f>INDEX(Реестр!$H:$H, ROW())</f>
        <v/>
      </c>
      <c r="D225">
        <f>IF(OR(ISBLANK(INDEX(Реестр!$B:$B, ROW())), INDEX(Реестр!$B:$B, ROW())=""), " ", IF(IFERROR(ISNUMBER(--A225),FALSE), IF(LEN(A225)=10, IF(MOD(MOD(H225,11),10)=--RIGHT(A225,1), "OK", "ОШИБКА"), IF(LEN(A225)=12, IF(AND(MOD(MOD(H225,11),10)=--MID(A225,11,1), MOD(MOD(I225,11),10)=--RIGHT(A225,1)), "OK", "ОШИБКА"), "ДЛИНА (10 или 12)")), "НЕ ЦИФРЫ"))</f>
        <v/>
      </c>
      <c r="E225">
        <f>MID(B225,1,1)*9+MID(B225,2,1)*8+MID(B225,3,1)*7+MID(B225,4,1)*6+MID(B225,5,1)*5+MID(B225,6,1)*4+MID(B225,7,1)*3+MID(B225,8,1)*2+MID(B225,9,1)</f>
        <v/>
      </c>
      <c r="F225">
        <f>IF(B225="", " ", IF(LEN(B225)&lt;&gt;11, "ДЛИНА", IF(NOT(ISNUMBER(--B225)), "НЕ ЦИФРЫ", IF(LEFT(B225,9)*1&lt;=1001998, "OK", IF(RIGHT(B225,2)*1=IF(MOD(E225,101)&gt;=100,0,MOD(E225,101)),"OK","ОШИБКА")))))</f>
        <v/>
      </c>
      <c r="G2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5">
        <f>IF(LEN(TRIM(A225))=10, --MID(A225,1,1)*2+--MID(A225,2,1)*4+--MID(A225,3,1)*10+--MID(A225,4,1)*3+--MID(A225,5,1)*5+--MID(A225,6,1)*9+--MID(A225,7,1)*4+--MID(A225,8,1)*6+--MID(A225,9,1)*8, IF(LEN(TRIM(A225))=12, --MID(A225,1,1)*7+--MID(A225,2,1)*2+--MID(A225,3,1)*4+--MID(A225,4,1)*10+--MID(A225,5,1)*3+--MID(A225,6,1)*5+--MID(A225,7,1)*9+--MID(A225,8,1)*4+--MID(A225,9,1)*6+--MID(A225,10,1)*8, ""))</f>
        <v/>
      </c>
      <c r="I225">
        <f>IF(LEN(TRIM(A225))=12, --MID(A225,1,1)*3+--MID(A225,2,1)*7+--MID(A225,3,1)*2+--MID(A225,4,1)*4+--MID(A225,5,1)*10+--MID(A225,6,1)*3+--MID(A225,7,1)*5+--MID(A225,8,1)*9+--MID(A225,9,1)*4+--MID(A225,10,1)*6+--MID(A225,11,1)*8, "")</f>
        <v/>
      </c>
    </row>
    <row r="226">
      <c r="A226">
        <f>SUBSTITUTE(SUBSTITUTE(SUBSTITUTE(SUBSTITUTE(TRIM(INDEX(Реестр!$B:$B,ROW())),CHAR(160),""),CHAR(9),""),CHAR(10),""),CHAR(13),"")</f>
        <v/>
      </c>
      <c r="B226">
        <f>SUBSTITUTE(SUBSTITUTE(SUBSTITUTE(SUBSTITUTE(SUBSTITUTE(SUBSTITUTE(SUBSTITUTE(TRIM(INDEX(Реестр!$D:$D, ROW())), "-", ""), " ", ""), CHAR(160), ""), CHAR(9), ""), CHAR(10), ""), CHAR(13), ""), CHAR(32), "")</f>
        <v/>
      </c>
      <c r="C226">
        <f>INDEX(Реестр!$H:$H, ROW())</f>
        <v/>
      </c>
      <c r="D226">
        <f>IF(OR(ISBLANK(INDEX(Реестр!$B:$B, ROW())), INDEX(Реестр!$B:$B, ROW())=""), " ", IF(IFERROR(ISNUMBER(--A226),FALSE), IF(LEN(A226)=10, IF(MOD(MOD(H226,11),10)=--RIGHT(A226,1), "OK", "ОШИБКА"), IF(LEN(A226)=12, IF(AND(MOD(MOD(H226,11),10)=--MID(A226,11,1), MOD(MOD(I226,11),10)=--RIGHT(A226,1)), "OK", "ОШИБКА"), "ДЛИНА (10 или 12)")), "НЕ ЦИФРЫ"))</f>
        <v/>
      </c>
      <c r="E226">
        <f>MID(B226,1,1)*9+MID(B226,2,1)*8+MID(B226,3,1)*7+MID(B226,4,1)*6+MID(B226,5,1)*5+MID(B226,6,1)*4+MID(B226,7,1)*3+MID(B226,8,1)*2+MID(B226,9,1)</f>
        <v/>
      </c>
      <c r="F226">
        <f>IF(B226="", " ", IF(LEN(B226)&lt;&gt;11, "ДЛИНА", IF(NOT(ISNUMBER(--B226)), "НЕ ЦИФРЫ", IF(LEFT(B226,9)*1&lt;=1001998, "OK", IF(RIGHT(B226,2)*1=IF(MOD(E226,101)&gt;=100,0,MOD(E226,101)),"OK","ОШИБКА")))))</f>
        <v/>
      </c>
      <c r="G2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6">
        <f>IF(LEN(TRIM(A226))=10, --MID(A226,1,1)*2+--MID(A226,2,1)*4+--MID(A226,3,1)*10+--MID(A226,4,1)*3+--MID(A226,5,1)*5+--MID(A226,6,1)*9+--MID(A226,7,1)*4+--MID(A226,8,1)*6+--MID(A226,9,1)*8, IF(LEN(TRIM(A226))=12, --MID(A226,1,1)*7+--MID(A226,2,1)*2+--MID(A226,3,1)*4+--MID(A226,4,1)*10+--MID(A226,5,1)*3+--MID(A226,6,1)*5+--MID(A226,7,1)*9+--MID(A226,8,1)*4+--MID(A226,9,1)*6+--MID(A226,10,1)*8, ""))</f>
        <v/>
      </c>
      <c r="I226">
        <f>IF(LEN(TRIM(A226))=12, --MID(A226,1,1)*3+--MID(A226,2,1)*7+--MID(A226,3,1)*2+--MID(A226,4,1)*4+--MID(A226,5,1)*10+--MID(A226,6,1)*3+--MID(A226,7,1)*5+--MID(A226,8,1)*9+--MID(A226,9,1)*4+--MID(A226,10,1)*6+--MID(A226,11,1)*8, "")</f>
        <v/>
      </c>
    </row>
    <row r="227">
      <c r="A227">
        <f>SUBSTITUTE(SUBSTITUTE(SUBSTITUTE(SUBSTITUTE(TRIM(INDEX(Реестр!$B:$B,ROW())),CHAR(160),""),CHAR(9),""),CHAR(10),""),CHAR(13),"")</f>
        <v/>
      </c>
      <c r="B227">
        <f>SUBSTITUTE(SUBSTITUTE(SUBSTITUTE(SUBSTITUTE(SUBSTITUTE(SUBSTITUTE(SUBSTITUTE(TRIM(INDEX(Реестр!$D:$D, ROW())), "-", ""), " ", ""), CHAR(160), ""), CHAR(9), ""), CHAR(10), ""), CHAR(13), ""), CHAR(32), "")</f>
        <v/>
      </c>
      <c r="C227">
        <f>INDEX(Реестр!$H:$H, ROW())</f>
        <v/>
      </c>
      <c r="D227">
        <f>IF(OR(ISBLANK(INDEX(Реестр!$B:$B, ROW())), INDEX(Реестр!$B:$B, ROW())=""), " ", IF(IFERROR(ISNUMBER(--A227),FALSE), IF(LEN(A227)=10, IF(MOD(MOD(H227,11),10)=--RIGHT(A227,1), "OK", "ОШИБКА"), IF(LEN(A227)=12, IF(AND(MOD(MOD(H227,11),10)=--MID(A227,11,1), MOD(MOD(I227,11),10)=--RIGHT(A227,1)), "OK", "ОШИБКА"), "ДЛИНА (10 или 12)")), "НЕ ЦИФРЫ"))</f>
        <v/>
      </c>
      <c r="E227">
        <f>MID(B227,1,1)*9+MID(B227,2,1)*8+MID(B227,3,1)*7+MID(B227,4,1)*6+MID(B227,5,1)*5+MID(B227,6,1)*4+MID(B227,7,1)*3+MID(B227,8,1)*2+MID(B227,9,1)</f>
        <v/>
      </c>
      <c r="F227">
        <f>IF(B227="", " ", IF(LEN(B227)&lt;&gt;11, "ДЛИНА", IF(NOT(ISNUMBER(--B227)), "НЕ ЦИФРЫ", IF(LEFT(B227,9)*1&lt;=1001998, "OK", IF(RIGHT(B227,2)*1=IF(MOD(E227,101)&gt;=100,0,MOD(E227,101)),"OK","ОШИБКА")))))</f>
        <v/>
      </c>
      <c r="G2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7">
        <f>IF(LEN(TRIM(A227))=10, --MID(A227,1,1)*2+--MID(A227,2,1)*4+--MID(A227,3,1)*10+--MID(A227,4,1)*3+--MID(A227,5,1)*5+--MID(A227,6,1)*9+--MID(A227,7,1)*4+--MID(A227,8,1)*6+--MID(A227,9,1)*8, IF(LEN(TRIM(A227))=12, --MID(A227,1,1)*7+--MID(A227,2,1)*2+--MID(A227,3,1)*4+--MID(A227,4,1)*10+--MID(A227,5,1)*3+--MID(A227,6,1)*5+--MID(A227,7,1)*9+--MID(A227,8,1)*4+--MID(A227,9,1)*6+--MID(A227,10,1)*8, ""))</f>
        <v/>
      </c>
      <c r="I227">
        <f>IF(LEN(TRIM(A227))=12, --MID(A227,1,1)*3+--MID(A227,2,1)*7+--MID(A227,3,1)*2+--MID(A227,4,1)*4+--MID(A227,5,1)*10+--MID(A227,6,1)*3+--MID(A227,7,1)*5+--MID(A227,8,1)*9+--MID(A227,9,1)*4+--MID(A227,10,1)*6+--MID(A227,11,1)*8, "")</f>
        <v/>
      </c>
    </row>
    <row r="228">
      <c r="A228">
        <f>SUBSTITUTE(SUBSTITUTE(SUBSTITUTE(SUBSTITUTE(TRIM(INDEX(Реестр!$B:$B,ROW())),CHAR(160),""),CHAR(9),""),CHAR(10),""),CHAR(13),"")</f>
        <v/>
      </c>
      <c r="B228">
        <f>SUBSTITUTE(SUBSTITUTE(SUBSTITUTE(SUBSTITUTE(SUBSTITUTE(SUBSTITUTE(SUBSTITUTE(TRIM(INDEX(Реестр!$D:$D, ROW())), "-", ""), " ", ""), CHAR(160), ""), CHAR(9), ""), CHAR(10), ""), CHAR(13), ""), CHAR(32), "")</f>
        <v/>
      </c>
      <c r="C228">
        <f>INDEX(Реестр!$H:$H, ROW())</f>
        <v/>
      </c>
      <c r="D228">
        <f>IF(OR(ISBLANK(INDEX(Реестр!$B:$B, ROW())), INDEX(Реестр!$B:$B, ROW())=""), " ", IF(IFERROR(ISNUMBER(--A228),FALSE), IF(LEN(A228)=10, IF(MOD(MOD(H228,11),10)=--RIGHT(A228,1), "OK", "ОШИБКА"), IF(LEN(A228)=12, IF(AND(MOD(MOD(H228,11),10)=--MID(A228,11,1), MOD(MOD(I228,11),10)=--RIGHT(A228,1)), "OK", "ОШИБКА"), "ДЛИНА (10 или 12)")), "НЕ ЦИФРЫ"))</f>
        <v/>
      </c>
      <c r="E228">
        <f>MID(B228,1,1)*9+MID(B228,2,1)*8+MID(B228,3,1)*7+MID(B228,4,1)*6+MID(B228,5,1)*5+MID(B228,6,1)*4+MID(B228,7,1)*3+MID(B228,8,1)*2+MID(B228,9,1)</f>
        <v/>
      </c>
      <c r="F228">
        <f>IF(B228="", " ", IF(LEN(B228)&lt;&gt;11, "ДЛИНА", IF(NOT(ISNUMBER(--B228)), "НЕ ЦИФРЫ", IF(LEFT(B228,9)*1&lt;=1001998, "OK", IF(RIGHT(B228,2)*1=IF(MOD(E228,101)&gt;=100,0,MOD(E228,101)),"OK","ОШИБКА")))))</f>
        <v/>
      </c>
      <c r="G2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8">
        <f>IF(LEN(TRIM(A228))=10, --MID(A228,1,1)*2+--MID(A228,2,1)*4+--MID(A228,3,1)*10+--MID(A228,4,1)*3+--MID(A228,5,1)*5+--MID(A228,6,1)*9+--MID(A228,7,1)*4+--MID(A228,8,1)*6+--MID(A228,9,1)*8, IF(LEN(TRIM(A228))=12, --MID(A228,1,1)*7+--MID(A228,2,1)*2+--MID(A228,3,1)*4+--MID(A228,4,1)*10+--MID(A228,5,1)*3+--MID(A228,6,1)*5+--MID(A228,7,1)*9+--MID(A228,8,1)*4+--MID(A228,9,1)*6+--MID(A228,10,1)*8, ""))</f>
        <v/>
      </c>
      <c r="I228">
        <f>IF(LEN(TRIM(A228))=12, --MID(A228,1,1)*3+--MID(A228,2,1)*7+--MID(A228,3,1)*2+--MID(A228,4,1)*4+--MID(A228,5,1)*10+--MID(A228,6,1)*3+--MID(A228,7,1)*5+--MID(A228,8,1)*9+--MID(A228,9,1)*4+--MID(A228,10,1)*6+--MID(A228,11,1)*8, "")</f>
        <v/>
      </c>
    </row>
    <row r="229">
      <c r="A229">
        <f>SUBSTITUTE(SUBSTITUTE(SUBSTITUTE(SUBSTITUTE(TRIM(INDEX(Реестр!$B:$B,ROW())),CHAR(160),""),CHAR(9),""),CHAR(10),""),CHAR(13),"")</f>
        <v/>
      </c>
      <c r="B229">
        <f>SUBSTITUTE(SUBSTITUTE(SUBSTITUTE(SUBSTITUTE(SUBSTITUTE(SUBSTITUTE(SUBSTITUTE(TRIM(INDEX(Реестр!$D:$D, ROW())), "-", ""), " ", ""), CHAR(160), ""), CHAR(9), ""), CHAR(10), ""), CHAR(13), ""), CHAR(32), "")</f>
        <v/>
      </c>
      <c r="C229">
        <f>INDEX(Реестр!$H:$H, ROW())</f>
        <v/>
      </c>
      <c r="D229">
        <f>IF(OR(ISBLANK(INDEX(Реестр!$B:$B, ROW())), INDEX(Реестр!$B:$B, ROW())=""), " ", IF(IFERROR(ISNUMBER(--A229),FALSE), IF(LEN(A229)=10, IF(MOD(MOD(H229,11),10)=--RIGHT(A229,1), "OK", "ОШИБКА"), IF(LEN(A229)=12, IF(AND(MOD(MOD(H229,11),10)=--MID(A229,11,1), MOD(MOD(I229,11),10)=--RIGHT(A229,1)), "OK", "ОШИБКА"), "ДЛИНА (10 или 12)")), "НЕ ЦИФРЫ"))</f>
        <v/>
      </c>
      <c r="E229">
        <f>MID(B229,1,1)*9+MID(B229,2,1)*8+MID(B229,3,1)*7+MID(B229,4,1)*6+MID(B229,5,1)*5+MID(B229,6,1)*4+MID(B229,7,1)*3+MID(B229,8,1)*2+MID(B229,9,1)</f>
        <v/>
      </c>
      <c r="F229">
        <f>IF(B229="", " ", IF(LEN(B229)&lt;&gt;11, "ДЛИНА", IF(NOT(ISNUMBER(--B229)), "НЕ ЦИФРЫ", IF(LEFT(B229,9)*1&lt;=1001998, "OK", IF(RIGHT(B229,2)*1=IF(MOD(E229,101)&gt;=100,0,MOD(E229,101)),"OK","ОШИБКА")))))</f>
        <v/>
      </c>
      <c r="G2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29">
        <f>IF(LEN(TRIM(A229))=10, --MID(A229,1,1)*2+--MID(A229,2,1)*4+--MID(A229,3,1)*10+--MID(A229,4,1)*3+--MID(A229,5,1)*5+--MID(A229,6,1)*9+--MID(A229,7,1)*4+--MID(A229,8,1)*6+--MID(A229,9,1)*8, IF(LEN(TRIM(A229))=12, --MID(A229,1,1)*7+--MID(A229,2,1)*2+--MID(A229,3,1)*4+--MID(A229,4,1)*10+--MID(A229,5,1)*3+--MID(A229,6,1)*5+--MID(A229,7,1)*9+--MID(A229,8,1)*4+--MID(A229,9,1)*6+--MID(A229,10,1)*8, ""))</f>
        <v/>
      </c>
      <c r="I229">
        <f>IF(LEN(TRIM(A229))=12, --MID(A229,1,1)*3+--MID(A229,2,1)*7+--MID(A229,3,1)*2+--MID(A229,4,1)*4+--MID(A229,5,1)*10+--MID(A229,6,1)*3+--MID(A229,7,1)*5+--MID(A229,8,1)*9+--MID(A229,9,1)*4+--MID(A229,10,1)*6+--MID(A229,11,1)*8, "")</f>
        <v/>
      </c>
    </row>
    <row r="230">
      <c r="A230">
        <f>SUBSTITUTE(SUBSTITUTE(SUBSTITUTE(SUBSTITUTE(TRIM(INDEX(Реестр!$B:$B,ROW())),CHAR(160),""),CHAR(9),""),CHAR(10),""),CHAR(13),"")</f>
        <v/>
      </c>
      <c r="B230">
        <f>SUBSTITUTE(SUBSTITUTE(SUBSTITUTE(SUBSTITUTE(SUBSTITUTE(SUBSTITUTE(SUBSTITUTE(TRIM(INDEX(Реестр!$D:$D, ROW())), "-", ""), " ", ""), CHAR(160), ""), CHAR(9), ""), CHAR(10), ""), CHAR(13), ""), CHAR(32), "")</f>
        <v/>
      </c>
      <c r="C230">
        <f>INDEX(Реестр!$H:$H, ROW())</f>
        <v/>
      </c>
      <c r="D230">
        <f>IF(OR(ISBLANK(INDEX(Реестр!$B:$B, ROW())), INDEX(Реестр!$B:$B, ROW())=""), " ", IF(IFERROR(ISNUMBER(--A230),FALSE), IF(LEN(A230)=10, IF(MOD(MOD(H230,11),10)=--RIGHT(A230,1), "OK", "ОШИБКА"), IF(LEN(A230)=12, IF(AND(MOD(MOD(H230,11),10)=--MID(A230,11,1), MOD(MOD(I230,11),10)=--RIGHT(A230,1)), "OK", "ОШИБКА"), "ДЛИНА (10 или 12)")), "НЕ ЦИФРЫ"))</f>
        <v/>
      </c>
      <c r="E230">
        <f>MID(B230,1,1)*9+MID(B230,2,1)*8+MID(B230,3,1)*7+MID(B230,4,1)*6+MID(B230,5,1)*5+MID(B230,6,1)*4+MID(B230,7,1)*3+MID(B230,8,1)*2+MID(B230,9,1)</f>
        <v/>
      </c>
      <c r="F230">
        <f>IF(B230="", " ", IF(LEN(B230)&lt;&gt;11, "ДЛИНА", IF(NOT(ISNUMBER(--B230)), "НЕ ЦИФРЫ", IF(LEFT(B230,9)*1&lt;=1001998, "OK", IF(RIGHT(B230,2)*1=IF(MOD(E230,101)&gt;=100,0,MOD(E230,101)),"OK","ОШИБКА")))))</f>
        <v/>
      </c>
      <c r="G2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0">
        <f>IF(LEN(TRIM(A230))=10, --MID(A230,1,1)*2+--MID(A230,2,1)*4+--MID(A230,3,1)*10+--MID(A230,4,1)*3+--MID(A230,5,1)*5+--MID(A230,6,1)*9+--MID(A230,7,1)*4+--MID(A230,8,1)*6+--MID(A230,9,1)*8, IF(LEN(TRIM(A230))=12, --MID(A230,1,1)*7+--MID(A230,2,1)*2+--MID(A230,3,1)*4+--MID(A230,4,1)*10+--MID(A230,5,1)*3+--MID(A230,6,1)*5+--MID(A230,7,1)*9+--MID(A230,8,1)*4+--MID(A230,9,1)*6+--MID(A230,10,1)*8, ""))</f>
        <v/>
      </c>
      <c r="I230">
        <f>IF(LEN(TRIM(A230))=12, --MID(A230,1,1)*3+--MID(A230,2,1)*7+--MID(A230,3,1)*2+--MID(A230,4,1)*4+--MID(A230,5,1)*10+--MID(A230,6,1)*3+--MID(A230,7,1)*5+--MID(A230,8,1)*9+--MID(A230,9,1)*4+--MID(A230,10,1)*6+--MID(A230,11,1)*8, "")</f>
        <v/>
      </c>
    </row>
    <row r="231">
      <c r="A231">
        <f>SUBSTITUTE(SUBSTITUTE(SUBSTITUTE(SUBSTITUTE(TRIM(INDEX(Реестр!$B:$B,ROW())),CHAR(160),""),CHAR(9),""),CHAR(10),""),CHAR(13),"")</f>
        <v/>
      </c>
      <c r="B231">
        <f>SUBSTITUTE(SUBSTITUTE(SUBSTITUTE(SUBSTITUTE(SUBSTITUTE(SUBSTITUTE(SUBSTITUTE(TRIM(INDEX(Реестр!$D:$D, ROW())), "-", ""), " ", ""), CHAR(160), ""), CHAR(9), ""), CHAR(10), ""), CHAR(13), ""), CHAR(32), "")</f>
        <v/>
      </c>
      <c r="C231">
        <f>INDEX(Реестр!$H:$H, ROW())</f>
        <v/>
      </c>
      <c r="D231">
        <f>IF(OR(ISBLANK(INDEX(Реестр!$B:$B, ROW())), INDEX(Реестр!$B:$B, ROW())=""), " ", IF(IFERROR(ISNUMBER(--A231),FALSE), IF(LEN(A231)=10, IF(MOD(MOD(H231,11),10)=--RIGHT(A231,1), "OK", "ОШИБКА"), IF(LEN(A231)=12, IF(AND(MOD(MOD(H231,11),10)=--MID(A231,11,1), MOD(MOD(I231,11),10)=--RIGHT(A231,1)), "OK", "ОШИБКА"), "ДЛИНА (10 или 12)")), "НЕ ЦИФРЫ"))</f>
        <v/>
      </c>
      <c r="E231">
        <f>MID(B231,1,1)*9+MID(B231,2,1)*8+MID(B231,3,1)*7+MID(B231,4,1)*6+MID(B231,5,1)*5+MID(B231,6,1)*4+MID(B231,7,1)*3+MID(B231,8,1)*2+MID(B231,9,1)</f>
        <v/>
      </c>
      <c r="F231">
        <f>IF(B231="", " ", IF(LEN(B231)&lt;&gt;11, "ДЛИНА", IF(NOT(ISNUMBER(--B231)), "НЕ ЦИФРЫ", IF(LEFT(B231,9)*1&lt;=1001998, "OK", IF(RIGHT(B231,2)*1=IF(MOD(E231,101)&gt;=100,0,MOD(E231,101)),"OK","ОШИБКА")))))</f>
        <v/>
      </c>
      <c r="G2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1">
        <f>IF(LEN(TRIM(A231))=10, --MID(A231,1,1)*2+--MID(A231,2,1)*4+--MID(A231,3,1)*10+--MID(A231,4,1)*3+--MID(A231,5,1)*5+--MID(A231,6,1)*9+--MID(A231,7,1)*4+--MID(A231,8,1)*6+--MID(A231,9,1)*8, IF(LEN(TRIM(A231))=12, --MID(A231,1,1)*7+--MID(A231,2,1)*2+--MID(A231,3,1)*4+--MID(A231,4,1)*10+--MID(A231,5,1)*3+--MID(A231,6,1)*5+--MID(A231,7,1)*9+--MID(A231,8,1)*4+--MID(A231,9,1)*6+--MID(A231,10,1)*8, ""))</f>
        <v/>
      </c>
      <c r="I231">
        <f>IF(LEN(TRIM(A231))=12, --MID(A231,1,1)*3+--MID(A231,2,1)*7+--MID(A231,3,1)*2+--MID(A231,4,1)*4+--MID(A231,5,1)*10+--MID(A231,6,1)*3+--MID(A231,7,1)*5+--MID(A231,8,1)*9+--MID(A231,9,1)*4+--MID(A231,10,1)*6+--MID(A231,11,1)*8, "")</f>
        <v/>
      </c>
    </row>
    <row r="232">
      <c r="A232">
        <f>SUBSTITUTE(SUBSTITUTE(SUBSTITUTE(SUBSTITUTE(TRIM(INDEX(Реестр!$B:$B,ROW())),CHAR(160),""),CHAR(9),""),CHAR(10),""),CHAR(13),"")</f>
        <v/>
      </c>
      <c r="B232">
        <f>SUBSTITUTE(SUBSTITUTE(SUBSTITUTE(SUBSTITUTE(SUBSTITUTE(SUBSTITUTE(SUBSTITUTE(TRIM(INDEX(Реестр!$D:$D, ROW())), "-", ""), " ", ""), CHAR(160), ""), CHAR(9), ""), CHAR(10), ""), CHAR(13), ""), CHAR(32), "")</f>
        <v/>
      </c>
      <c r="C232">
        <f>INDEX(Реестр!$H:$H, ROW())</f>
        <v/>
      </c>
      <c r="D232">
        <f>IF(OR(ISBLANK(INDEX(Реестр!$B:$B, ROW())), INDEX(Реестр!$B:$B, ROW())=""), " ", IF(IFERROR(ISNUMBER(--A232),FALSE), IF(LEN(A232)=10, IF(MOD(MOD(H232,11),10)=--RIGHT(A232,1), "OK", "ОШИБКА"), IF(LEN(A232)=12, IF(AND(MOD(MOD(H232,11),10)=--MID(A232,11,1), MOD(MOD(I232,11),10)=--RIGHT(A232,1)), "OK", "ОШИБКА"), "ДЛИНА (10 или 12)")), "НЕ ЦИФРЫ"))</f>
        <v/>
      </c>
      <c r="E232">
        <f>MID(B232,1,1)*9+MID(B232,2,1)*8+MID(B232,3,1)*7+MID(B232,4,1)*6+MID(B232,5,1)*5+MID(B232,6,1)*4+MID(B232,7,1)*3+MID(B232,8,1)*2+MID(B232,9,1)</f>
        <v/>
      </c>
      <c r="F232">
        <f>IF(B232="", " ", IF(LEN(B232)&lt;&gt;11, "ДЛИНА", IF(NOT(ISNUMBER(--B232)), "НЕ ЦИФРЫ", IF(LEFT(B232,9)*1&lt;=1001998, "OK", IF(RIGHT(B232,2)*1=IF(MOD(E232,101)&gt;=100,0,MOD(E232,101)),"OK","ОШИБКА")))))</f>
        <v/>
      </c>
      <c r="G2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2">
        <f>IF(LEN(TRIM(A232))=10, --MID(A232,1,1)*2+--MID(A232,2,1)*4+--MID(A232,3,1)*10+--MID(A232,4,1)*3+--MID(A232,5,1)*5+--MID(A232,6,1)*9+--MID(A232,7,1)*4+--MID(A232,8,1)*6+--MID(A232,9,1)*8, IF(LEN(TRIM(A232))=12, --MID(A232,1,1)*7+--MID(A232,2,1)*2+--MID(A232,3,1)*4+--MID(A232,4,1)*10+--MID(A232,5,1)*3+--MID(A232,6,1)*5+--MID(A232,7,1)*9+--MID(A232,8,1)*4+--MID(A232,9,1)*6+--MID(A232,10,1)*8, ""))</f>
        <v/>
      </c>
      <c r="I232">
        <f>IF(LEN(TRIM(A232))=12, --MID(A232,1,1)*3+--MID(A232,2,1)*7+--MID(A232,3,1)*2+--MID(A232,4,1)*4+--MID(A232,5,1)*10+--MID(A232,6,1)*3+--MID(A232,7,1)*5+--MID(A232,8,1)*9+--MID(A232,9,1)*4+--MID(A232,10,1)*6+--MID(A232,11,1)*8, "")</f>
        <v/>
      </c>
    </row>
    <row r="233">
      <c r="A233">
        <f>SUBSTITUTE(SUBSTITUTE(SUBSTITUTE(SUBSTITUTE(TRIM(INDEX(Реестр!$B:$B,ROW())),CHAR(160),""),CHAR(9),""),CHAR(10),""),CHAR(13),"")</f>
        <v/>
      </c>
      <c r="B233">
        <f>SUBSTITUTE(SUBSTITUTE(SUBSTITUTE(SUBSTITUTE(SUBSTITUTE(SUBSTITUTE(SUBSTITUTE(TRIM(INDEX(Реестр!$D:$D, ROW())), "-", ""), " ", ""), CHAR(160), ""), CHAR(9), ""), CHAR(10), ""), CHAR(13), ""), CHAR(32), "")</f>
        <v/>
      </c>
      <c r="C233">
        <f>INDEX(Реестр!$H:$H, ROW())</f>
        <v/>
      </c>
      <c r="D233">
        <f>IF(OR(ISBLANK(INDEX(Реестр!$B:$B, ROW())), INDEX(Реестр!$B:$B, ROW())=""), " ", IF(IFERROR(ISNUMBER(--A233),FALSE), IF(LEN(A233)=10, IF(MOD(MOD(H233,11),10)=--RIGHT(A233,1), "OK", "ОШИБКА"), IF(LEN(A233)=12, IF(AND(MOD(MOD(H233,11),10)=--MID(A233,11,1), MOD(MOD(I233,11),10)=--RIGHT(A233,1)), "OK", "ОШИБКА"), "ДЛИНА (10 или 12)")), "НЕ ЦИФРЫ"))</f>
        <v/>
      </c>
      <c r="E233">
        <f>MID(B233,1,1)*9+MID(B233,2,1)*8+MID(B233,3,1)*7+MID(B233,4,1)*6+MID(B233,5,1)*5+MID(B233,6,1)*4+MID(B233,7,1)*3+MID(B233,8,1)*2+MID(B233,9,1)</f>
        <v/>
      </c>
      <c r="F233">
        <f>IF(B233="", " ", IF(LEN(B233)&lt;&gt;11, "ДЛИНА", IF(NOT(ISNUMBER(--B233)), "НЕ ЦИФРЫ", IF(LEFT(B233,9)*1&lt;=1001998, "OK", IF(RIGHT(B233,2)*1=IF(MOD(E233,101)&gt;=100,0,MOD(E233,101)),"OK","ОШИБКА")))))</f>
        <v/>
      </c>
      <c r="G2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3">
        <f>IF(LEN(TRIM(A233))=10, --MID(A233,1,1)*2+--MID(A233,2,1)*4+--MID(A233,3,1)*10+--MID(A233,4,1)*3+--MID(A233,5,1)*5+--MID(A233,6,1)*9+--MID(A233,7,1)*4+--MID(A233,8,1)*6+--MID(A233,9,1)*8, IF(LEN(TRIM(A233))=12, --MID(A233,1,1)*7+--MID(A233,2,1)*2+--MID(A233,3,1)*4+--MID(A233,4,1)*10+--MID(A233,5,1)*3+--MID(A233,6,1)*5+--MID(A233,7,1)*9+--MID(A233,8,1)*4+--MID(A233,9,1)*6+--MID(A233,10,1)*8, ""))</f>
        <v/>
      </c>
      <c r="I233">
        <f>IF(LEN(TRIM(A233))=12, --MID(A233,1,1)*3+--MID(A233,2,1)*7+--MID(A233,3,1)*2+--MID(A233,4,1)*4+--MID(A233,5,1)*10+--MID(A233,6,1)*3+--MID(A233,7,1)*5+--MID(A233,8,1)*9+--MID(A233,9,1)*4+--MID(A233,10,1)*6+--MID(A233,11,1)*8, "")</f>
        <v/>
      </c>
    </row>
    <row r="234">
      <c r="A234">
        <f>SUBSTITUTE(SUBSTITUTE(SUBSTITUTE(SUBSTITUTE(TRIM(INDEX(Реестр!$B:$B,ROW())),CHAR(160),""),CHAR(9),""),CHAR(10),""),CHAR(13),"")</f>
        <v/>
      </c>
      <c r="B234">
        <f>SUBSTITUTE(SUBSTITUTE(SUBSTITUTE(SUBSTITUTE(SUBSTITUTE(SUBSTITUTE(SUBSTITUTE(TRIM(INDEX(Реестр!$D:$D, ROW())), "-", ""), " ", ""), CHAR(160), ""), CHAR(9), ""), CHAR(10), ""), CHAR(13), ""), CHAR(32), "")</f>
        <v/>
      </c>
      <c r="C234">
        <f>INDEX(Реестр!$H:$H, ROW())</f>
        <v/>
      </c>
      <c r="D234">
        <f>IF(OR(ISBLANK(INDEX(Реестр!$B:$B, ROW())), INDEX(Реестр!$B:$B, ROW())=""), " ", IF(IFERROR(ISNUMBER(--A234),FALSE), IF(LEN(A234)=10, IF(MOD(MOD(H234,11),10)=--RIGHT(A234,1), "OK", "ОШИБКА"), IF(LEN(A234)=12, IF(AND(MOD(MOD(H234,11),10)=--MID(A234,11,1), MOD(MOD(I234,11),10)=--RIGHT(A234,1)), "OK", "ОШИБКА"), "ДЛИНА (10 или 12)")), "НЕ ЦИФРЫ"))</f>
        <v/>
      </c>
      <c r="E234">
        <f>MID(B234,1,1)*9+MID(B234,2,1)*8+MID(B234,3,1)*7+MID(B234,4,1)*6+MID(B234,5,1)*5+MID(B234,6,1)*4+MID(B234,7,1)*3+MID(B234,8,1)*2+MID(B234,9,1)</f>
        <v/>
      </c>
      <c r="F234">
        <f>IF(B234="", " ", IF(LEN(B234)&lt;&gt;11, "ДЛИНА", IF(NOT(ISNUMBER(--B234)), "НЕ ЦИФРЫ", IF(LEFT(B234,9)*1&lt;=1001998, "OK", IF(RIGHT(B234,2)*1=IF(MOD(E234,101)&gt;=100,0,MOD(E234,101)),"OK","ОШИБКА")))))</f>
        <v/>
      </c>
      <c r="G2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4">
        <f>IF(LEN(TRIM(A234))=10, --MID(A234,1,1)*2+--MID(A234,2,1)*4+--MID(A234,3,1)*10+--MID(A234,4,1)*3+--MID(A234,5,1)*5+--MID(A234,6,1)*9+--MID(A234,7,1)*4+--MID(A234,8,1)*6+--MID(A234,9,1)*8, IF(LEN(TRIM(A234))=12, --MID(A234,1,1)*7+--MID(A234,2,1)*2+--MID(A234,3,1)*4+--MID(A234,4,1)*10+--MID(A234,5,1)*3+--MID(A234,6,1)*5+--MID(A234,7,1)*9+--MID(A234,8,1)*4+--MID(A234,9,1)*6+--MID(A234,10,1)*8, ""))</f>
        <v/>
      </c>
      <c r="I234">
        <f>IF(LEN(TRIM(A234))=12, --MID(A234,1,1)*3+--MID(A234,2,1)*7+--MID(A234,3,1)*2+--MID(A234,4,1)*4+--MID(A234,5,1)*10+--MID(A234,6,1)*3+--MID(A234,7,1)*5+--MID(A234,8,1)*9+--MID(A234,9,1)*4+--MID(A234,10,1)*6+--MID(A234,11,1)*8, "")</f>
        <v/>
      </c>
    </row>
    <row r="235">
      <c r="A235">
        <f>SUBSTITUTE(SUBSTITUTE(SUBSTITUTE(SUBSTITUTE(TRIM(INDEX(Реестр!$B:$B,ROW())),CHAR(160),""),CHAR(9),""),CHAR(10),""),CHAR(13),"")</f>
        <v/>
      </c>
      <c r="B235">
        <f>SUBSTITUTE(SUBSTITUTE(SUBSTITUTE(SUBSTITUTE(SUBSTITUTE(SUBSTITUTE(SUBSTITUTE(TRIM(INDEX(Реестр!$D:$D, ROW())), "-", ""), " ", ""), CHAR(160), ""), CHAR(9), ""), CHAR(10), ""), CHAR(13), ""), CHAR(32), "")</f>
        <v/>
      </c>
      <c r="C235">
        <f>INDEX(Реестр!$H:$H, ROW())</f>
        <v/>
      </c>
      <c r="D235">
        <f>IF(OR(ISBLANK(INDEX(Реестр!$B:$B, ROW())), INDEX(Реестр!$B:$B, ROW())=""), " ", IF(IFERROR(ISNUMBER(--A235),FALSE), IF(LEN(A235)=10, IF(MOD(MOD(H235,11),10)=--RIGHT(A235,1), "OK", "ОШИБКА"), IF(LEN(A235)=12, IF(AND(MOD(MOD(H235,11),10)=--MID(A235,11,1), MOD(MOD(I235,11),10)=--RIGHT(A235,1)), "OK", "ОШИБКА"), "ДЛИНА (10 или 12)")), "НЕ ЦИФРЫ"))</f>
        <v/>
      </c>
      <c r="E235">
        <f>MID(B235,1,1)*9+MID(B235,2,1)*8+MID(B235,3,1)*7+MID(B235,4,1)*6+MID(B235,5,1)*5+MID(B235,6,1)*4+MID(B235,7,1)*3+MID(B235,8,1)*2+MID(B235,9,1)</f>
        <v/>
      </c>
      <c r="F235">
        <f>IF(B235="", " ", IF(LEN(B235)&lt;&gt;11, "ДЛИНА", IF(NOT(ISNUMBER(--B235)), "НЕ ЦИФРЫ", IF(LEFT(B235,9)*1&lt;=1001998, "OK", IF(RIGHT(B235,2)*1=IF(MOD(E235,101)&gt;=100,0,MOD(E235,101)),"OK","ОШИБКА")))))</f>
        <v/>
      </c>
      <c r="G2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5">
        <f>IF(LEN(TRIM(A235))=10, --MID(A235,1,1)*2+--MID(A235,2,1)*4+--MID(A235,3,1)*10+--MID(A235,4,1)*3+--MID(A235,5,1)*5+--MID(A235,6,1)*9+--MID(A235,7,1)*4+--MID(A235,8,1)*6+--MID(A235,9,1)*8, IF(LEN(TRIM(A235))=12, --MID(A235,1,1)*7+--MID(A235,2,1)*2+--MID(A235,3,1)*4+--MID(A235,4,1)*10+--MID(A235,5,1)*3+--MID(A235,6,1)*5+--MID(A235,7,1)*9+--MID(A235,8,1)*4+--MID(A235,9,1)*6+--MID(A235,10,1)*8, ""))</f>
        <v/>
      </c>
      <c r="I235">
        <f>IF(LEN(TRIM(A235))=12, --MID(A235,1,1)*3+--MID(A235,2,1)*7+--MID(A235,3,1)*2+--MID(A235,4,1)*4+--MID(A235,5,1)*10+--MID(A235,6,1)*3+--MID(A235,7,1)*5+--MID(A235,8,1)*9+--MID(A235,9,1)*4+--MID(A235,10,1)*6+--MID(A235,11,1)*8, "")</f>
        <v/>
      </c>
    </row>
    <row r="236">
      <c r="A236">
        <f>SUBSTITUTE(SUBSTITUTE(SUBSTITUTE(SUBSTITUTE(TRIM(INDEX(Реестр!$B:$B,ROW())),CHAR(160),""),CHAR(9),""),CHAR(10),""),CHAR(13),"")</f>
        <v/>
      </c>
      <c r="B236">
        <f>SUBSTITUTE(SUBSTITUTE(SUBSTITUTE(SUBSTITUTE(SUBSTITUTE(SUBSTITUTE(SUBSTITUTE(TRIM(INDEX(Реестр!$D:$D, ROW())), "-", ""), " ", ""), CHAR(160), ""), CHAR(9), ""), CHAR(10), ""), CHAR(13), ""), CHAR(32), "")</f>
        <v/>
      </c>
      <c r="C236">
        <f>INDEX(Реестр!$H:$H, ROW())</f>
        <v/>
      </c>
      <c r="D236">
        <f>IF(OR(ISBLANK(INDEX(Реестр!$B:$B, ROW())), INDEX(Реестр!$B:$B, ROW())=""), " ", IF(IFERROR(ISNUMBER(--A236),FALSE), IF(LEN(A236)=10, IF(MOD(MOD(H236,11),10)=--RIGHT(A236,1), "OK", "ОШИБКА"), IF(LEN(A236)=12, IF(AND(MOD(MOD(H236,11),10)=--MID(A236,11,1), MOD(MOD(I236,11),10)=--RIGHT(A236,1)), "OK", "ОШИБКА"), "ДЛИНА (10 или 12)")), "НЕ ЦИФРЫ"))</f>
        <v/>
      </c>
      <c r="E236">
        <f>MID(B236,1,1)*9+MID(B236,2,1)*8+MID(B236,3,1)*7+MID(B236,4,1)*6+MID(B236,5,1)*5+MID(B236,6,1)*4+MID(B236,7,1)*3+MID(B236,8,1)*2+MID(B236,9,1)</f>
        <v/>
      </c>
      <c r="F236">
        <f>IF(B236="", " ", IF(LEN(B236)&lt;&gt;11, "ДЛИНА", IF(NOT(ISNUMBER(--B236)), "НЕ ЦИФРЫ", IF(LEFT(B236,9)*1&lt;=1001998, "OK", IF(RIGHT(B236,2)*1=IF(MOD(E236,101)&gt;=100,0,MOD(E236,101)),"OK","ОШИБКА")))))</f>
        <v/>
      </c>
      <c r="G2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6">
        <f>IF(LEN(TRIM(A236))=10, --MID(A236,1,1)*2+--MID(A236,2,1)*4+--MID(A236,3,1)*10+--MID(A236,4,1)*3+--MID(A236,5,1)*5+--MID(A236,6,1)*9+--MID(A236,7,1)*4+--MID(A236,8,1)*6+--MID(A236,9,1)*8, IF(LEN(TRIM(A236))=12, --MID(A236,1,1)*7+--MID(A236,2,1)*2+--MID(A236,3,1)*4+--MID(A236,4,1)*10+--MID(A236,5,1)*3+--MID(A236,6,1)*5+--MID(A236,7,1)*9+--MID(A236,8,1)*4+--MID(A236,9,1)*6+--MID(A236,10,1)*8, ""))</f>
        <v/>
      </c>
      <c r="I236">
        <f>IF(LEN(TRIM(A236))=12, --MID(A236,1,1)*3+--MID(A236,2,1)*7+--MID(A236,3,1)*2+--MID(A236,4,1)*4+--MID(A236,5,1)*10+--MID(A236,6,1)*3+--MID(A236,7,1)*5+--MID(A236,8,1)*9+--MID(A236,9,1)*4+--MID(A236,10,1)*6+--MID(A236,11,1)*8, "")</f>
        <v/>
      </c>
    </row>
    <row r="237">
      <c r="A237">
        <f>SUBSTITUTE(SUBSTITUTE(SUBSTITUTE(SUBSTITUTE(TRIM(INDEX(Реестр!$B:$B,ROW())),CHAR(160),""),CHAR(9),""),CHAR(10),""),CHAR(13),"")</f>
        <v/>
      </c>
      <c r="B237">
        <f>SUBSTITUTE(SUBSTITUTE(SUBSTITUTE(SUBSTITUTE(SUBSTITUTE(SUBSTITUTE(SUBSTITUTE(TRIM(INDEX(Реестр!$D:$D, ROW())), "-", ""), " ", ""), CHAR(160), ""), CHAR(9), ""), CHAR(10), ""), CHAR(13), ""), CHAR(32), "")</f>
        <v/>
      </c>
      <c r="C237">
        <f>INDEX(Реестр!$H:$H, ROW())</f>
        <v/>
      </c>
      <c r="D237">
        <f>IF(OR(ISBLANK(INDEX(Реестр!$B:$B, ROW())), INDEX(Реестр!$B:$B, ROW())=""), " ", IF(IFERROR(ISNUMBER(--A237),FALSE), IF(LEN(A237)=10, IF(MOD(MOD(H237,11),10)=--RIGHT(A237,1), "OK", "ОШИБКА"), IF(LEN(A237)=12, IF(AND(MOD(MOD(H237,11),10)=--MID(A237,11,1), MOD(MOD(I237,11),10)=--RIGHT(A237,1)), "OK", "ОШИБКА"), "ДЛИНА (10 или 12)")), "НЕ ЦИФРЫ"))</f>
        <v/>
      </c>
      <c r="E237">
        <f>MID(B237,1,1)*9+MID(B237,2,1)*8+MID(B237,3,1)*7+MID(B237,4,1)*6+MID(B237,5,1)*5+MID(B237,6,1)*4+MID(B237,7,1)*3+MID(B237,8,1)*2+MID(B237,9,1)</f>
        <v/>
      </c>
      <c r="F237">
        <f>IF(B237="", " ", IF(LEN(B237)&lt;&gt;11, "ДЛИНА", IF(NOT(ISNUMBER(--B237)), "НЕ ЦИФРЫ", IF(LEFT(B237,9)*1&lt;=1001998, "OK", IF(RIGHT(B237,2)*1=IF(MOD(E237,101)&gt;=100,0,MOD(E237,101)),"OK","ОШИБКА")))))</f>
        <v/>
      </c>
      <c r="G2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7">
        <f>IF(LEN(TRIM(A237))=10, --MID(A237,1,1)*2+--MID(A237,2,1)*4+--MID(A237,3,1)*10+--MID(A237,4,1)*3+--MID(A237,5,1)*5+--MID(A237,6,1)*9+--MID(A237,7,1)*4+--MID(A237,8,1)*6+--MID(A237,9,1)*8, IF(LEN(TRIM(A237))=12, --MID(A237,1,1)*7+--MID(A237,2,1)*2+--MID(A237,3,1)*4+--MID(A237,4,1)*10+--MID(A237,5,1)*3+--MID(A237,6,1)*5+--MID(A237,7,1)*9+--MID(A237,8,1)*4+--MID(A237,9,1)*6+--MID(A237,10,1)*8, ""))</f>
        <v/>
      </c>
      <c r="I237">
        <f>IF(LEN(TRIM(A237))=12, --MID(A237,1,1)*3+--MID(A237,2,1)*7+--MID(A237,3,1)*2+--MID(A237,4,1)*4+--MID(A237,5,1)*10+--MID(A237,6,1)*3+--MID(A237,7,1)*5+--MID(A237,8,1)*9+--MID(A237,9,1)*4+--MID(A237,10,1)*6+--MID(A237,11,1)*8, "")</f>
        <v/>
      </c>
    </row>
    <row r="238">
      <c r="A238">
        <f>SUBSTITUTE(SUBSTITUTE(SUBSTITUTE(SUBSTITUTE(TRIM(INDEX(Реестр!$B:$B,ROW())),CHAR(160),""),CHAR(9),""),CHAR(10),""),CHAR(13),"")</f>
        <v/>
      </c>
      <c r="B238">
        <f>SUBSTITUTE(SUBSTITUTE(SUBSTITUTE(SUBSTITUTE(SUBSTITUTE(SUBSTITUTE(SUBSTITUTE(TRIM(INDEX(Реестр!$D:$D, ROW())), "-", ""), " ", ""), CHAR(160), ""), CHAR(9), ""), CHAR(10), ""), CHAR(13), ""), CHAR(32), "")</f>
        <v/>
      </c>
      <c r="C238">
        <f>INDEX(Реестр!$H:$H, ROW())</f>
        <v/>
      </c>
      <c r="D238">
        <f>IF(OR(ISBLANK(INDEX(Реестр!$B:$B, ROW())), INDEX(Реестр!$B:$B, ROW())=""), " ", IF(IFERROR(ISNUMBER(--A238),FALSE), IF(LEN(A238)=10, IF(MOD(MOD(H238,11),10)=--RIGHT(A238,1), "OK", "ОШИБКА"), IF(LEN(A238)=12, IF(AND(MOD(MOD(H238,11),10)=--MID(A238,11,1), MOD(MOD(I238,11),10)=--RIGHT(A238,1)), "OK", "ОШИБКА"), "ДЛИНА (10 или 12)")), "НЕ ЦИФРЫ"))</f>
        <v/>
      </c>
      <c r="E238">
        <f>MID(B238,1,1)*9+MID(B238,2,1)*8+MID(B238,3,1)*7+MID(B238,4,1)*6+MID(B238,5,1)*5+MID(B238,6,1)*4+MID(B238,7,1)*3+MID(B238,8,1)*2+MID(B238,9,1)</f>
        <v/>
      </c>
      <c r="F238">
        <f>IF(B238="", " ", IF(LEN(B238)&lt;&gt;11, "ДЛИНА", IF(NOT(ISNUMBER(--B238)), "НЕ ЦИФРЫ", IF(LEFT(B238,9)*1&lt;=1001998, "OK", IF(RIGHT(B238,2)*1=IF(MOD(E238,101)&gt;=100,0,MOD(E238,101)),"OK","ОШИБКА")))))</f>
        <v/>
      </c>
      <c r="G2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8">
        <f>IF(LEN(TRIM(A238))=10, --MID(A238,1,1)*2+--MID(A238,2,1)*4+--MID(A238,3,1)*10+--MID(A238,4,1)*3+--MID(A238,5,1)*5+--MID(A238,6,1)*9+--MID(A238,7,1)*4+--MID(A238,8,1)*6+--MID(A238,9,1)*8, IF(LEN(TRIM(A238))=12, --MID(A238,1,1)*7+--MID(A238,2,1)*2+--MID(A238,3,1)*4+--MID(A238,4,1)*10+--MID(A238,5,1)*3+--MID(A238,6,1)*5+--MID(A238,7,1)*9+--MID(A238,8,1)*4+--MID(A238,9,1)*6+--MID(A238,10,1)*8, ""))</f>
        <v/>
      </c>
      <c r="I238">
        <f>IF(LEN(TRIM(A238))=12, --MID(A238,1,1)*3+--MID(A238,2,1)*7+--MID(A238,3,1)*2+--MID(A238,4,1)*4+--MID(A238,5,1)*10+--MID(A238,6,1)*3+--MID(A238,7,1)*5+--MID(A238,8,1)*9+--MID(A238,9,1)*4+--MID(A238,10,1)*6+--MID(A238,11,1)*8, "")</f>
        <v/>
      </c>
    </row>
    <row r="239">
      <c r="A239">
        <f>SUBSTITUTE(SUBSTITUTE(SUBSTITUTE(SUBSTITUTE(TRIM(INDEX(Реестр!$B:$B,ROW())),CHAR(160),""),CHAR(9),""),CHAR(10),""),CHAR(13),"")</f>
        <v/>
      </c>
      <c r="B239">
        <f>SUBSTITUTE(SUBSTITUTE(SUBSTITUTE(SUBSTITUTE(SUBSTITUTE(SUBSTITUTE(SUBSTITUTE(TRIM(INDEX(Реестр!$D:$D, ROW())), "-", ""), " ", ""), CHAR(160), ""), CHAR(9), ""), CHAR(10), ""), CHAR(13), ""), CHAR(32), "")</f>
        <v/>
      </c>
      <c r="C239">
        <f>INDEX(Реестр!$H:$H, ROW())</f>
        <v/>
      </c>
      <c r="D239">
        <f>IF(OR(ISBLANK(INDEX(Реестр!$B:$B, ROW())), INDEX(Реестр!$B:$B, ROW())=""), " ", IF(IFERROR(ISNUMBER(--A239),FALSE), IF(LEN(A239)=10, IF(MOD(MOD(H239,11),10)=--RIGHT(A239,1), "OK", "ОШИБКА"), IF(LEN(A239)=12, IF(AND(MOD(MOD(H239,11),10)=--MID(A239,11,1), MOD(MOD(I239,11),10)=--RIGHT(A239,1)), "OK", "ОШИБКА"), "ДЛИНА (10 или 12)")), "НЕ ЦИФРЫ"))</f>
        <v/>
      </c>
      <c r="E239">
        <f>MID(B239,1,1)*9+MID(B239,2,1)*8+MID(B239,3,1)*7+MID(B239,4,1)*6+MID(B239,5,1)*5+MID(B239,6,1)*4+MID(B239,7,1)*3+MID(B239,8,1)*2+MID(B239,9,1)</f>
        <v/>
      </c>
      <c r="F239">
        <f>IF(B239="", " ", IF(LEN(B239)&lt;&gt;11, "ДЛИНА", IF(NOT(ISNUMBER(--B239)), "НЕ ЦИФРЫ", IF(LEFT(B239,9)*1&lt;=1001998, "OK", IF(RIGHT(B239,2)*1=IF(MOD(E239,101)&gt;=100,0,MOD(E239,101)),"OK","ОШИБКА")))))</f>
        <v/>
      </c>
      <c r="G2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39">
        <f>IF(LEN(TRIM(A239))=10, --MID(A239,1,1)*2+--MID(A239,2,1)*4+--MID(A239,3,1)*10+--MID(A239,4,1)*3+--MID(A239,5,1)*5+--MID(A239,6,1)*9+--MID(A239,7,1)*4+--MID(A239,8,1)*6+--MID(A239,9,1)*8, IF(LEN(TRIM(A239))=12, --MID(A239,1,1)*7+--MID(A239,2,1)*2+--MID(A239,3,1)*4+--MID(A239,4,1)*10+--MID(A239,5,1)*3+--MID(A239,6,1)*5+--MID(A239,7,1)*9+--MID(A239,8,1)*4+--MID(A239,9,1)*6+--MID(A239,10,1)*8, ""))</f>
        <v/>
      </c>
      <c r="I239">
        <f>IF(LEN(TRIM(A239))=12, --MID(A239,1,1)*3+--MID(A239,2,1)*7+--MID(A239,3,1)*2+--MID(A239,4,1)*4+--MID(A239,5,1)*10+--MID(A239,6,1)*3+--MID(A239,7,1)*5+--MID(A239,8,1)*9+--MID(A239,9,1)*4+--MID(A239,10,1)*6+--MID(A239,11,1)*8, "")</f>
        <v/>
      </c>
    </row>
    <row r="240">
      <c r="A240">
        <f>SUBSTITUTE(SUBSTITUTE(SUBSTITUTE(SUBSTITUTE(TRIM(INDEX(Реестр!$B:$B,ROW())),CHAR(160),""),CHAR(9),""),CHAR(10),""),CHAR(13),"")</f>
        <v/>
      </c>
      <c r="B240">
        <f>SUBSTITUTE(SUBSTITUTE(SUBSTITUTE(SUBSTITUTE(SUBSTITUTE(SUBSTITUTE(SUBSTITUTE(TRIM(INDEX(Реестр!$D:$D, ROW())), "-", ""), " ", ""), CHAR(160), ""), CHAR(9), ""), CHAR(10), ""), CHAR(13), ""), CHAR(32), "")</f>
        <v/>
      </c>
      <c r="C240">
        <f>INDEX(Реестр!$H:$H, ROW())</f>
        <v/>
      </c>
      <c r="D240">
        <f>IF(OR(ISBLANK(INDEX(Реестр!$B:$B, ROW())), INDEX(Реестр!$B:$B, ROW())=""), " ", IF(IFERROR(ISNUMBER(--A240),FALSE), IF(LEN(A240)=10, IF(MOD(MOD(H240,11),10)=--RIGHT(A240,1), "OK", "ОШИБКА"), IF(LEN(A240)=12, IF(AND(MOD(MOD(H240,11),10)=--MID(A240,11,1), MOD(MOD(I240,11),10)=--RIGHT(A240,1)), "OK", "ОШИБКА"), "ДЛИНА (10 или 12)")), "НЕ ЦИФРЫ"))</f>
        <v/>
      </c>
      <c r="E240">
        <f>MID(B240,1,1)*9+MID(B240,2,1)*8+MID(B240,3,1)*7+MID(B240,4,1)*6+MID(B240,5,1)*5+MID(B240,6,1)*4+MID(B240,7,1)*3+MID(B240,8,1)*2+MID(B240,9,1)</f>
        <v/>
      </c>
      <c r="F240">
        <f>IF(B240="", " ", IF(LEN(B240)&lt;&gt;11, "ДЛИНА", IF(NOT(ISNUMBER(--B240)), "НЕ ЦИФРЫ", IF(LEFT(B240,9)*1&lt;=1001998, "OK", IF(RIGHT(B240,2)*1=IF(MOD(E240,101)&gt;=100,0,MOD(E240,101)),"OK","ОШИБКА")))))</f>
        <v/>
      </c>
      <c r="G2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0">
        <f>IF(LEN(TRIM(A240))=10, --MID(A240,1,1)*2+--MID(A240,2,1)*4+--MID(A240,3,1)*10+--MID(A240,4,1)*3+--MID(A240,5,1)*5+--MID(A240,6,1)*9+--MID(A240,7,1)*4+--MID(A240,8,1)*6+--MID(A240,9,1)*8, IF(LEN(TRIM(A240))=12, --MID(A240,1,1)*7+--MID(A240,2,1)*2+--MID(A240,3,1)*4+--MID(A240,4,1)*10+--MID(A240,5,1)*3+--MID(A240,6,1)*5+--MID(A240,7,1)*9+--MID(A240,8,1)*4+--MID(A240,9,1)*6+--MID(A240,10,1)*8, ""))</f>
        <v/>
      </c>
      <c r="I240">
        <f>IF(LEN(TRIM(A240))=12, --MID(A240,1,1)*3+--MID(A240,2,1)*7+--MID(A240,3,1)*2+--MID(A240,4,1)*4+--MID(A240,5,1)*10+--MID(A240,6,1)*3+--MID(A240,7,1)*5+--MID(A240,8,1)*9+--MID(A240,9,1)*4+--MID(A240,10,1)*6+--MID(A240,11,1)*8, "")</f>
        <v/>
      </c>
    </row>
    <row r="241">
      <c r="A241">
        <f>SUBSTITUTE(SUBSTITUTE(SUBSTITUTE(SUBSTITUTE(TRIM(INDEX(Реестр!$B:$B,ROW())),CHAR(160),""),CHAR(9),""),CHAR(10),""),CHAR(13),"")</f>
        <v/>
      </c>
      <c r="B241">
        <f>SUBSTITUTE(SUBSTITUTE(SUBSTITUTE(SUBSTITUTE(SUBSTITUTE(SUBSTITUTE(SUBSTITUTE(TRIM(INDEX(Реестр!$D:$D, ROW())), "-", ""), " ", ""), CHAR(160), ""), CHAR(9), ""), CHAR(10), ""), CHAR(13), ""), CHAR(32), "")</f>
        <v/>
      </c>
      <c r="C241">
        <f>INDEX(Реестр!$H:$H, ROW())</f>
        <v/>
      </c>
      <c r="D241">
        <f>IF(OR(ISBLANK(INDEX(Реестр!$B:$B, ROW())), INDEX(Реестр!$B:$B, ROW())=""), " ", IF(IFERROR(ISNUMBER(--A241),FALSE), IF(LEN(A241)=10, IF(MOD(MOD(H241,11),10)=--RIGHT(A241,1), "OK", "ОШИБКА"), IF(LEN(A241)=12, IF(AND(MOD(MOD(H241,11),10)=--MID(A241,11,1), MOD(MOD(I241,11),10)=--RIGHT(A241,1)), "OK", "ОШИБКА"), "ДЛИНА (10 или 12)")), "НЕ ЦИФРЫ"))</f>
        <v/>
      </c>
      <c r="E241">
        <f>MID(B241,1,1)*9+MID(B241,2,1)*8+MID(B241,3,1)*7+MID(B241,4,1)*6+MID(B241,5,1)*5+MID(B241,6,1)*4+MID(B241,7,1)*3+MID(B241,8,1)*2+MID(B241,9,1)</f>
        <v/>
      </c>
      <c r="F241">
        <f>IF(B241="", " ", IF(LEN(B241)&lt;&gt;11, "ДЛИНА", IF(NOT(ISNUMBER(--B241)), "НЕ ЦИФРЫ", IF(LEFT(B241,9)*1&lt;=1001998, "OK", IF(RIGHT(B241,2)*1=IF(MOD(E241,101)&gt;=100,0,MOD(E241,101)),"OK","ОШИБКА")))))</f>
        <v/>
      </c>
      <c r="G2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1">
        <f>IF(LEN(TRIM(A241))=10, --MID(A241,1,1)*2+--MID(A241,2,1)*4+--MID(A241,3,1)*10+--MID(A241,4,1)*3+--MID(A241,5,1)*5+--MID(A241,6,1)*9+--MID(A241,7,1)*4+--MID(A241,8,1)*6+--MID(A241,9,1)*8, IF(LEN(TRIM(A241))=12, --MID(A241,1,1)*7+--MID(A241,2,1)*2+--MID(A241,3,1)*4+--MID(A241,4,1)*10+--MID(A241,5,1)*3+--MID(A241,6,1)*5+--MID(A241,7,1)*9+--MID(A241,8,1)*4+--MID(A241,9,1)*6+--MID(A241,10,1)*8, ""))</f>
        <v/>
      </c>
      <c r="I241">
        <f>IF(LEN(TRIM(A241))=12, --MID(A241,1,1)*3+--MID(A241,2,1)*7+--MID(A241,3,1)*2+--MID(A241,4,1)*4+--MID(A241,5,1)*10+--MID(A241,6,1)*3+--MID(A241,7,1)*5+--MID(A241,8,1)*9+--MID(A241,9,1)*4+--MID(A241,10,1)*6+--MID(A241,11,1)*8, "")</f>
        <v/>
      </c>
    </row>
    <row r="242">
      <c r="A242">
        <f>SUBSTITUTE(SUBSTITUTE(SUBSTITUTE(SUBSTITUTE(TRIM(INDEX(Реестр!$B:$B,ROW())),CHAR(160),""),CHAR(9),""),CHAR(10),""),CHAR(13),"")</f>
        <v/>
      </c>
      <c r="B242">
        <f>SUBSTITUTE(SUBSTITUTE(SUBSTITUTE(SUBSTITUTE(SUBSTITUTE(SUBSTITUTE(SUBSTITUTE(TRIM(INDEX(Реестр!$D:$D, ROW())), "-", ""), " ", ""), CHAR(160), ""), CHAR(9), ""), CHAR(10), ""), CHAR(13), ""), CHAR(32), "")</f>
        <v/>
      </c>
      <c r="C242">
        <f>INDEX(Реестр!$H:$H, ROW())</f>
        <v/>
      </c>
      <c r="D242">
        <f>IF(OR(ISBLANK(INDEX(Реестр!$B:$B, ROW())), INDEX(Реестр!$B:$B, ROW())=""), " ", IF(IFERROR(ISNUMBER(--A242),FALSE), IF(LEN(A242)=10, IF(MOD(MOD(H242,11),10)=--RIGHT(A242,1), "OK", "ОШИБКА"), IF(LEN(A242)=12, IF(AND(MOD(MOD(H242,11),10)=--MID(A242,11,1), MOD(MOD(I242,11),10)=--RIGHT(A242,1)), "OK", "ОШИБКА"), "ДЛИНА (10 или 12)")), "НЕ ЦИФРЫ"))</f>
        <v/>
      </c>
      <c r="E242">
        <f>MID(B242,1,1)*9+MID(B242,2,1)*8+MID(B242,3,1)*7+MID(B242,4,1)*6+MID(B242,5,1)*5+MID(B242,6,1)*4+MID(B242,7,1)*3+MID(B242,8,1)*2+MID(B242,9,1)</f>
        <v/>
      </c>
      <c r="F242">
        <f>IF(B242="", " ", IF(LEN(B242)&lt;&gt;11, "ДЛИНА", IF(NOT(ISNUMBER(--B242)), "НЕ ЦИФРЫ", IF(LEFT(B242,9)*1&lt;=1001998, "OK", IF(RIGHT(B242,2)*1=IF(MOD(E242,101)&gt;=100,0,MOD(E242,101)),"OK","ОШИБКА")))))</f>
        <v/>
      </c>
      <c r="G2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2">
        <f>IF(LEN(TRIM(A242))=10, --MID(A242,1,1)*2+--MID(A242,2,1)*4+--MID(A242,3,1)*10+--MID(A242,4,1)*3+--MID(A242,5,1)*5+--MID(A242,6,1)*9+--MID(A242,7,1)*4+--MID(A242,8,1)*6+--MID(A242,9,1)*8, IF(LEN(TRIM(A242))=12, --MID(A242,1,1)*7+--MID(A242,2,1)*2+--MID(A242,3,1)*4+--MID(A242,4,1)*10+--MID(A242,5,1)*3+--MID(A242,6,1)*5+--MID(A242,7,1)*9+--MID(A242,8,1)*4+--MID(A242,9,1)*6+--MID(A242,10,1)*8, ""))</f>
        <v/>
      </c>
      <c r="I242">
        <f>IF(LEN(TRIM(A242))=12, --MID(A242,1,1)*3+--MID(A242,2,1)*7+--MID(A242,3,1)*2+--MID(A242,4,1)*4+--MID(A242,5,1)*10+--MID(A242,6,1)*3+--MID(A242,7,1)*5+--MID(A242,8,1)*9+--MID(A242,9,1)*4+--MID(A242,10,1)*6+--MID(A242,11,1)*8, "")</f>
        <v/>
      </c>
    </row>
    <row r="243">
      <c r="A243">
        <f>SUBSTITUTE(SUBSTITUTE(SUBSTITUTE(SUBSTITUTE(TRIM(INDEX(Реестр!$B:$B,ROW())),CHAR(160),""),CHAR(9),""),CHAR(10),""),CHAR(13),"")</f>
        <v/>
      </c>
      <c r="B243">
        <f>SUBSTITUTE(SUBSTITUTE(SUBSTITUTE(SUBSTITUTE(SUBSTITUTE(SUBSTITUTE(SUBSTITUTE(TRIM(INDEX(Реестр!$D:$D, ROW())), "-", ""), " ", ""), CHAR(160), ""), CHAR(9), ""), CHAR(10), ""), CHAR(13), ""), CHAR(32), "")</f>
        <v/>
      </c>
      <c r="C243">
        <f>INDEX(Реестр!$H:$H, ROW())</f>
        <v/>
      </c>
      <c r="D243">
        <f>IF(OR(ISBLANK(INDEX(Реестр!$B:$B, ROW())), INDEX(Реестр!$B:$B, ROW())=""), " ", IF(IFERROR(ISNUMBER(--A243),FALSE), IF(LEN(A243)=10, IF(MOD(MOD(H243,11),10)=--RIGHT(A243,1), "OK", "ОШИБКА"), IF(LEN(A243)=12, IF(AND(MOD(MOD(H243,11),10)=--MID(A243,11,1), MOD(MOD(I243,11),10)=--RIGHT(A243,1)), "OK", "ОШИБКА"), "ДЛИНА (10 или 12)")), "НЕ ЦИФРЫ"))</f>
        <v/>
      </c>
      <c r="E243">
        <f>MID(B243,1,1)*9+MID(B243,2,1)*8+MID(B243,3,1)*7+MID(B243,4,1)*6+MID(B243,5,1)*5+MID(B243,6,1)*4+MID(B243,7,1)*3+MID(B243,8,1)*2+MID(B243,9,1)</f>
        <v/>
      </c>
      <c r="F243">
        <f>IF(B243="", " ", IF(LEN(B243)&lt;&gt;11, "ДЛИНА", IF(NOT(ISNUMBER(--B243)), "НЕ ЦИФРЫ", IF(LEFT(B243,9)*1&lt;=1001998, "OK", IF(RIGHT(B243,2)*1=IF(MOD(E243,101)&gt;=100,0,MOD(E243,101)),"OK","ОШИБКА")))))</f>
        <v/>
      </c>
      <c r="G2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3">
        <f>IF(LEN(TRIM(A243))=10, --MID(A243,1,1)*2+--MID(A243,2,1)*4+--MID(A243,3,1)*10+--MID(A243,4,1)*3+--MID(A243,5,1)*5+--MID(A243,6,1)*9+--MID(A243,7,1)*4+--MID(A243,8,1)*6+--MID(A243,9,1)*8, IF(LEN(TRIM(A243))=12, --MID(A243,1,1)*7+--MID(A243,2,1)*2+--MID(A243,3,1)*4+--MID(A243,4,1)*10+--MID(A243,5,1)*3+--MID(A243,6,1)*5+--MID(A243,7,1)*9+--MID(A243,8,1)*4+--MID(A243,9,1)*6+--MID(A243,10,1)*8, ""))</f>
        <v/>
      </c>
      <c r="I243">
        <f>IF(LEN(TRIM(A243))=12, --MID(A243,1,1)*3+--MID(A243,2,1)*7+--MID(A243,3,1)*2+--MID(A243,4,1)*4+--MID(A243,5,1)*10+--MID(A243,6,1)*3+--MID(A243,7,1)*5+--MID(A243,8,1)*9+--MID(A243,9,1)*4+--MID(A243,10,1)*6+--MID(A243,11,1)*8, "")</f>
        <v/>
      </c>
    </row>
    <row r="244">
      <c r="A244">
        <f>SUBSTITUTE(SUBSTITUTE(SUBSTITUTE(SUBSTITUTE(TRIM(INDEX(Реестр!$B:$B,ROW())),CHAR(160),""),CHAR(9),""),CHAR(10),""),CHAR(13),"")</f>
        <v/>
      </c>
      <c r="B244">
        <f>SUBSTITUTE(SUBSTITUTE(SUBSTITUTE(SUBSTITUTE(SUBSTITUTE(SUBSTITUTE(SUBSTITUTE(TRIM(INDEX(Реестр!$D:$D, ROW())), "-", ""), " ", ""), CHAR(160), ""), CHAR(9), ""), CHAR(10), ""), CHAR(13), ""), CHAR(32), "")</f>
        <v/>
      </c>
      <c r="C244">
        <f>INDEX(Реестр!$H:$H, ROW())</f>
        <v/>
      </c>
      <c r="D244">
        <f>IF(OR(ISBLANK(INDEX(Реестр!$B:$B, ROW())), INDEX(Реестр!$B:$B, ROW())=""), " ", IF(IFERROR(ISNUMBER(--A244),FALSE), IF(LEN(A244)=10, IF(MOD(MOD(H244,11),10)=--RIGHT(A244,1), "OK", "ОШИБКА"), IF(LEN(A244)=12, IF(AND(MOD(MOD(H244,11),10)=--MID(A244,11,1), MOD(MOD(I244,11),10)=--RIGHT(A244,1)), "OK", "ОШИБКА"), "ДЛИНА (10 или 12)")), "НЕ ЦИФРЫ"))</f>
        <v/>
      </c>
      <c r="E244">
        <f>MID(B244,1,1)*9+MID(B244,2,1)*8+MID(B244,3,1)*7+MID(B244,4,1)*6+MID(B244,5,1)*5+MID(B244,6,1)*4+MID(B244,7,1)*3+MID(B244,8,1)*2+MID(B244,9,1)</f>
        <v/>
      </c>
      <c r="F244">
        <f>IF(B244="", " ", IF(LEN(B244)&lt;&gt;11, "ДЛИНА", IF(NOT(ISNUMBER(--B244)), "НЕ ЦИФРЫ", IF(LEFT(B244,9)*1&lt;=1001998, "OK", IF(RIGHT(B244,2)*1=IF(MOD(E244,101)&gt;=100,0,MOD(E244,101)),"OK","ОШИБКА")))))</f>
        <v/>
      </c>
      <c r="G2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4">
        <f>IF(LEN(TRIM(A244))=10, --MID(A244,1,1)*2+--MID(A244,2,1)*4+--MID(A244,3,1)*10+--MID(A244,4,1)*3+--MID(A244,5,1)*5+--MID(A244,6,1)*9+--MID(A244,7,1)*4+--MID(A244,8,1)*6+--MID(A244,9,1)*8, IF(LEN(TRIM(A244))=12, --MID(A244,1,1)*7+--MID(A244,2,1)*2+--MID(A244,3,1)*4+--MID(A244,4,1)*10+--MID(A244,5,1)*3+--MID(A244,6,1)*5+--MID(A244,7,1)*9+--MID(A244,8,1)*4+--MID(A244,9,1)*6+--MID(A244,10,1)*8, ""))</f>
        <v/>
      </c>
      <c r="I244">
        <f>IF(LEN(TRIM(A244))=12, --MID(A244,1,1)*3+--MID(A244,2,1)*7+--MID(A244,3,1)*2+--MID(A244,4,1)*4+--MID(A244,5,1)*10+--MID(A244,6,1)*3+--MID(A244,7,1)*5+--MID(A244,8,1)*9+--MID(A244,9,1)*4+--MID(A244,10,1)*6+--MID(A244,11,1)*8, "")</f>
        <v/>
      </c>
    </row>
    <row r="245">
      <c r="A245">
        <f>SUBSTITUTE(SUBSTITUTE(SUBSTITUTE(SUBSTITUTE(TRIM(INDEX(Реестр!$B:$B,ROW())),CHAR(160),""),CHAR(9),""),CHAR(10),""),CHAR(13),"")</f>
        <v/>
      </c>
      <c r="B245">
        <f>SUBSTITUTE(SUBSTITUTE(SUBSTITUTE(SUBSTITUTE(SUBSTITUTE(SUBSTITUTE(SUBSTITUTE(TRIM(INDEX(Реестр!$D:$D, ROW())), "-", ""), " ", ""), CHAR(160), ""), CHAR(9), ""), CHAR(10), ""), CHAR(13), ""), CHAR(32), "")</f>
        <v/>
      </c>
      <c r="C245">
        <f>INDEX(Реестр!$H:$H, ROW())</f>
        <v/>
      </c>
      <c r="D245">
        <f>IF(OR(ISBLANK(INDEX(Реестр!$B:$B, ROW())), INDEX(Реестр!$B:$B, ROW())=""), " ", IF(IFERROR(ISNUMBER(--A245),FALSE), IF(LEN(A245)=10, IF(MOD(MOD(H245,11),10)=--RIGHT(A245,1), "OK", "ОШИБКА"), IF(LEN(A245)=12, IF(AND(MOD(MOD(H245,11),10)=--MID(A245,11,1), MOD(MOD(I245,11),10)=--RIGHT(A245,1)), "OK", "ОШИБКА"), "ДЛИНА (10 или 12)")), "НЕ ЦИФРЫ"))</f>
        <v/>
      </c>
      <c r="E245">
        <f>MID(B245,1,1)*9+MID(B245,2,1)*8+MID(B245,3,1)*7+MID(B245,4,1)*6+MID(B245,5,1)*5+MID(B245,6,1)*4+MID(B245,7,1)*3+MID(B245,8,1)*2+MID(B245,9,1)</f>
        <v/>
      </c>
      <c r="F245">
        <f>IF(B245="", " ", IF(LEN(B245)&lt;&gt;11, "ДЛИНА", IF(NOT(ISNUMBER(--B245)), "НЕ ЦИФРЫ", IF(LEFT(B245,9)*1&lt;=1001998, "OK", IF(RIGHT(B245,2)*1=IF(MOD(E245,101)&gt;=100,0,MOD(E245,101)),"OK","ОШИБКА")))))</f>
        <v/>
      </c>
      <c r="G2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5">
        <f>IF(LEN(TRIM(A245))=10, --MID(A245,1,1)*2+--MID(A245,2,1)*4+--MID(A245,3,1)*10+--MID(A245,4,1)*3+--MID(A245,5,1)*5+--MID(A245,6,1)*9+--MID(A245,7,1)*4+--MID(A245,8,1)*6+--MID(A245,9,1)*8, IF(LEN(TRIM(A245))=12, --MID(A245,1,1)*7+--MID(A245,2,1)*2+--MID(A245,3,1)*4+--MID(A245,4,1)*10+--MID(A245,5,1)*3+--MID(A245,6,1)*5+--MID(A245,7,1)*9+--MID(A245,8,1)*4+--MID(A245,9,1)*6+--MID(A245,10,1)*8, ""))</f>
        <v/>
      </c>
      <c r="I245">
        <f>IF(LEN(TRIM(A245))=12, --MID(A245,1,1)*3+--MID(A245,2,1)*7+--MID(A245,3,1)*2+--MID(A245,4,1)*4+--MID(A245,5,1)*10+--MID(A245,6,1)*3+--MID(A245,7,1)*5+--MID(A245,8,1)*9+--MID(A245,9,1)*4+--MID(A245,10,1)*6+--MID(A245,11,1)*8, "")</f>
        <v/>
      </c>
    </row>
    <row r="246">
      <c r="A246">
        <f>SUBSTITUTE(SUBSTITUTE(SUBSTITUTE(SUBSTITUTE(TRIM(INDEX(Реестр!$B:$B,ROW())),CHAR(160),""),CHAR(9),""),CHAR(10),""),CHAR(13),"")</f>
        <v/>
      </c>
      <c r="B246">
        <f>SUBSTITUTE(SUBSTITUTE(SUBSTITUTE(SUBSTITUTE(SUBSTITUTE(SUBSTITUTE(SUBSTITUTE(TRIM(INDEX(Реестр!$D:$D, ROW())), "-", ""), " ", ""), CHAR(160), ""), CHAR(9), ""), CHAR(10), ""), CHAR(13), ""), CHAR(32), "")</f>
        <v/>
      </c>
      <c r="C246">
        <f>INDEX(Реестр!$H:$H, ROW())</f>
        <v/>
      </c>
      <c r="D246">
        <f>IF(OR(ISBLANK(INDEX(Реестр!$B:$B, ROW())), INDEX(Реестр!$B:$B, ROW())=""), " ", IF(IFERROR(ISNUMBER(--A246),FALSE), IF(LEN(A246)=10, IF(MOD(MOD(H246,11),10)=--RIGHT(A246,1), "OK", "ОШИБКА"), IF(LEN(A246)=12, IF(AND(MOD(MOD(H246,11),10)=--MID(A246,11,1), MOD(MOD(I246,11),10)=--RIGHT(A246,1)), "OK", "ОШИБКА"), "ДЛИНА (10 или 12)")), "НЕ ЦИФРЫ"))</f>
        <v/>
      </c>
      <c r="E246">
        <f>MID(B246,1,1)*9+MID(B246,2,1)*8+MID(B246,3,1)*7+MID(B246,4,1)*6+MID(B246,5,1)*5+MID(B246,6,1)*4+MID(B246,7,1)*3+MID(B246,8,1)*2+MID(B246,9,1)</f>
        <v/>
      </c>
      <c r="F246">
        <f>IF(B246="", " ", IF(LEN(B246)&lt;&gt;11, "ДЛИНА", IF(NOT(ISNUMBER(--B246)), "НЕ ЦИФРЫ", IF(LEFT(B246,9)*1&lt;=1001998, "OK", IF(RIGHT(B246,2)*1=IF(MOD(E246,101)&gt;=100,0,MOD(E246,101)),"OK","ОШИБКА")))))</f>
        <v/>
      </c>
      <c r="G2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6">
        <f>IF(LEN(TRIM(A246))=10, --MID(A246,1,1)*2+--MID(A246,2,1)*4+--MID(A246,3,1)*10+--MID(A246,4,1)*3+--MID(A246,5,1)*5+--MID(A246,6,1)*9+--MID(A246,7,1)*4+--MID(A246,8,1)*6+--MID(A246,9,1)*8, IF(LEN(TRIM(A246))=12, --MID(A246,1,1)*7+--MID(A246,2,1)*2+--MID(A246,3,1)*4+--MID(A246,4,1)*10+--MID(A246,5,1)*3+--MID(A246,6,1)*5+--MID(A246,7,1)*9+--MID(A246,8,1)*4+--MID(A246,9,1)*6+--MID(A246,10,1)*8, ""))</f>
        <v/>
      </c>
      <c r="I246">
        <f>IF(LEN(TRIM(A246))=12, --MID(A246,1,1)*3+--MID(A246,2,1)*7+--MID(A246,3,1)*2+--MID(A246,4,1)*4+--MID(A246,5,1)*10+--MID(A246,6,1)*3+--MID(A246,7,1)*5+--MID(A246,8,1)*9+--MID(A246,9,1)*4+--MID(A246,10,1)*6+--MID(A246,11,1)*8, "")</f>
        <v/>
      </c>
    </row>
    <row r="247">
      <c r="A247">
        <f>SUBSTITUTE(SUBSTITUTE(SUBSTITUTE(SUBSTITUTE(TRIM(INDEX(Реестр!$B:$B,ROW())),CHAR(160),""),CHAR(9),""),CHAR(10),""),CHAR(13),"")</f>
        <v/>
      </c>
      <c r="B247">
        <f>SUBSTITUTE(SUBSTITUTE(SUBSTITUTE(SUBSTITUTE(SUBSTITUTE(SUBSTITUTE(SUBSTITUTE(TRIM(INDEX(Реестр!$D:$D, ROW())), "-", ""), " ", ""), CHAR(160), ""), CHAR(9), ""), CHAR(10), ""), CHAR(13), ""), CHAR(32), "")</f>
        <v/>
      </c>
      <c r="C247">
        <f>INDEX(Реестр!$H:$H, ROW())</f>
        <v/>
      </c>
      <c r="D247">
        <f>IF(OR(ISBLANK(INDEX(Реестр!$B:$B, ROW())), INDEX(Реестр!$B:$B, ROW())=""), " ", IF(IFERROR(ISNUMBER(--A247),FALSE), IF(LEN(A247)=10, IF(MOD(MOD(H247,11),10)=--RIGHT(A247,1), "OK", "ОШИБКА"), IF(LEN(A247)=12, IF(AND(MOD(MOD(H247,11),10)=--MID(A247,11,1), MOD(MOD(I247,11),10)=--RIGHT(A247,1)), "OK", "ОШИБКА"), "ДЛИНА (10 или 12)")), "НЕ ЦИФРЫ"))</f>
        <v/>
      </c>
      <c r="E247">
        <f>MID(B247,1,1)*9+MID(B247,2,1)*8+MID(B247,3,1)*7+MID(B247,4,1)*6+MID(B247,5,1)*5+MID(B247,6,1)*4+MID(B247,7,1)*3+MID(B247,8,1)*2+MID(B247,9,1)</f>
        <v/>
      </c>
      <c r="F247">
        <f>IF(B247="", " ", IF(LEN(B247)&lt;&gt;11, "ДЛИНА", IF(NOT(ISNUMBER(--B247)), "НЕ ЦИФРЫ", IF(LEFT(B247,9)*1&lt;=1001998, "OK", IF(RIGHT(B247,2)*1=IF(MOD(E247,101)&gt;=100,0,MOD(E247,101)),"OK","ОШИБКА")))))</f>
        <v/>
      </c>
      <c r="G2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7">
        <f>IF(LEN(TRIM(A247))=10, --MID(A247,1,1)*2+--MID(A247,2,1)*4+--MID(A247,3,1)*10+--MID(A247,4,1)*3+--MID(A247,5,1)*5+--MID(A247,6,1)*9+--MID(A247,7,1)*4+--MID(A247,8,1)*6+--MID(A247,9,1)*8, IF(LEN(TRIM(A247))=12, --MID(A247,1,1)*7+--MID(A247,2,1)*2+--MID(A247,3,1)*4+--MID(A247,4,1)*10+--MID(A247,5,1)*3+--MID(A247,6,1)*5+--MID(A247,7,1)*9+--MID(A247,8,1)*4+--MID(A247,9,1)*6+--MID(A247,10,1)*8, ""))</f>
        <v/>
      </c>
      <c r="I247">
        <f>IF(LEN(TRIM(A247))=12, --MID(A247,1,1)*3+--MID(A247,2,1)*7+--MID(A247,3,1)*2+--MID(A247,4,1)*4+--MID(A247,5,1)*10+--MID(A247,6,1)*3+--MID(A247,7,1)*5+--MID(A247,8,1)*9+--MID(A247,9,1)*4+--MID(A247,10,1)*6+--MID(A247,11,1)*8, "")</f>
        <v/>
      </c>
    </row>
    <row r="248">
      <c r="A248">
        <f>SUBSTITUTE(SUBSTITUTE(SUBSTITUTE(SUBSTITUTE(TRIM(INDEX(Реестр!$B:$B,ROW())),CHAR(160),""),CHAR(9),""),CHAR(10),""),CHAR(13),"")</f>
        <v/>
      </c>
      <c r="B248">
        <f>SUBSTITUTE(SUBSTITUTE(SUBSTITUTE(SUBSTITUTE(SUBSTITUTE(SUBSTITUTE(SUBSTITUTE(TRIM(INDEX(Реестр!$D:$D, ROW())), "-", ""), " ", ""), CHAR(160), ""), CHAR(9), ""), CHAR(10), ""), CHAR(13), ""), CHAR(32), "")</f>
        <v/>
      </c>
      <c r="C248">
        <f>INDEX(Реестр!$H:$H, ROW())</f>
        <v/>
      </c>
      <c r="D248">
        <f>IF(OR(ISBLANK(INDEX(Реестр!$B:$B, ROW())), INDEX(Реестр!$B:$B, ROW())=""), " ", IF(IFERROR(ISNUMBER(--A248),FALSE), IF(LEN(A248)=10, IF(MOD(MOD(H248,11),10)=--RIGHT(A248,1), "OK", "ОШИБКА"), IF(LEN(A248)=12, IF(AND(MOD(MOD(H248,11),10)=--MID(A248,11,1), MOD(MOD(I248,11),10)=--RIGHT(A248,1)), "OK", "ОШИБКА"), "ДЛИНА (10 или 12)")), "НЕ ЦИФРЫ"))</f>
        <v/>
      </c>
      <c r="E248">
        <f>MID(B248,1,1)*9+MID(B248,2,1)*8+MID(B248,3,1)*7+MID(B248,4,1)*6+MID(B248,5,1)*5+MID(B248,6,1)*4+MID(B248,7,1)*3+MID(B248,8,1)*2+MID(B248,9,1)</f>
        <v/>
      </c>
      <c r="F248">
        <f>IF(B248="", " ", IF(LEN(B248)&lt;&gt;11, "ДЛИНА", IF(NOT(ISNUMBER(--B248)), "НЕ ЦИФРЫ", IF(LEFT(B248,9)*1&lt;=1001998, "OK", IF(RIGHT(B248,2)*1=IF(MOD(E248,101)&gt;=100,0,MOD(E248,101)),"OK","ОШИБКА")))))</f>
        <v/>
      </c>
      <c r="G2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8">
        <f>IF(LEN(TRIM(A248))=10, --MID(A248,1,1)*2+--MID(A248,2,1)*4+--MID(A248,3,1)*10+--MID(A248,4,1)*3+--MID(A248,5,1)*5+--MID(A248,6,1)*9+--MID(A248,7,1)*4+--MID(A248,8,1)*6+--MID(A248,9,1)*8, IF(LEN(TRIM(A248))=12, --MID(A248,1,1)*7+--MID(A248,2,1)*2+--MID(A248,3,1)*4+--MID(A248,4,1)*10+--MID(A248,5,1)*3+--MID(A248,6,1)*5+--MID(A248,7,1)*9+--MID(A248,8,1)*4+--MID(A248,9,1)*6+--MID(A248,10,1)*8, ""))</f>
        <v/>
      </c>
      <c r="I248">
        <f>IF(LEN(TRIM(A248))=12, --MID(A248,1,1)*3+--MID(A248,2,1)*7+--MID(A248,3,1)*2+--MID(A248,4,1)*4+--MID(A248,5,1)*10+--MID(A248,6,1)*3+--MID(A248,7,1)*5+--MID(A248,8,1)*9+--MID(A248,9,1)*4+--MID(A248,10,1)*6+--MID(A248,11,1)*8, "")</f>
        <v/>
      </c>
    </row>
    <row r="249">
      <c r="A249">
        <f>SUBSTITUTE(SUBSTITUTE(SUBSTITUTE(SUBSTITUTE(TRIM(INDEX(Реестр!$B:$B,ROW())),CHAR(160),""),CHAR(9),""),CHAR(10),""),CHAR(13),"")</f>
        <v/>
      </c>
      <c r="B249">
        <f>SUBSTITUTE(SUBSTITUTE(SUBSTITUTE(SUBSTITUTE(SUBSTITUTE(SUBSTITUTE(SUBSTITUTE(TRIM(INDEX(Реестр!$D:$D, ROW())), "-", ""), " ", ""), CHAR(160), ""), CHAR(9), ""), CHAR(10), ""), CHAR(13), ""), CHAR(32), "")</f>
        <v/>
      </c>
      <c r="C249">
        <f>INDEX(Реестр!$H:$H, ROW())</f>
        <v/>
      </c>
      <c r="D249">
        <f>IF(OR(ISBLANK(INDEX(Реестр!$B:$B, ROW())), INDEX(Реестр!$B:$B, ROW())=""), " ", IF(IFERROR(ISNUMBER(--A249),FALSE), IF(LEN(A249)=10, IF(MOD(MOD(H249,11),10)=--RIGHT(A249,1), "OK", "ОШИБКА"), IF(LEN(A249)=12, IF(AND(MOD(MOD(H249,11),10)=--MID(A249,11,1), MOD(MOD(I249,11),10)=--RIGHT(A249,1)), "OK", "ОШИБКА"), "ДЛИНА (10 или 12)")), "НЕ ЦИФРЫ"))</f>
        <v/>
      </c>
      <c r="E249">
        <f>MID(B249,1,1)*9+MID(B249,2,1)*8+MID(B249,3,1)*7+MID(B249,4,1)*6+MID(B249,5,1)*5+MID(B249,6,1)*4+MID(B249,7,1)*3+MID(B249,8,1)*2+MID(B249,9,1)</f>
        <v/>
      </c>
      <c r="F249">
        <f>IF(B249="", " ", IF(LEN(B249)&lt;&gt;11, "ДЛИНА", IF(NOT(ISNUMBER(--B249)), "НЕ ЦИФРЫ", IF(LEFT(B249,9)*1&lt;=1001998, "OK", IF(RIGHT(B249,2)*1=IF(MOD(E249,101)&gt;=100,0,MOD(E249,101)),"OK","ОШИБКА")))))</f>
        <v/>
      </c>
      <c r="G2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49">
        <f>IF(LEN(TRIM(A249))=10, --MID(A249,1,1)*2+--MID(A249,2,1)*4+--MID(A249,3,1)*10+--MID(A249,4,1)*3+--MID(A249,5,1)*5+--MID(A249,6,1)*9+--MID(A249,7,1)*4+--MID(A249,8,1)*6+--MID(A249,9,1)*8, IF(LEN(TRIM(A249))=12, --MID(A249,1,1)*7+--MID(A249,2,1)*2+--MID(A249,3,1)*4+--MID(A249,4,1)*10+--MID(A249,5,1)*3+--MID(A249,6,1)*5+--MID(A249,7,1)*9+--MID(A249,8,1)*4+--MID(A249,9,1)*6+--MID(A249,10,1)*8, ""))</f>
        <v/>
      </c>
      <c r="I249">
        <f>IF(LEN(TRIM(A249))=12, --MID(A249,1,1)*3+--MID(A249,2,1)*7+--MID(A249,3,1)*2+--MID(A249,4,1)*4+--MID(A249,5,1)*10+--MID(A249,6,1)*3+--MID(A249,7,1)*5+--MID(A249,8,1)*9+--MID(A249,9,1)*4+--MID(A249,10,1)*6+--MID(A249,11,1)*8, "")</f>
        <v/>
      </c>
    </row>
    <row r="250">
      <c r="A250">
        <f>SUBSTITUTE(SUBSTITUTE(SUBSTITUTE(SUBSTITUTE(TRIM(INDEX(Реестр!$B:$B,ROW())),CHAR(160),""),CHAR(9),""),CHAR(10),""),CHAR(13),"")</f>
        <v/>
      </c>
      <c r="B250">
        <f>SUBSTITUTE(SUBSTITUTE(SUBSTITUTE(SUBSTITUTE(SUBSTITUTE(SUBSTITUTE(SUBSTITUTE(TRIM(INDEX(Реестр!$D:$D, ROW())), "-", ""), " ", ""), CHAR(160), ""), CHAR(9), ""), CHAR(10), ""), CHAR(13), ""), CHAR(32), "")</f>
        <v/>
      </c>
      <c r="C250">
        <f>INDEX(Реестр!$H:$H, ROW())</f>
        <v/>
      </c>
      <c r="D250">
        <f>IF(OR(ISBLANK(INDEX(Реестр!$B:$B, ROW())), INDEX(Реестр!$B:$B, ROW())=""), " ", IF(IFERROR(ISNUMBER(--A250),FALSE), IF(LEN(A250)=10, IF(MOD(MOD(H250,11),10)=--RIGHT(A250,1), "OK", "ОШИБКА"), IF(LEN(A250)=12, IF(AND(MOD(MOD(H250,11),10)=--MID(A250,11,1), MOD(MOD(I250,11),10)=--RIGHT(A250,1)), "OK", "ОШИБКА"), "ДЛИНА (10 или 12)")), "НЕ ЦИФРЫ"))</f>
        <v/>
      </c>
      <c r="E250">
        <f>MID(B250,1,1)*9+MID(B250,2,1)*8+MID(B250,3,1)*7+MID(B250,4,1)*6+MID(B250,5,1)*5+MID(B250,6,1)*4+MID(B250,7,1)*3+MID(B250,8,1)*2+MID(B250,9,1)</f>
        <v/>
      </c>
      <c r="F250">
        <f>IF(B250="", " ", IF(LEN(B250)&lt;&gt;11, "ДЛИНА", IF(NOT(ISNUMBER(--B250)), "НЕ ЦИФРЫ", IF(LEFT(B250,9)*1&lt;=1001998, "OK", IF(RIGHT(B250,2)*1=IF(MOD(E250,101)&gt;=100,0,MOD(E250,101)),"OK","ОШИБКА")))))</f>
        <v/>
      </c>
      <c r="G2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0">
        <f>IF(LEN(TRIM(A250))=10, --MID(A250,1,1)*2+--MID(A250,2,1)*4+--MID(A250,3,1)*10+--MID(A250,4,1)*3+--MID(A250,5,1)*5+--MID(A250,6,1)*9+--MID(A250,7,1)*4+--MID(A250,8,1)*6+--MID(A250,9,1)*8, IF(LEN(TRIM(A250))=12, --MID(A250,1,1)*7+--MID(A250,2,1)*2+--MID(A250,3,1)*4+--MID(A250,4,1)*10+--MID(A250,5,1)*3+--MID(A250,6,1)*5+--MID(A250,7,1)*9+--MID(A250,8,1)*4+--MID(A250,9,1)*6+--MID(A250,10,1)*8, ""))</f>
        <v/>
      </c>
      <c r="I250">
        <f>IF(LEN(TRIM(A250))=12, --MID(A250,1,1)*3+--MID(A250,2,1)*7+--MID(A250,3,1)*2+--MID(A250,4,1)*4+--MID(A250,5,1)*10+--MID(A250,6,1)*3+--MID(A250,7,1)*5+--MID(A250,8,1)*9+--MID(A250,9,1)*4+--MID(A250,10,1)*6+--MID(A250,11,1)*8, "")</f>
        <v/>
      </c>
    </row>
    <row r="251">
      <c r="A251">
        <f>SUBSTITUTE(SUBSTITUTE(SUBSTITUTE(SUBSTITUTE(TRIM(INDEX(Реестр!$B:$B,ROW())),CHAR(160),""),CHAR(9),""),CHAR(10),""),CHAR(13),"")</f>
        <v/>
      </c>
      <c r="B251">
        <f>SUBSTITUTE(SUBSTITUTE(SUBSTITUTE(SUBSTITUTE(SUBSTITUTE(SUBSTITUTE(SUBSTITUTE(TRIM(INDEX(Реестр!$D:$D, ROW())), "-", ""), " ", ""), CHAR(160), ""), CHAR(9), ""), CHAR(10), ""), CHAR(13), ""), CHAR(32), "")</f>
        <v/>
      </c>
      <c r="C251">
        <f>INDEX(Реестр!$H:$H, ROW())</f>
        <v/>
      </c>
      <c r="D251">
        <f>IF(OR(ISBLANK(INDEX(Реестр!$B:$B, ROW())), INDEX(Реестр!$B:$B, ROW())=""), " ", IF(IFERROR(ISNUMBER(--A251),FALSE), IF(LEN(A251)=10, IF(MOD(MOD(H251,11),10)=--RIGHT(A251,1), "OK", "ОШИБКА"), IF(LEN(A251)=12, IF(AND(MOD(MOD(H251,11),10)=--MID(A251,11,1), MOD(MOD(I251,11),10)=--RIGHT(A251,1)), "OK", "ОШИБКА"), "ДЛИНА (10 или 12)")), "НЕ ЦИФРЫ"))</f>
        <v/>
      </c>
      <c r="E251">
        <f>MID(B251,1,1)*9+MID(B251,2,1)*8+MID(B251,3,1)*7+MID(B251,4,1)*6+MID(B251,5,1)*5+MID(B251,6,1)*4+MID(B251,7,1)*3+MID(B251,8,1)*2+MID(B251,9,1)</f>
        <v/>
      </c>
      <c r="F251">
        <f>IF(B251="", " ", IF(LEN(B251)&lt;&gt;11, "ДЛИНА", IF(NOT(ISNUMBER(--B251)), "НЕ ЦИФРЫ", IF(LEFT(B251,9)*1&lt;=1001998, "OK", IF(RIGHT(B251,2)*1=IF(MOD(E251,101)&gt;=100,0,MOD(E251,101)),"OK","ОШИБКА")))))</f>
        <v/>
      </c>
      <c r="G2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1">
        <f>IF(LEN(TRIM(A251))=10, --MID(A251,1,1)*2+--MID(A251,2,1)*4+--MID(A251,3,1)*10+--MID(A251,4,1)*3+--MID(A251,5,1)*5+--MID(A251,6,1)*9+--MID(A251,7,1)*4+--MID(A251,8,1)*6+--MID(A251,9,1)*8, IF(LEN(TRIM(A251))=12, --MID(A251,1,1)*7+--MID(A251,2,1)*2+--MID(A251,3,1)*4+--MID(A251,4,1)*10+--MID(A251,5,1)*3+--MID(A251,6,1)*5+--MID(A251,7,1)*9+--MID(A251,8,1)*4+--MID(A251,9,1)*6+--MID(A251,10,1)*8, ""))</f>
        <v/>
      </c>
      <c r="I251">
        <f>IF(LEN(TRIM(A251))=12, --MID(A251,1,1)*3+--MID(A251,2,1)*7+--MID(A251,3,1)*2+--MID(A251,4,1)*4+--MID(A251,5,1)*10+--MID(A251,6,1)*3+--MID(A251,7,1)*5+--MID(A251,8,1)*9+--MID(A251,9,1)*4+--MID(A251,10,1)*6+--MID(A251,11,1)*8, "")</f>
        <v/>
      </c>
    </row>
    <row r="252">
      <c r="A252">
        <f>SUBSTITUTE(SUBSTITUTE(SUBSTITUTE(SUBSTITUTE(TRIM(INDEX(Реестр!$B:$B,ROW())),CHAR(160),""),CHAR(9),""),CHAR(10),""),CHAR(13),"")</f>
        <v/>
      </c>
      <c r="B252">
        <f>SUBSTITUTE(SUBSTITUTE(SUBSTITUTE(SUBSTITUTE(SUBSTITUTE(SUBSTITUTE(SUBSTITUTE(TRIM(INDEX(Реестр!$D:$D, ROW())), "-", ""), " ", ""), CHAR(160), ""), CHAR(9), ""), CHAR(10), ""), CHAR(13), ""), CHAR(32), "")</f>
        <v/>
      </c>
      <c r="C252">
        <f>INDEX(Реестр!$H:$H, ROW())</f>
        <v/>
      </c>
      <c r="D252">
        <f>IF(OR(ISBLANK(INDEX(Реестр!$B:$B, ROW())), INDEX(Реестр!$B:$B, ROW())=""), " ", IF(IFERROR(ISNUMBER(--A252),FALSE), IF(LEN(A252)=10, IF(MOD(MOD(H252,11),10)=--RIGHT(A252,1), "OK", "ОШИБКА"), IF(LEN(A252)=12, IF(AND(MOD(MOD(H252,11),10)=--MID(A252,11,1), MOD(MOD(I252,11),10)=--RIGHT(A252,1)), "OK", "ОШИБКА"), "ДЛИНА (10 или 12)")), "НЕ ЦИФРЫ"))</f>
        <v/>
      </c>
      <c r="E252">
        <f>MID(B252,1,1)*9+MID(B252,2,1)*8+MID(B252,3,1)*7+MID(B252,4,1)*6+MID(B252,5,1)*5+MID(B252,6,1)*4+MID(B252,7,1)*3+MID(B252,8,1)*2+MID(B252,9,1)</f>
        <v/>
      </c>
      <c r="F252">
        <f>IF(B252="", " ", IF(LEN(B252)&lt;&gt;11, "ДЛИНА", IF(NOT(ISNUMBER(--B252)), "НЕ ЦИФРЫ", IF(LEFT(B252,9)*1&lt;=1001998, "OK", IF(RIGHT(B252,2)*1=IF(MOD(E252,101)&gt;=100,0,MOD(E252,101)),"OK","ОШИБКА")))))</f>
        <v/>
      </c>
      <c r="G2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2">
        <f>IF(LEN(TRIM(A252))=10, --MID(A252,1,1)*2+--MID(A252,2,1)*4+--MID(A252,3,1)*10+--MID(A252,4,1)*3+--MID(A252,5,1)*5+--MID(A252,6,1)*9+--MID(A252,7,1)*4+--MID(A252,8,1)*6+--MID(A252,9,1)*8, IF(LEN(TRIM(A252))=12, --MID(A252,1,1)*7+--MID(A252,2,1)*2+--MID(A252,3,1)*4+--MID(A252,4,1)*10+--MID(A252,5,1)*3+--MID(A252,6,1)*5+--MID(A252,7,1)*9+--MID(A252,8,1)*4+--MID(A252,9,1)*6+--MID(A252,10,1)*8, ""))</f>
        <v/>
      </c>
      <c r="I252">
        <f>IF(LEN(TRIM(A252))=12, --MID(A252,1,1)*3+--MID(A252,2,1)*7+--MID(A252,3,1)*2+--MID(A252,4,1)*4+--MID(A252,5,1)*10+--MID(A252,6,1)*3+--MID(A252,7,1)*5+--MID(A252,8,1)*9+--MID(A252,9,1)*4+--MID(A252,10,1)*6+--MID(A252,11,1)*8, "")</f>
        <v/>
      </c>
    </row>
    <row r="253">
      <c r="A253">
        <f>SUBSTITUTE(SUBSTITUTE(SUBSTITUTE(SUBSTITUTE(TRIM(INDEX(Реестр!$B:$B,ROW())),CHAR(160),""),CHAR(9),""),CHAR(10),""),CHAR(13),"")</f>
        <v/>
      </c>
      <c r="B253">
        <f>SUBSTITUTE(SUBSTITUTE(SUBSTITUTE(SUBSTITUTE(SUBSTITUTE(SUBSTITUTE(SUBSTITUTE(TRIM(INDEX(Реестр!$D:$D, ROW())), "-", ""), " ", ""), CHAR(160), ""), CHAR(9), ""), CHAR(10), ""), CHAR(13), ""), CHAR(32), "")</f>
        <v/>
      </c>
      <c r="C253">
        <f>INDEX(Реестр!$H:$H, ROW())</f>
        <v/>
      </c>
      <c r="D253">
        <f>IF(OR(ISBLANK(INDEX(Реестр!$B:$B, ROW())), INDEX(Реестр!$B:$B, ROW())=""), " ", IF(IFERROR(ISNUMBER(--A253),FALSE), IF(LEN(A253)=10, IF(MOD(MOD(H253,11),10)=--RIGHT(A253,1), "OK", "ОШИБКА"), IF(LEN(A253)=12, IF(AND(MOD(MOD(H253,11),10)=--MID(A253,11,1), MOD(MOD(I253,11),10)=--RIGHT(A253,1)), "OK", "ОШИБКА"), "ДЛИНА (10 или 12)")), "НЕ ЦИФРЫ"))</f>
        <v/>
      </c>
      <c r="E253">
        <f>MID(B253,1,1)*9+MID(B253,2,1)*8+MID(B253,3,1)*7+MID(B253,4,1)*6+MID(B253,5,1)*5+MID(B253,6,1)*4+MID(B253,7,1)*3+MID(B253,8,1)*2+MID(B253,9,1)</f>
        <v/>
      </c>
      <c r="F253">
        <f>IF(B253="", " ", IF(LEN(B253)&lt;&gt;11, "ДЛИНА", IF(NOT(ISNUMBER(--B253)), "НЕ ЦИФРЫ", IF(LEFT(B253,9)*1&lt;=1001998, "OK", IF(RIGHT(B253,2)*1=IF(MOD(E253,101)&gt;=100,0,MOD(E253,101)),"OK","ОШИБКА")))))</f>
        <v/>
      </c>
      <c r="G2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3">
        <f>IF(LEN(TRIM(A253))=10, --MID(A253,1,1)*2+--MID(A253,2,1)*4+--MID(A253,3,1)*10+--MID(A253,4,1)*3+--MID(A253,5,1)*5+--MID(A253,6,1)*9+--MID(A253,7,1)*4+--MID(A253,8,1)*6+--MID(A253,9,1)*8, IF(LEN(TRIM(A253))=12, --MID(A253,1,1)*7+--MID(A253,2,1)*2+--MID(A253,3,1)*4+--MID(A253,4,1)*10+--MID(A253,5,1)*3+--MID(A253,6,1)*5+--MID(A253,7,1)*9+--MID(A253,8,1)*4+--MID(A253,9,1)*6+--MID(A253,10,1)*8, ""))</f>
        <v/>
      </c>
      <c r="I253">
        <f>IF(LEN(TRIM(A253))=12, --MID(A253,1,1)*3+--MID(A253,2,1)*7+--MID(A253,3,1)*2+--MID(A253,4,1)*4+--MID(A253,5,1)*10+--MID(A253,6,1)*3+--MID(A253,7,1)*5+--MID(A253,8,1)*9+--MID(A253,9,1)*4+--MID(A253,10,1)*6+--MID(A253,11,1)*8, "")</f>
        <v/>
      </c>
    </row>
    <row r="254">
      <c r="A254">
        <f>SUBSTITUTE(SUBSTITUTE(SUBSTITUTE(SUBSTITUTE(TRIM(INDEX(Реестр!$B:$B,ROW())),CHAR(160),""),CHAR(9),""),CHAR(10),""),CHAR(13),"")</f>
        <v/>
      </c>
      <c r="B254">
        <f>SUBSTITUTE(SUBSTITUTE(SUBSTITUTE(SUBSTITUTE(SUBSTITUTE(SUBSTITUTE(SUBSTITUTE(TRIM(INDEX(Реестр!$D:$D, ROW())), "-", ""), " ", ""), CHAR(160), ""), CHAR(9), ""), CHAR(10), ""), CHAR(13), ""), CHAR(32), "")</f>
        <v/>
      </c>
      <c r="C254">
        <f>INDEX(Реестр!$H:$H, ROW())</f>
        <v/>
      </c>
      <c r="D254">
        <f>IF(OR(ISBLANK(INDEX(Реестр!$B:$B, ROW())), INDEX(Реестр!$B:$B, ROW())=""), " ", IF(IFERROR(ISNUMBER(--A254),FALSE), IF(LEN(A254)=10, IF(MOD(MOD(H254,11),10)=--RIGHT(A254,1), "OK", "ОШИБКА"), IF(LEN(A254)=12, IF(AND(MOD(MOD(H254,11),10)=--MID(A254,11,1), MOD(MOD(I254,11),10)=--RIGHT(A254,1)), "OK", "ОШИБКА"), "ДЛИНА (10 или 12)")), "НЕ ЦИФРЫ"))</f>
        <v/>
      </c>
      <c r="E254">
        <f>MID(B254,1,1)*9+MID(B254,2,1)*8+MID(B254,3,1)*7+MID(B254,4,1)*6+MID(B254,5,1)*5+MID(B254,6,1)*4+MID(B254,7,1)*3+MID(B254,8,1)*2+MID(B254,9,1)</f>
        <v/>
      </c>
      <c r="F254">
        <f>IF(B254="", " ", IF(LEN(B254)&lt;&gt;11, "ДЛИНА", IF(NOT(ISNUMBER(--B254)), "НЕ ЦИФРЫ", IF(LEFT(B254,9)*1&lt;=1001998, "OK", IF(RIGHT(B254,2)*1=IF(MOD(E254,101)&gt;=100,0,MOD(E254,101)),"OK","ОШИБКА")))))</f>
        <v/>
      </c>
      <c r="G2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4">
        <f>IF(LEN(TRIM(A254))=10, --MID(A254,1,1)*2+--MID(A254,2,1)*4+--MID(A254,3,1)*10+--MID(A254,4,1)*3+--MID(A254,5,1)*5+--MID(A254,6,1)*9+--MID(A254,7,1)*4+--MID(A254,8,1)*6+--MID(A254,9,1)*8, IF(LEN(TRIM(A254))=12, --MID(A254,1,1)*7+--MID(A254,2,1)*2+--MID(A254,3,1)*4+--MID(A254,4,1)*10+--MID(A254,5,1)*3+--MID(A254,6,1)*5+--MID(A254,7,1)*9+--MID(A254,8,1)*4+--MID(A254,9,1)*6+--MID(A254,10,1)*8, ""))</f>
        <v/>
      </c>
      <c r="I254">
        <f>IF(LEN(TRIM(A254))=12, --MID(A254,1,1)*3+--MID(A254,2,1)*7+--MID(A254,3,1)*2+--MID(A254,4,1)*4+--MID(A254,5,1)*10+--MID(A254,6,1)*3+--MID(A254,7,1)*5+--MID(A254,8,1)*9+--MID(A254,9,1)*4+--MID(A254,10,1)*6+--MID(A254,11,1)*8, "")</f>
        <v/>
      </c>
    </row>
    <row r="255">
      <c r="A255">
        <f>SUBSTITUTE(SUBSTITUTE(SUBSTITUTE(SUBSTITUTE(TRIM(INDEX(Реестр!$B:$B,ROW())),CHAR(160),""),CHAR(9),""),CHAR(10),""),CHAR(13),"")</f>
        <v/>
      </c>
      <c r="B255">
        <f>SUBSTITUTE(SUBSTITUTE(SUBSTITUTE(SUBSTITUTE(SUBSTITUTE(SUBSTITUTE(SUBSTITUTE(TRIM(INDEX(Реестр!$D:$D, ROW())), "-", ""), " ", ""), CHAR(160), ""), CHAR(9), ""), CHAR(10), ""), CHAR(13), ""), CHAR(32), "")</f>
        <v/>
      </c>
      <c r="C255">
        <f>INDEX(Реестр!$H:$H, ROW())</f>
        <v/>
      </c>
      <c r="D255">
        <f>IF(OR(ISBLANK(INDEX(Реестр!$B:$B, ROW())), INDEX(Реестр!$B:$B, ROW())=""), " ", IF(IFERROR(ISNUMBER(--A255),FALSE), IF(LEN(A255)=10, IF(MOD(MOD(H255,11),10)=--RIGHT(A255,1), "OK", "ОШИБКА"), IF(LEN(A255)=12, IF(AND(MOD(MOD(H255,11),10)=--MID(A255,11,1), MOD(MOD(I255,11),10)=--RIGHT(A255,1)), "OK", "ОШИБКА"), "ДЛИНА (10 или 12)")), "НЕ ЦИФРЫ"))</f>
        <v/>
      </c>
      <c r="E255">
        <f>MID(B255,1,1)*9+MID(B255,2,1)*8+MID(B255,3,1)*7+MID(B255,4,1)*6+MID(B255,5,1)*5+MID(B255,6,1)*4+MID(B255,7,1)*3+MID(B255,8,1)*2+MID(B255,9,1)</f>
        <v/>
      </c>
      <c r="F255">
        <f>IF(B255="", " ", IF(LEN(B255)&lt;&gt;11, "ДЛИНА", IF(NOT(ISNUMBER(--B255)), "НЕ ЦИФРЫ", IF(LEFT(B255,9)*1&lt;=1001998, "OK", IF(RIGHT(B255,2)*1=IF(MOD(E255,101)&gt;=100,0,MOD(E255,101)),"OK","ОШИБКА")))))</f>
        <v/>
      </c>
      <c r="G2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5">
        <f>IF(LEN(TRIM(A255))=10, --MID(A255,1,1)*2+--MID(A255,2,1)*4+--MID(A255,3,1)*10+--MID(A255,4,1)*3+--MID(A255,5,1)*5+--MID(A255,6,1)*9+--MID(A255,7,1)*4+--MID(A255,8,1)*6+--MID(A255,9,1)*8, IF(LEN(TRIM(A255))=12, --MID(A255,1,1)*7+--MID(A255,2,1)*2+--MID(A255,3,1)*4+--MID(A255,4,1)*10+--MID(A255,5,1)*3+--MID(A255,6,1)*5+--MID(A255,7,1)*9+--MID(A255,8,1)*4+--MID(A255,9,1)*6+--MID(A255,10,1)*8, ""))</f>
        <v/>
      </c>
      <c r="I255">
        <f>IF(LEN(TRIM(A255))=12, --MID(A255,1,1)*3+--MID(A255,2,1)*7+--MID(A255,3,1)*2+--MID(A255,4,1)*4+--MID(A255,5,1)*10+--MID(A255,6,1)*3+--MID(A255,7,1)*5+--MID(A255,8,1)*9+--MID(A255,9,1)*4+--MID(A255,10,1)*6+--MID(A255,11,1)*8, "")</f>
        <v/>
      </c>
    </row>
    <row r="256">
      <c r="A256">
        <f>SUBSTITUTE(SUBSTITUTE(SUBSTITUTE(SUBSTITUTE(TRIM(INDEX(Реестр!$B:$B,ROW())),CHAR(160),""),CHAR(9),""),CHAR(10),""),CHAR(13),"")</f>
        <v/>
      </c>
      <c r="B256">
        <f>SUBSTITUTE(SUBSTITUTE(SUBSTITUTE(SUBSTITUTE(SUBSTITUTE(SUBSTITUTE(SUBSTITUTE(TRIM(INDEX(Реестр!$D:$D, ROW())), "-", ""), " ", ""), CHAR(160), ""), CHAR(9), ""), CHAR(10), ""), CHAR(13), ""), CHAR(32), "")</f>
        <v/>
      </c>
      <c r="C256">
        <f>INDEX(Реестр!$H:$H, ROW())</f>
        <v/>
      </c>
      <c r="D256">
        <f>IF(OR(ISBLANK(INDEX(Реестр!$B:$B, ROW())), INDEX(Реестр!$B:$B, ROW())=""), " ", IF(IFERROR(ISNUMBER(--A256),FALSE), IF(LEN(A256)=10, IF(MOD(MOD(H256,11),10)=--RIGHT(A256,1), "OK", "ОШИБКА"), IF(LEN(A256)=12, IF(AND(MOD(MOD(H256,11),10)=--MID(A256,11,1), MOD(MOD(I256,11),10)=--RIGHT(A256,1)), "OK", "ОШИБКА"), "ДЛИНА (10 или 12)")), "НЕ ЦИФРЫ"))</f>
        <v/>
      </c>
      <c r="E256">
        <f>MID(B256,1,1)*9+MID(B256,2,1)*8+MID(B256,3,1)*7+MID(B256,4,1)*6+MID(B256,5,1)*5+MID(B256,6,1)*4+MID(B256,7,1)*3+MID(B256,8,1)*2+MID(B256,9,1)</f>
        <v/>
      </c>
      <c r="F256">
        <f>IF(B256="", " ", IF(LEN(B256)&lt;&gt;11, "ДЛИНА", IF(NOT(ISNUMBER(--B256)), "НЕ ЦИФРЫ", IF(LEFT(B256,9)*1&lt;=1001998, "OK", IF(RIGHT(B256,2)*1=IF(MOD(E256,101)&gt;=100,0,MOD(E256,101)),"OK","ОШИБКА")))))</f>
        <v/>
      </c>
      <c r="G2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6">
        <f>IF(LEN(TRIM(A256))=10, --MID(A256,1,1)*2+--MID(A256,2,1)*4+--MID(A256,3,1)*10+--MID(A256,4,1)*3+--MID(A256,5,1)*5+--MID(A256,6,1)*9+--MID(A256,7,1)*4+--MID(A256,8,1)*6+--MID(A256,9,1)*8, IF(LEN(TRIM(A256))=12, --MID(A256,1,1)*7+--MID(A256,2,1)*2+--MID(A256,3,1)*4+--MID(A256,4,1)*10+--MID(A256,5,1)*3+--MID(A256,6,1)*5+--MID(A256,7,1)*9+--MID(A256,8,1)*4+--MID(A256,9,1)*6+--MID(A256,10,1)*8, ""))</f>
        <v/>
      </c>
      <c r="I256">
        <f>IF(LEN(TRIM(A256))=12, --MID(A256,1,1)*3+--MID(A256,2,1)*7+--MID(A256,3,1)*2+--MID(A256,4,1)*4+--MID(A256,5,1)*10+--MID(A256,6,1)*3+--MID(A256,7,1)*5+--MID(A256,8,1)*9+--MID(A256,9,1)*4+--MID(A256,10,1)*6+--MID(A256,11,1)*8, "")</f>
        <v/>
      </c>
    </row>
    <row r="257">
      <c r="A257">
        <f>SUBSTITUTE(SUBSTITUTE(SUBSTITUTE(SUBSTITUTE(TRIM(INDEX(Реестр!$B:$B,ROW())),CHAR(160),""),CHAR(9),""),CHAR(10),""),CHAR(13),"")</f>
        <v/>
      </c>
      <c r="B257">
        <f>SUBSTITUTE(SUBSTITUTE(SUBSTITUTE(SUBSTITUTE(SUBSTITUTE(SUBSTITUTE(SUBSTITUTE(TRIM(INDEX(Реестр!$D:$D, ROW())), "-", ""), " ", ""), CHAR(160), ""), CHAR(9), ""), CHAR(10), ""), CHAR(13), ""), CHAR(32), "")</f>
        <v/>
      </c>
      <c r="C257">
        <f>INDEX(Реестр!$H:$H, ROW())</f>
        <v/>
      </c>
      <c r="D257">
        <f>IF(OR(ISBLANK(INDEX(Реестр!$B:$B, ROW())), INDEX(Реестр!$B:$B, ROW())=""), " ", IF(IFERROR(ISNUMBER(--A257),FALSE), IF(LEN(A257)=10, IF(MOD(MOD(H257,11),10)=--RIGHT(A257,1), "OK", "ОШИБКА"), IF(LEN(A257)=12, IF(AND(MOD(MOD(H257,11),10)=--MID(A257,11,1), MOD(MOD(I257,11),10)=--RIGHT(A257,1)), "OK", "ОШИБКА"), "ДЛИНА (10 или 12)")), "НЕ ЦИФРЫ"))</f>
        <v/>
      </c>
      <c r="E257">
        <f>MID(B257,1,1)*9+MID(B257,2,1)*8+MID(B257,3,1)*7+MID(B257,4,1)*6+MID(B257,5,1)*5+MID(B257,6,1)*4+MID(B257,7,1)*3+MID(B257,8,1)*2+MID(B257,9,1)</f>
        <v/>
      </c>
      <c r="F257">
        <f>IF(B257="", " ", IF(LEN(B257)&lt;&gt;11, "ДЛИНА", IF(NOT(ISNUMBER(--B257)), "НЕ ЦИФРЫ", IF(LEFT(B257,9)*1&lt;=1001998, "OK", IF(RIGHT(B257,2)*1=IF(MOD(E257,101)&gt;=100,0,MOD(E257,101)),"OK","ОШИБКА")))))</f>
        <v/>
      </c>
      <c r="G2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7">
        <f>IF(LEN(TRIM(A257))=10, --MID(A257,1,1)*2+--MID(A257,2,1)*4+--MID(A257,3,1)*10+--MID(A257,4,1)*3+--MID(A257,5,1)*5+--MID(A257,6,1)*9+--MID(A257,7,1)*4+--MID(A257,8,1)*6+--MID(A257,9,1)*8, IF(LEN(TRIM(A257))=12, --MID(A257,1,1)*7+--MID(A257,2,1)*2+--MID(A257,3,1)*4+--MID(A257,4,1)*10+--MID(A257,5,1)*3+--MID(A257,6,1)*5+--MID(A257,7,1)*9+--MID(A257,8,1)*4+--MID(A257,9,1)*6+--MID(A257,10,1)*8, ""))</f>
        <v/>
      </c>
      <c r="I257">
        <f>IF(LEN(TRIM(A257))=12, --MID(A257,1,1)*3+--MID(A257,2,1)*7+--MID(A257,3,1)*2+--MID(A257,4,1)*4+--MID(A257,5,1)*10+--MID(A257,6,1)*3+--MID(A257,7,1)*5+--MID(A257,8,1)*9+--MID(A257,9,1)*4+--MID(A257,10,1)*6+--MID(A257,11,1)*8, "")</f>
        <v/>
      </c>
    </row>
    <row r="258">
      <c r="A258">
        <f>SUBSTITUTE(SUBSTITUTE(SUBSTITUTE(SUBSTITUTE(TRIM(INDEX(Реестр!$B:$B,ROW())),CHAR(160),""),CHAR(9),""),CHAR(10),""),CHAR(13),"")</f>
        <v/>
      </c>
      <c r="B258">
        <f>SUBSTITUTE(SUBSTITUTE(SUBSTITUTE(SUBSTITUTE(SUBSTITUTE(SUBSTITUTE(SUBSTITUTE(TRIM(INDEX(Реестр!$D:$D, ROW())), "-", ""), " ", ""), CHAR(160), ""), CHAR(9), ""), CHAR(10), ""), CHAR(13), ""), CHAR(32), "")</f>
        <v/>
      </c>
      <c r="C258">
        <f>INDEX(Реестр!$H:$H, ROW())</f>
        <v/>
      </c>
      <c r="D258">
        <f>IF(OR(ISBLANK(INDEX(Реестр!$B:$B, ROW())), INDEX(Реестр!$B:$B, ROW())=""), " ", IF(IFERROR(ISNUMBER(--A258),FALSE), IF(LEN(A258)=10, IF(MOD(MOD(H258,11),10)=--RIGHT(A258,1), "OK", "ОШИБКА"), IF(LEN(A258)=12, IF(AND(MOD(MOD(H258,11),10)=--MID(A258,11,1), MOD(MOD(I258,11),10)=--RIGHT(A258,1)), "OK", "ОШИБКА"), "ДЛИНА (10 или 12)")), "НЕ ЦИФРЫ"))</f>
        <v/>
      </c>
      <c r="E258">
        <f>MID(B258,1,1)*9+MID(B258,2,1)*8+MID(B258,3,1)*7+MID(B258,4,1)*6+MID(B258,5,1)*5+MID(B258,6,1)*4+MID(B258,7,1)*3+MID(B258,8,1)*2+MID(B258,9,1)</f>
        <v/>
      </c>
      <c r="F258">
        <f>IF(B258="", " ", IF(LEN(B258)&lt;&gt;11, "ДЛИНА", IF(NOT(ISNUMBER(--B258)), "НЕ ЦИФРЫ", IF(LEFT(B258,9)*1&lt;=1001998, "OK", IF(RIGHT(B258,2)*1=IF(MOD(E258,101)&gt;=100,0,MOD(E258,101)),"OK","ОШИБКА")))))</f>
        <v/>
      </c>
      <c r="G2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8">
        <f>IF(LEN(TRIM(A258))=10, --MID(A258,1,1)*2+--MID(A258,2,1)*4+--MID(A258,3,1)*10+--MID(A258,4,1)*3+--MID(A258,5,1)*5+--MID(A258,6,1)*9+--MID(A258,7,1)*4+--MID(A258,8,1)*6+--MID(A258,9,1)*8, IF(LEN(TRIM(A258))=12, --MID(A258,1,1)*7+--MID(A258,2,1)*2+--MID(A258,3,1)*4+--MID(A258,4,1)*10+--MID(A258,5,1)*3+--MID(A258,6,1)*5+--MID(A258,7,1)*9+--MID(A258,8,1)*4+--MID(A258,9,1)*6+--MID(A258,10,1)*8, ""))</f>
        <v/>
      </c>
      <c r="I258">
        <f>IF(LEN(TRIM(A258))=12, --MID(A258,1,1)*3+--MID(A258,2,1)*7+--MID(A258,3,1)*2+--MID(A258,4,1)*4+--MID(A258,5,1)*10+--MID(A258,6,1)*3+--MID(A258,7,1)*5+--MID(A258,8,1)*9+--MID(A258,9,1)*4+--MID(A258,10,1)*6+--MID(A258,11,1)*8, "")</f>
        <v/>
      </c>
    </row>
    <row r="259">
      <c r="A259">
        <f>SUBSTITUTE(SUBSTITUTE(SUBSTITUTE(SUBSTITUTE(TRIM(INDEX(Реестр!$B:$B,ROW())),CHAR(160),""),CHAR(9),""),CHAR(10),""),CHAR(13),"")</f>
        <v/>
      </c>
      <c r="B259">
        <f>SUBSTITUTE(SUBSTITUTE(SUBSTITUTE(SUBSTITUTE(SUBSTITUTE(SUBSTITUTE(SUBSTITUTE(TRIM(INDEX(Реестр!$D:$D, ROW())), "-", ""), " ", ""), CHAR(160), ""), CHAR(9), ""), CHAR(10), ""), CHAR(13), ""), CHAR(32), "")</f>
        <v/>
      </c>
      <c r="C259">
        <f>INDEX(Реестр!$H:$H, ROW())</f>
        <v/>
      </c>
      <c r="D259">
        <f>IF(OR(ISBLANK(INDEX(Реестр!$B:$B, ROW())), INDEX(Реестр!$B:$B, ROW())=""), " ", IF(IFERROR(ISNUMBER(--A259),FALSE), IF(LEN(A259)=10, IF(MOD(MOD(H259,11),10)=--RIGHT(A259,1), "OK", "ОШИБКА"), IF(LEN(A259)=12, IF(AND(MOD(MOD(H259,11),10)=--MID(A259,11,1), MOD(MOD(I259,11),10)=--RIGHT(A259,1)), "OK", "ОШИБКА"), "ДЛИНА (10 или 12)")), "НЕ ЦИФРЫ"))</f>
        <v/>
      </c>
      <c r="E259">
        <f>MID(B259,1,1)*9+MID(B259,2,1)*8+MID(B259,3,1)*7+MID(B259,4,1)*6+MID(B259,5,1)*5+MID(B259,6,1)*4+MID(B259,7,1)*3+MID(B259,8,1)*2+MID(B259,9,1)</f>
        <v/>
      </c>
      <c r="F259">
        <f>IF(B259="", " ", IF(LEN(B259)&lt;&gt;11, "ДЛИНА", IF(NOT(ISNUMBER(--B259)), "НЕ ЦИФРЫ", IF(LEFT(B259,9)*1&lt;=1001998, "OK", IF(RIGHT(B259,2)*1=IF(MOD(E259,101)&gt;=100,0,MOD(E259,101)),"OK","ОШИБКА")))))</f>
        <v/>
      </c>
      <c r="G2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59">
        <f>IF(LEN(TRIM(A259))=10, --MID(A259,1,1)*2+--MID(A259,2,1)*4+--MID(A259,3,1)*10+--MID(A259,4,1)*3+--MID(A259,5,1)*5+--MID(A259,6,1)*9+--MID(A259,7,1)*4+--MID(A259,8,1)*6+--MID(A259,9,1)*8, IF(LEN(TRIM(A259))=12, --MID(A259,1,1)*7+--MID(A259,2,1)*2+--MID(A259,3,1)*4+--MID(A259,4,1)*10+--MID(A259,5,1)*3+--MID(A259,6,1)*5+--MID(A259,7,1)*9+--MID(A259,8,1)*4+--MID(A259,9,1)*6+--MID(A259,10,1)*8, ""))</f>
        <v/>
      </c>
      <c r="I259">
        <f>IF(LEN(TRIM(A259))=12, --MID(A259,1,1)*3+--MID(A259,2,1)*7+--MID(A259,3,1)*2+--MID(A259,4,1)*4+--MID(A259,5,1)*10+--MID(A259,6,1)*3+--MID(A259,7,1)*5+--MID(A259,8,1)*9+--MID(A259,9,1)*4+--MID(A259,10,1)*6+--MID(A259,11,1)*8, "")</f>
        <v/>
      </c>
    </row>
    <row r="260">
      <c r="A260">
        <f>SUBSTITUTE(SUBSTITUTE(SUBSTITUTE(SUBSTITUTE(TRIM(INDEX(Реестр!$B:$B,ROW())),CHAR(160),""),CHAR(9),""),CHAR(10),""),CHAR(13),"")</f>
        <v/>
      </c>
      <c r="B260">
        <f>SUBSTITUTE(SUBSTITUTE(SUBSTITUTE(SUBSTITUTE(SUBSTITUTE(SUBSTITUTE(SUBSTITUTE(TRIM(INDEX(Реестр!$D:$D, ROW())), "-", ""), " ", ""), CHAR(160), ""), CHAR(9), ""), CHAR(10), ""), CHAR(13), ""), CHAR(32), "")</f>
        <v/>
      </c>
      <c r="C260">
        <f>INDEX(Реестр!$H:$H, ROW())</f>
        <v/>
      </c>
      <c r="D260">
        <f>IF(OR(ISBLANK(INDEX(Реестр!$B:$B, ROW())), INDEX(Реестр!$B:$B, ROW())=""), " ", IF(IFERROR(ISNUMBER(--A260),FALSE), IF(LEN(A260)=10, IF(MOD(MOD(H260,11),10)=--RIGHT(A260,1), "OK", "ОШИБКА"), IF(LEN(A260)=12, IF(AND(MOD(MOD(H260,11),10)=--MID(A260,11,1), MOD(MOD(I260,11),10)=--RIGHT(A260,1)), "OK", "ОШИБКА"), "ДЛИНА (10 или 12)")), "НЕ ЦИФРЫ"))</f>
        <v/>
      </c>
      <c r="E260">
        <f>MID(B260,1,1)*9+MID(B260,2,1)*8+MID(B260,3,1)*7+MID(B260,4,1)*6+MID(B260,5,1)*5+MID(B260,6,1)*4+MID(B260,7,1)*3+MID(B260,8,1)*2+MID(B260,9,1)</f>
        <v/>
      </c>
      <c r="F260">
        <f>IF(B260="", " ", IF(LEN(B260)&lt;&gt;11, "ДЛИНА", IF(NOT(ISNUMBER(--B260)), "НЕ ЦИФРЫ", IF(LEFT(B260,9)*1&lt;=1001998, "OK", IF(RIGHT(B260,2)*1=IF(MOD(E260,101)&gt;=100,0,MOD(E260,101)),"OK","ОШИБКА")))))</f>
        <v/>
      </c>
      <c r="G2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0">
        <f>IF(LEN(TRIM(A260))=10, --MID(A260,1,1)*2+--MID(A260,2,1)*4+--MID(A260,3,1)*10+--MID(A260,4,1)*3+--MID(A260,5,1)*5+--MID(A260,6,1)*9+--MID(A260,7,1)*4+--MID(A260,8,1)*6+--MID(A260,9,1)*8, IF(LEN(TRIM(A260))=12, --MID(A260,1,1)*7+--MID(A260,2,1)*2+--MID(A260,3,1)*4+--MID(A260,4,1)*10+--MID(A260,5,1)*3+--MID(A260,6,1)*5+--MID(A260,7,1)*9+--MID(A260,8,1)*4+--MID(A260,9,1)*6+--MID(A260,10,1)*8, ""))</f>
        <v/>
      </c>
      <c r="I260">
        <f>IF(LEN(TRIM(A260))=12, --MID(A260,1,1)*3+--MID(A260,2,1)*7+--MID(A260,3,1)*2+--MID(A260,4,1)*4+--MID(A260,5,1)*10+--MID(A260,6,1)*3+--MID(A260,7,1)*5+--MID(A260,8,1)*9+--MID(A260,9,1)*4+--MID(A260,10,1)*6+--MID(A260,11,1)*8, "")</f>
        <v/>
      </c>
    </row>
    <row r="261">
      <c r="A261">
        <f>SUBSTITUTE(SUBSTITUTE(SUBSTITUTE(SUBSTITUTE(TRIM(INDEX(Реестр!$B:$B,ROW())),CHAR(160),""),CHAR(9),""),CHAR(10),""),CHAR(13),"")</f>
        <v/>
      </c>
      <c r="B261">
        <f>SUBSTITUTE(SUBSTITUTE(SUBSTITUTE(SUBSTITUTE(SUBSTITUTE(SUBSTITUTE(SUBSTITUTE(TRIM(INDEX(Реестр!$D:$D, ROW())), "-", ""), " ", ""), CHAR(160), ""), CHAR(9), ""), CHAR(10), ""), CHAR(13), ""), CHAR(32), "")</f>
        <v/>
      </c>
      <c r="C261">
        <f>INDEX(Реестр!$H:$H, ROW())</f>
        <v/>
      </c>
      <c r="D261">
        <f>IF(OR(ISBLANK(INDEX(Реестр!$B:$B, ROW())), INDEX(Реестр!$B:$B, ROW())=""), " ", IF(IFERROR(ISNUMBER(--A261),FALSE), IF(LEN(A261)=10, IF(MOD(MOD(H261,11),10)=--RIGHT(A261,1), "OK", "ОШИБКА"), IF(LEN(A261)=12, IF(AND(MOD(MOD(H261,11),10)=--MID(A261,11,1), MOD(MOD(I261,11),10)=--RIGHT(A261,1)), "OK", "ОШИБКА"), "ДЛИНА (10 или 12)")), "НЕ ЦИФРЫ"))</f>
        <v/>
      </c>
      <c r="E261">
        <f>MID(B261,1,1)*9+MID(B261,2,1)*8+MID(B261,3,1)*7+MID(B261,4,1)*6+MID(B261,5,1)*5+MID(B261,6,1)*4+MID(B261,7,1)*3+MID(B261,8,1)*2+MID(B261,9,1)</f>
        <v/>
      </c>
      <c r="F261">
        <f>IF(B261="", " ", IF(LEN(B261)&lt;&gt;11, "ДЛИНА", IF(NOT(ISNUMBER(--B261)), "НЕ ЦИФРЫ", IF(LEFT(B261,9)*1&lt;=1001998, "OK", IF(RIGHT(B261,2)*1=IF(MOD(E261,101)&gt;=100,0,MOD(E261,101)),"OK","ОШИБКА")))))</f>
        <v/>
      </c>
      <c r="G2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1">
        <f>IF(LEN(TRIM(A261))=10, --MID(A261,1,1)*2+--MID(A261,2,1)*4+--MID(A261,3,1)*10+--MID(A261,4,1)*3+--MID(A261,5,1)*5+--MID(A261,6,1)*9+--MID(A261,7,1)*4+--MID(A261,8,1)*6+--MID(A261,9,1)*8, IF(LEN(TRIM(A261))=12, --MID(A261,1,1)*7+--MID(A261,2,1)*2+--MID(A261,3,1)*4+--MID(A261,4,1)*10+--MID(A261,5,1)*3+--MID(A261,6,1)*5+--MID(A261,7,1)*9+--MID(A261,8,1)*4+--MID(A261,9,1)*6+--MID(A261,10,1)*8, ""))</f>
        <v/>
      </c>
      <c r="I261">
        <f>IF(LEN(TRIM(A261))=12, --MID(A261,1,1)*3+--MID(A261,2,1)*7+--MID(A261,3,1)*2+--MID(A261,4,1)*4+--MID(A261,5,1)*10+--MID(A261,6,1)*3+--MID(A261,7,1)*5+--MID(A261,8,1)*9+--MID(A261,9,1)*4+--MID(A261,10,1)*6+--MID(A261,11,1)*8, "")</f>
        <v/>
      </c>
    </row>
    <row r="262">
      <c r="A262">
        <f>SUBSTITUTE(SUBSTITUTE(SUBSTITUTE(SUBSTITUTE(TRIM(INDEX(Реестр!$B:$B,ROW())),CHAR(160),""),CHAR(9),""),CHAR(10),""),CHAR(13),"")</f>
        <v/>
      </c>
      <c r="B262">
        <f>SUBSTITUTE(SUBSTITUTE(SUBSTITUTE(SUBSTITUTE(SUBSTITUTE(SUBSTITUTE(SUBSTITUTE(TRIM(INDEX(Реестр!$D:$D, ROW())), "-", ""), " ", ""), CHAR(160), ""), CHAR(9), ""), CHAR(10), ""), CHAR(13), ""), CHAR(32), "")</f>
        <v/>
      </c>
      <c r="C262">
        <f>INDEX(Реестр!$H:$H, ROW())</f>
        <v/>
      </c>
      <c r="D262">
        <f>IF(OR(ISBLANK(INDEX(Реестр!$B:$B, ROW())), INDEX(Реестр!$B:$B, ROW())=""), " ", IF(IFERROR(ISNUMBER(--A262),FALSE), IF(LEN(A262)=10, IF(MOD(MOD(H262,11),10)=--RIGHT(A262,1), "OK", "ОШИБКА"), IF(LEN(A262)=12, IF(AND(MOD(MOD(H262,11),10)=--MID(A262,11,1), MOD(MOD(I262,11),10)=--RIGHT(A262,1)), "OK", "ОШИБКА"), "ДЛИНА (10 или 12)")), "НЕ ЦИФРЫ"))</f>
        <v/>
      </c>
      <c r="E262">
        <f>MID(B262,1,1)*9+MID(B262,2,1)*8+MID(B262,3,1)*7+MID(B262,4,1)*6+MID(B262,5,1)*5+MID(B262,6,1)*4+MID(B262,7,1)*3+MID(B262,8,1)*2+MID(B262,9,1)</f>
        <v/>
      </c>
      <c r="F262">
        <f>IF(B262="", " ", IF(LEN(B262)&lt;&gt;11, "ДЛИНА", IF(NOT(ISNUMBER(--B262)), "НЕ ЦИФРЫ", IF(LEFT(B262,9)*1&lt;=1001998, "OK", IF(RIGHT(B262,2)*1=IF(MOD(E262,101)&gt;=100,0,MOD(E262,101)),"OK","ОШИБКА")))))</f>
        <v/>
      </c>
      <c r="G2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2">
        <f>IF(LEN(TRIM(A262))=10, --MID(A262,1,1)*2+--MID(A262,2,1)*4+--MID(A262,3,1)*10+--MID(A262,4,1)*3+--MID(A262,5,1)*5+--MID(A262,6,1)*9+--MID(A262,7,1)*4+--MID(A262,8,1)*6+--MID(A262,9,1)*8, IF(LEN(TRIM(A262))=12, --MID(A262,1,1)*7+--MID(A262,2,1)*2+--MID(A262,3,1)*4+--MID(A262,4,1)*10+--MID(A262,5,1)*3+--MID(A262,6,1)*5+--MID(A262,7,1)*9+--MID(A262,8,1)*4+--MID(A262,9,1)*6+--MID(A262,10,1)*8, ""))</f>
        <v/>
      </c>
      <c r="I262">
        <f>IF(LEN(TRIM(A262))=12, --MID(A262,1,1)*3+--MID(A262,2,1)*7+--MID(A262,3,1)*2+--MID(A262,4,1)*4+--MID(A262,5,1)*10+--MID(A262,6,1)*3+--MID(A262,7,1)*5+--MID(A262,8,1)*9+--MID(A262,9,1)*4+--MID(A262,10,1)*6+--MID(A262,11,1)*8, "")</f>
        <v/>
      </c>
    </row>
    <row r="263">
      <c r="A263">
        <f>SUBSTITUTE(SUBSTITUTE(SUBSTITUTE(SUBSTITUTE(TRIM(INDEX(Реестр!$B:$B,ROW())),CHAR(160),""),CHAR(9),""),CHAR(10),""),CHAR(13),"")</f>
        <v/>
      </c>
      <c r="B263">
        <f>SUBSTITUTE(SUBSTITUTE(SUBSTITUTE(SUBSTITUTE(SUBSTITUTE(SUBSTITUTE(SUBSTITUTE(TRIM(INDEX(Реестр!$D:$D, ROW())), "-", ""), " ", ""), CHAR(160), ""), CHAR(9), ""), CHAR(10), ""), CHAR(13), ""), CHAR(32), "")</f>
        <v/>
      </c>
      <c r="C263">
        <f>INDEX(Реестр!$H:$H, ROW())</f>
        <v/>
      </c>
      <c r="D263">
        <f>IF(OR(ISBLANK(INDEX(Реестр!$B:$B, ROW())), INDEX(Реестр!$B:$B, ROW())=""), " ", IF(IFERROR(ISNUMBER(--A263),FALSE), IF(LEN(A263)=10, IF(MOD(MOD(H263,11),10)=--RIGHT(A263,1), "OK", "ОШИБКА"), IF(LEN(A263)=12, IF(AND(MOD(MOD(H263,11),10)=--MID(A263,11,1), MOD(MOD(I263,11),10)=--RIGHT(A263,1)), "OK", "ОШИБКА"), "ДЛИНА (10 или 12)")), "НЕ ЦИФРЫ"))</f>
        <v/>
      </c>
      <c r="E263">
        <f>MID(B263,1,1)*9+MID(B263,2,1)*8+MID(B263,3,1)*7+MID(B263,4,1)*6+MID(B263,5,1)*5+MID(B263,6,1)*4+MID(B263,7,1)*3+MID(B263,8,1)*2+MID(B263,9,1)</f>
        <v/>
      </c>
      <c r="F263">
        <f>IF(B263="", " ", IF(LEN(B263)&lt;&gt;11, "ДЛИНА", IF(NOT(ISNUMBER(--B263)), "НЕ ЦИФРЫ", IF(LEFT(B263,9)*1&lt;=1001998, "OK", IF(RIGHT(B263,2)*1=IF(MOD(E263,101)&gt;=100,0,MOD(E263,101)),"OK","ОШИБКА")))))</f>
        <v/>
      </c>
      <c r="G2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3">
        <f>IF(LEN(TRIM(A263))=10, --MID(A263,1,1)*2+--MID(A263,2,1)*4+--MID(A263,3,1)*10+--MID(A263,4,1)*3+--MID(A263,5,1)*5+--MID(A263,6,1)*9+--MID(A263,7,1)*4+--MID(A263,8,1)*6+--MID(A263,9,1)*8, IF(LEN(TRIM(A263))=12, --MID(A263,1,1)*7+--MID(A263,2,1)*2+--MID(A263,3,1)*4+--MID(A263,4,1)*10+--MID(A263,5,1)*3+--MID(A263,6,1)*5+--MID(A263,7,1)*9+--MID(A263,8,1)*4+--MID(A263,9,1)*6+--MID(A263,10,1)*8, ""))</f>
        <v/>
      </c>
      <c r="I263">
        <f>IF(LEN(TRIM(A263))=12, --MID(A263,1,1)*3+--MID(A263,2,1)*7+--MID(A263,3,1)*2+--MID(A263,4,1)*4+--MID(A263,5,1)*10+--MID(A263,6,1)*3+--MID(A263,7,1)*5+--MID(A263,8,1)*9+--MID(A263,9,1)*4+--MID(A263,10,1)*6+--MID(A263,11,1)*8, "")</f>
        <v/>
      </c>
    </row>
    <row r="264">
      <c r="A264">
        <f>SUBSTITUTE(SUBSTITUTE(SUBSTITUTE(SUBSTITUTE(TRIM(INDEX(Реестр!$B:$B,ROW())),CHAR(160),""),CHAR(9),""),CHAR(10),""),CHAR(13),"")</f>
        <v/>
      </c>
      <c r="B264">
        <f>SUBSTITUTE(SUBSTITUTE(SUBSTITUTE(SUBSTITUTE(SUBSTITUTE(SUBSTITUTE(SUBSTITUTE(TRIM(INDEX(Реестр!$D:$D, ROW())), "-", ""), " ", ""), CHAR(160), ""), CHAR(9), ""), CHAR(10), ""), CHAR(13), ""), CHAR(32), "")</f>
        <v/>
      </c>
      <c r="C264">
        <f>INDEX(Реестр!$H:$H, ROW())</f>
        <v/>
      </c>
      <c r="D264">
        <f>IF(OR(ISBLANK(INDEX(Реестр!$B:$B, ROW())), INDEX(Реестр!$B:$B, ROW())=""), " ", IF(IFERROR(ISNUMBER(--A264),FALSE), IF(LEN(A264)=10, IF(MOD(MOD(H264,11),10)=--RIGHT(A264,1), "OK", "ОШИБКА"), IF(LEN(A264)=12, IF(AND(MOD(MOD(H264,11),10)=--MID(A264,11,1), MOD(MOD(I264,11),10)=--RIGHT(A264,1)), "OK", "ОШИБКА"), "ДЛИНА (10 или 12)")), "НЕ ЦИФРЫ"))</f>
        <v/>
      </c>
      <c r="E264">
        <f>MID(B264,1,1)*9+MID(B264,2,1)*8+MID(B264,3,1)*7+MID(B264,4,1)*6+MID(B264,5,1)*5+MID(B264,6,1)*4+MID(B264,7,1)*3+MID(B264,8,1)*2+MID(B264,9,1)</f>
        <v/>
      </c>
      <c r="F264">
        <f>IF(B264="", " ", IF(LEN(B264)&lt;&gt;11, "ДЛИНА", IF(NOT(ISNUMBER(--B264)), "НЕ ЦИФРЫ", IF(LEFT(B264,9)*1&lt;=1001998, "OK", IF(RIGHT(B264,2)*1=IF(MOD(E264,101)&gt;=100,0,MOD(E264,101)),"OK","ОШИБКА")))))</f>
        <v/>
      </c>
      <c r="G2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4">
        <f>IF(LEN(TRIM(A264))=10, --MID(A264,1,1)*2+--MID(A264,2,1)*4+--MID(A264,3,1)*10+--MID(A264,4,1)*3+--MID(A264,5,1)*5+--MID(A264,6,1)*9+--MID(A264,7,1)*4+--MID(A264,8,1)*6+--MID(A264,9,1)*8, IF(LEN(TRIM(A264))=12, --MID(A264,1,1)*7+--MID(A264,2,1)*2+--MID(A264,3,1)*4+--MID(A264,4,1)*10+--MID(A264,5,1)*3+--MID(A264,6,1)*5+--MID(A264,7,1)*9+--MID(A264,8,1)*4+--MID(A264,9,1)*6+--MID(A264,10,1)*8, ""))</f>
        <v/>
      </c>
      <c r="I264">
        <f>IF(LEN(TRIM(A264))=12, --MID(A264,1,1)*3+--MID(A264,2,1)*7+--MID(A264,3,1)*2+--MID(A264,4,1)*4+--MID(A264,5,1)*10+--MID(A264,6,1)*3+--MID(A264,7,1)*5+--MID(A264,8,1)*9+--MID(A264,9,1)*4+--MID(A264,10,1)*6+--MID(A264,11,1)*8, "")</f>
        <v/>
      </c>
    </row>
    <row r="265">
      <c r="A265">
        <f>SUBSTITUTE(SUBSTITUTE(SUBSTITUTE(SUBSTITUTE(TRIM(INDEX(Реестр!$B:$B,ROW())),CHAR(160),""),CHAR(9),""),CHAR(10),""),CHAR(13),"")</f>
        <v/>
      </c>
      <c r="B265">
        <f>SUBSTITUTE(SUBSTITUTE(SUBSTITUTE(SUBSTITUTE(SUBSTITUTE(SUBSTITUTE(SUBSTITUTE(TRIM(INDEX(Реестр!$D:$D, ROW())), "-", ""), " ", ""), CHAR(160), ""), CHAR(9), ""), CHAR(10), ""), CHAR(13), ""), CHAR(32), "")</f>
        <v/>
      </c>
      <c r="C265">
        <f>INDEX(Реестр!$H:$H, ROW())</f>
        <v/>
      </c>
      <c r="D265">
        <f>IF(OR(ISBLANK(INDEX(Реестр!$B:$B, ROW())), INDEX(Реестр!$B:$B, ROW())=""), " ", IF(IFERROR(ISNUMBER(--A265),FALSE), IF(LEN(A265)=10, IF(MOD(MOD(H265,11),10)=--RIGHT(A265,1), "OK", "ОШИБКА"), IF(LEN(A265)=12, IF(AND(MOD(MOD(H265,11),10)=--MID(A265,11,1), MOD(MOD(I265,11),10)=--RIGHT(A265,1)), "OK", "ОШИБКА"), "ДЛИНА (10 или 12)")), "НЕ ЦИФРЫ"))</f>
        <v/>
      </c>
      <c r="E265">
        <f>MID(B265,1,1)*9+MID(B265,2,1)*8+MID(B265,3,1)*7+MID(B265,4,1)*6+MID(B265,5,1)*5+MID(B265,6,1)*4+MID(B265,7,1)*3+MID(B265,8,1)*2+MID(B265,9,1)</f>
        <v/>
      </c>
      <c r="F265">
        <f>IF(B265="", " ", IF(LEN(B265)&lt;&gt;11, "ДЛИНА", IF(NOT(ISNUMBER(--B265)), "НЕ ЦИФРЫ", IF(LEFT(B265,9)*1&lt;=1001998, "OK", IF(RIGHT(B265,2)*1=IF(MOD(E265,101)&gt;=100,0,MOD(E265,101)),"OK","ОШИБКА")))))</f>
        <v/>
      </c>
      <c r="G2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5">
        <f>IF(LEN(TRIM(A265))=10, --MID(A265,1,1)*2+--MID(A265,2,1)*4+--MID(A265,3,1)*10+--MID(A265,4,1)*3+--MID(A265,5,1)*5+--MID(A265,6,1)*9+--MID(A265,7,1)*4+--MID(A265,8,1)*6+--MID(A265,9,1)*8, IF(LEN(TRIM(A265))=12, --MID(A265,1,1)*7+--MID(A265,2,1)*2+--MID(A265,3,1)*4+--MID(A265,4,1)*10+--MID(A265,5,1)*3+--MID(A265,6,1)*5+--MID(A265,7,1)*9+--MID(A265,8,1)*4+--MID(A265,9,1)*6+--MID(A265,10,1)*8, ""))</f>
        <v/>
      </c>
      <c r="I265">
        <f>IF(LEN(TRIM(A265))=12, --MID(A265,1,1)*3+--MID(A265,2,1)*7+--MID(A265,3,1)*2+--MID(A265,4,1)*4+--MID(A265,5,1)*10+--MID(A265,6,1)*3+--MID(A265,7,1)*5+--MID(A265,8,1)*9+--MID(A265,9,1)*4+--MID(A265,10,1)*6+--MID(A265,11,1)*8, "")</f>
        <v/>
      </c>
    </row>
    <row r="266">
      <c r="A266">
        <f>SUBSTITUTE(SUBSTITUTE(SUBSTITUTE(SUBSTITUTE(TRIM(INDEX(Реестр!$B:$B,ROW())),CHAR(160),""),CHAR(9),""),CHAR(10),""),CHAR(13),"")</f>
        <v/>
      </c>
      <c r="B266">
        <f>SUBSTITUTE(SUBSTITUTE(SUBSTITUTE(SUBSTITUTE(SUBSTITUTE(SUBSTITUTE(SUBSTITUTE(TRIM(INDEX(Реестр!$D:$D, ROW())), "-", ""), " ", ""), CHAR(160), ""), CHAR(9), ""), CHAR(10), ""), CHAR(13), ""), CHAR(32), "")</f>
        <v/>
      </c>
      <c r="C266">
        <f>INDEX(Реестр!$H:$H, ROW())</f>
        <v/>
      </c>
      <c r="D266">
        <f>IF(OR(ISBLANK(INDEX(Реестр!$B:$B, ROW())), INDEX(Реестр!$B:$B, ROW())=""), " ", IF(IFERROR(ISNUMBER(--A266),FALSE), IF(LEN(A266)=10, IF(MOD(MOD(H266,11),10)=--RIGHT(A266,1), "OK", "ОШИБКА"), IF(LEN(A266)=12, IF(AND(MOD(MOD(H266,11),10)=--MID(A266,11,1), MOD(MOD(I266,11),10)=--RIGHT(A266,1)), "OK", "ОШИБКА"), "ДЛИНА (10 или 12)")), "НЕ ЦИФРЫ"))</f>
        <v/>
      </c>
      <c r="E266">
        <f>MID(B266,1,1)*9+MID(B266,2,1)*8+MID(B266,3,1)*7+MID(B266,4,1)*6+MID(B266,5,1)*5+MID(B266,6,1)*4+MID(B266,7,1)*3+MID(B266,8,1)*2+MID(B266,9,1)</f>
        <v/>
      </c>
      <c r="F266">
        <f>IF(B266="", " ", IF(LEN(B266)&lt;&gt;11, "ДЛИНА", IF(NOT(ISNUMBER(--B266)), "НЕ ЦИФРЫ", IF(LEFT(B266,9)*1&lt;=1001998, "OK", IF(RIGHT(B266,2)*1=IF(MOD(E266,101)&gt;=100,0,MOD(E266,101)),"OK","ОШИБКА")))))</f>
        <v/>
      </c>
      <c r="G2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6">
        <f>IF(LEN(TRIM(A266))=10, --MID(A266,1,1)*2+--MID(A266,2,1)*4+--MID(A266,3,1)*10+--MID(A266,4,1)*3+--MID(A266,5,1)*5+--MID(A266,6,1)*9+--MID(A266,7,1)*4+--MID(A266,8,1)*6+--MID(A266,9,1)*8, IF(LEN(TRIM(A266))=12, --MID(A266,1,1)*7+--MID(A266,2,1)*2+--MID(A266,3,1)*4+--MID(A266,4,1)*10+--MID(A266,5,1)*3+--MID(A266,6,1)*5+--MID(A266,7,1)*9+--MID(A266,8,1)*4+--MID(A266,9,1)*6+--MID(A266,10,1)*8, ""))</f>
        <v/>
      </c>
      <c r="I266">
        <f>IF(LEN(TRIM(A266))=12, --MID(A266,1,1)*3+--MID(A266,2,1)*7+--MID(A266,3,1)*2+--MID(A266,4,1)*4+--MID(A266,5,1)*10+--MID(A266,6,1)*3+--MID(A266,7,1)*5+--MID(A266,8,1)*9+--MID(A266,9,1)*4+--MID(A266,10,1)*6+--MID(A266,11,1)*8, "")</f>
        <v/>
      </c>
    </row>
    <row r="267">
      <c r="A267">
        <f>SUBSTITUTE(SUBSTITUTE(SUBSTITUTE(SUBSTITUTE(TRIM(INDEX(Реестр!$B:$B,ROW())),CHAR(160),""),CHAR(9),""),CHAR(10),""),CHAR(13),"")</f>
        <v/>
      </c>
      <c r="B267">
        <f>SUBSTITUTE(SUBSTITUTE(SUBSTITUTE(SUBSTITUTE(SUBSTITUTE(SUBSTITUTE(SUBSTITUTE(TRIM(INDEX(Реестр!$D:$D, ROW())), "-", ""), " ", ""), CHAR(160), ""), CHAR(9), ""), CHAR(10), ""), CHAR(13), ""), CHAR(32), "")</f>
        <v/>
      </c>
      <c r="C267">
        <f>INDEX(Реестр!$H:$H, ROW())</f>
        <v/>
      </c>
      <c r="D267">
        <f>IF(OR(ISBLANK(INDEX(Реестр!$B:$B, ROW())), INDEX(Реестр!$B:$B, ROW())=""), " ", IF(IFERROR(ISNUMBER(--A267),FALSE), IF(LEN(A267)=10, IF(MOD(MOD(H267,11),10)=--RIGHT(A267,1), "OK", "ОШИБКА"), IF(LEN(A267)=12, IF(AND(MOD(MOD(H267,11),10)=--MID(A267,11,1), MOD(MOD(I267,11),10)=--RIGHT(A267,1)), "OK", "ОШИБКА"), "ДЛИНА (10 или 12)")), "НЕ ЦИФРЫ"))</f>
        <v/>
      </c>
      <c r="E267">
        <f>MID(B267,1,1)*9+MID(B267,2,1)*8+MID(B267,3,1)*7+MID(B267,4,1)*6+MID(B267,5,1)*5+MID(B267,6,1)*4+MID(B267,7,1)*3+MID(B267,8,1)*2+MID(B267,9,1)</f>
        <v/>
      </c>
      <c r="F267">
        <f>IF(B267="", " ", IF(LEN(B267)&lt;&gt;11, "ДЛИНА", IF(NOT(ISNUMBER(--B267)), "НЕ ЦИФРЫ", IF(LEFT(B267,9)*1&lt;=1001998, "OK", IF(RIGHT(B267,2)*1=IF(MOD(E267,101)&gt;=100,0,MOD(E267,101)),"OK","ОШИБКА")))))</f>
        <v/>
      </c>
      <c r="G2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7">
        <f>IF(LEN(TRIM(A267))=10, --MID(A267,1,1)*2+--MID(A267,2,1)*4+--MID(A267,3,1)*10+--MID(A267,4,1)*3+--MID(A267,5,1)*5+--MID(A267,6,1)*9+--MID(A267,7,1)*4+--MID(A267,8,1)*6+--MID(A267,9,1)*8, IF(LEN(TRIM(A267))=12, --MID(A267,1,1)*7+--MID(A267,2,1)*2+--MID(A267,3,1)*4+--MID(A267,4,1)*10+--MID(A267,5,1)*3+--MID(A267,6,1)*5+--MID(A267,7,1)*9+--MID(A267,8,1)*4+--MID(A267,9,1)*6+--MID(A267,10,1)*8, ""))</f>
        <v/>
      </c>
      <c r="I267">
        <f>IF(LEN(TRIM(A267))=12, --MID(A267,1,1)*3+--MID(A267,2,1)*7+--MID(A267,3,1)*2+--MID(A267,4,1)*4+--MID(A267,5,1)*10+--MID(A267,6,1)*3+--MID(A267,7,1)*5+--MID(A267,8,1)*9+--MID(A267,9,1)*4+--MID(A267,10,1)*6+--MID(A267,11,1)*8, "")</f>
        <v/>
      </c>
    </row>
    <row r="268">
      <c r="A268">
        <f>SUBSTITUTE(SUBSTITUTE(SUBSTITUTE(SUBSTITUTE(TRIM(INDEX(Реестр!$B:$B,ROW())),CHAR(160),""),CHAR(9),""),CHAR(10),""),CHAR(13),"")</f>
        <v/>
      </c>
      <c r="B268">
        <f>SUBSTITUTE(SUBSTITUTE(SUBSTITUTE(SUBSTITUTE(SUBSTITUTE(SUBSTITUTE(SUBSTITUTE(TRIM(INDEX(Реестр!$D:$D, ROW())), "-", ""), " ", ""), CHAR(160), ""), CHAR(9), ""), CHAR(10), ""), CHAR(13), ""), CHAR(32), "")</f>
        <v/>
      </c>
      <c r="C268">
        <f>INDEX(Реестр!$H:$H, ROW())</f>
        <v/>
      </c>
      <c r="D268">
        <f>IF(OR(ISBLANK(INDEX(Реестр!$B:$B, ROW())), INDEX(Реестр!$B:$B, ROW())=""), " ", IF(IFERROR(ISNUMBER(--A268),FALSE), IF(LEN(A268)=10, IF(MOD(MOD(H268,11),10)=--RIGHT(A268,1), "OK", "ОШИБКА"), IF(LEN(A268)=12, IF(AND(MOD(MOD(H268,11),10)=--MID(A268,11,1), MOD(MOD(I268,11),10)=--RIGHT(A268,1)), "OK", "ОШИБКА"), "ДЛИНА (10 или 12)")), "НЕ ЦИФРЫ"))</f>
        <v/>
      </c>
      <c r="E268">
        <f>MID(B268,1,1)*9+MID(B268,2,1)*8+MID(B268,3,1)*7+MID(B268,4,1)*6+MID(B268,5,1)*5+MID(B268,6,1)*4+MID(B268,7,1)*3+MID(B268,8,1)*2+MID(B268,9,1)</f>
        <v/>
      </c>
      <c r="F268">
        <f>IF(B268="", " ", IF(LEN(B268)&lt;&gt;11, "ДЛИНА", IF(NOT(ISNUMBER(--B268)), "НЕ ЦИФРЫ", IF(LEFT(B268,9)*1&lt;=1001998, "OK", IF(RIGHT(B268,2)*1=IF(MOD(E268,101)&gt;=100,0,MOD(E268,101)),"OK","ОШИБКА")))))</f>
        <v/>
      </c>
      <c r="G2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8">
        <f>IF(LEN(TRIM(A268))=10, --MID(A268,1,1)*2+--MID(A268,2,1)*4+--MID(A268,3,1)*10+--MID(A268,4,1)*3+--MID(A268,5,1)*5+--MID(A268,6,1)*9+--MID(A268,7,1)*4+--MID(A268,8,1)*6+--MID(A268,9,1)*8, IF(LEN(TRIM(A268))=12, --MID(A268,1,1)*7+--MID(A268,2,1)*2+--MID(A268,3,1)*4+--MID(A268,4,1)*10+--MID(A268,5,1)*3+--MID(A268,6,1)*5+--MID(A268,7,1)*9+--MID(A268,8,1)*4+--MID(A268,9,1)*6+--MID(A268,10,1)*8, ""))</f>
        <v/>
      </c>
      <c r="I268">
        <f>IF(LEN(TRIM(A268))=12, --MID(A268,1,1)*3+--MID(A268,2,1)*7+--MID(A268,3,1)*2+--MID(A268,4,1)*4+--MID(A268,5,1)*10+--MID(A268,6,1)*3+--MID(A268,7,1)*5+--MID(A268,8,1)*9+--MID(A268,9,1)*4+--MID(A268,10,1)*6+--MID(A268,11,1)*8, "")</f>
        <v/>
      </c>
    </row>
    <row r="269">
      <c r="A269">
        <f>SUBSTITUTE(SUBSTITUTE(SUBSTITUTE(SUBSTITUTE(TRIM(INDEX(Реестр!$B:$B,ROW())),CHAR(160),""),CHAR(9),""),CHAR(10),""),CHAR(13),"")</f>
        <v/>
      </c>
      <c r="B269">
        <f>SUBSTITUTE(SUBSTITUTE(SUBSTITUTE(SUBSTITUTE(SUBSTITUTE(SUBSTITUTE(SUBSTITUTE(TRIM(INDEX(Реестр!$D:$D, ROW())), "-", ""), " ", ""), CHAR(160), ""), CHAR(9), ""), CHAR(10), ""), CHAR(13), ""), CHAR(32), "")</f>
        <v/>
      </c>
      <c r="C269">
        <f>INDEX(Реестр!$H:$H, ROW())</f>
        <v/>
      </c>
      <c r="D269">
        <f>IF(OR(ISBLANK(INDEX(Реестр!$B:$B, ROW())), INDEX(Реестр!$B:$B, ROW())=""), " ", IF(IFERROR(ISNUMBER(--A269),FALSE), IF(LEN(A269)=10, IF(MOD(MOD(H269,11),10)=--RIGHT(A269,1), "OK", "ОШИБКА"), IF(LEN(A269)=12, IF(AND(MOD(MOD(H269,11),10)=--MID(A269,11,1), MOD(MOD(I269,11),10)=--RIGHT(A269,1)), "OK", "ОШИБКА"), "ДЛИНА (10 или 12)")), "НЕ ЦИФРЫ"))</f>
        <v/>
      </c>
      <c r="E269">
        <f>MID(B269,1,1)*9+MID(B269,2,1)*8+MID(B269,3,1)*7+MID(B269,4,1)*6+MID(B269,5,1)*5+MID(B269,6,1)*4+MID(B269,7,1)*3+MID(B269,8,1)*2+MID(B269,9,1)</f>
        <v/>
      </c>
      <c r="F269">
        <f>IF(B269="", " ", IF(LEN(B269)&lt;&gt;11, "ДЛИНА", IF(NOT(ISNUMBER(--B269)), "НЕ ЦИФРЫ", IF(LEFT(B269,9)*1&lt;=1001998, "OK", IF(RIGHT(B269,2)*1=IF(MOD(E269,101)&gt;=100,0,MOD(E269,101)),"OK","ОШИБКА")))))</f>
        <v/>
      </c>
      <c r="G2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69">
        <f>IF(LEN(TRIM(A269))=10, --MID(A269,1,1)*2+--MID(A269,2,1)*4+--MID(A269,3,1)*10+--MID(A269,4,1)*3+--MID(A269,5,1)*5+--MID(A269,6,1)*9+--MID(A269,7,1)*4+--MID(A269,8,1)*6+--MID(A269,9,1)*8, IF(LEN(TRIM(A269))=12, --MID(A269,1,1)*7+--MID(A269,2,1)*2+--MID(A269,3,1)*4+--MID(A269,4,1)*10+--MID(A269,5,1)*3+--MID(A269,6,1)*5+--MID(A269,7,1)*9+--MID(A269,8,1)*4+--MID(A269,9,1)*6+--MID(A269,10,1)*8, ""))</f>
        <v/>
      </c>
      <c r="I269">
        <f>IF(LEN(TRIM(A269))=12, --MID(A269,1,1)*3+--MID(A269,2,1)*7+--MID(A269,3,1)*2+--MID(A269,4,1)*4+--MID(A269,5,1)*10+--MID(A269,6,1)*3+--MID(A269,7,1)*5+--MID(A269,8,1)*9+--MID(A269,9,1)*4+--MID(A269,10,1)*6+--MID(A269,11,1)*8, "")</f>
        <v/>
      </c>
    </row>
    <row r="270">
      <c r="A270">
        <f>SUBSTITUTE(SUBSTITUTE(SUBSTITUTE(SUBSTITUTE(TRIM(INDEX(Реестр!$B:$B,ROW())),CHAR(160),""),CHAR(9),""),CHAR(10),""),CHAR(13),"")</f>
        <v/>
      </c>
      <c r="B270">
        <f>SUBSTITUTE(SUBSTITUTE(SUBSTITUTE(SUBSTITUTE(SUBSTITUTE(SUBSTITUTE(SUBSTITUTE(TRIM(INDEX(Реестр!$D:$D, ROW())), "-", ""), " ", ""), CHAR(160), ""), CHAR(9), ""), CHAR(10), ""), CHAR(13), ""), CHAR(32), "")</f>
        <v/>
      </c>
      <c r="C270">
        <f>INDEX(Реестр!$H:$H, ROW())</f>
        <v/>
      </c>
      <c r="D270">
        <f>IF(OR(ISBLANK(INDEX(Реестр!$B:$B, ROW())), INDEX(Реестр!$B:$B, ROW())=""), " ", IF(IFERROR(ISNUMBER(--A270),FALSE), IF(LEN(A270)=10, IF(MOD(MOD(H270,11),10)=--RIGHT(A270,1), "OK", "ОШИБКА"), IF(LEN(A270)=12, IF(AND(MOD(MOD(H270,11),10)=--MID(A270,11,1), MOD(MOD(I270,11),10)=--RIGHT(A270,1)), "OK", "ОШИБКА"), "ДЛИНА (10 или 12)")), "НЕ ЦИФРЫ"))</f>
        <v/>
      </c>
      <c r="E270">
        <f>MID(B270,1,1)*9+MID(B270,2,1)*8+MID(B270,3,1)*7+MID(B270,4,1)*6+MID(B270,5,1)*5+MID(B270,6,1)*4+MID(B270,7,1)*3+MID(B270,8,1)*2+MID(B270,9,1)</f>
        <v/>
      </c>
      <c r="F270">
        <f>IF(B270="", " ", IF(LEN(B270)&lt;&gt;11, "ДЛИНА", IF(NOT(ISNUMBER(--B270)), "НЕ ЦИФРЫ", IF(LEFT(B270,9)*1&lt;=1001998, "OK", IF(RIGHT(B270,2)*1=IF(MOD(E270,101)&gt;=100,0,MOD(E270,101)),"OK","ОШИБКА")))))</f>
        <v/>
      </c>
      <c r="G2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0">
        <f>IF(LEN(TRIM(A270))=10, --MID(A270,1,1)*2+--MID(A270,2,1)*4+--MID(A270,3,1)*10+--MID(A270,4,1)*3+--MID(A270,5,1)*5+--MID(A270,6,1)*9+--MID(A270,7,1)*4+--MID(A270,8,1)*6+--MID(A270,9,1)*8, IF(LEN(TRIM(A270))=12, --MID(A270,1,1)*7+--MID(A270,2,1)*2+--MID(A270,3,1)*4+--MID(A270,4,1)*10+--MID(A270,5,1)*3+--MID(A270,6,1)*5+--MID(A270,7,1)*9+--MID(A270,8,1)*4+--MID(A270,9,1)*6+--MID(A270,10,1)*8, ""))</f>
        <v/>
      </c>
      <c r="I270">
        <f>IF(LEN(TRIM(A270))=12, --MID(A270,1,1)*3+--MID(A270,2,1)*7+--MID(A270,3,1)*2+--MID(A270,4,1)*4+--MID(A270,5,1)*10+--MID(A270,6,1)*3+--MID(A270,7,1)*5+--MID(A270,8,1)*9+--MID(A270,9,1)*4+--MID(A270,10,1)*6+--MID(A270,11,1)*8, "")</f>
        <v/>
      </c>
    </row>
    <row r="271">
      <c r="A271">
        <f>SUBSTITUTE(SUBSTITUTE(SUBSTITUTE(SUBSTITUTE(TRIM(INDEX(Реестр!$B:$B,ROW())),CHAR(160),""),CHAR(9),""),CHAR(10),""),CHAR(13),"")</f>
        <v/>
      </c>
      <c r="B271">
        <f>SUBSTITUTE(SUBSTITUTE(SUBSTITUTE(SUBSTITUTE(SUBSTITUTE(SUBSTITUTE(SUBSTITUTE(TRIM(INDEX(Реестр!$D:$D, ROW())), "-", ""), " ", ""), CHAR(160), ""), CHAR(9), ""), CHAR(10), ""), CHAR(13), ""), CHAR(32), "")</f>
        <v/>
      </c>
      <c r="C271">
        <f>INDEX(Реестр!$H:$H, ROW())</f>
        <v/>
      </c>
      <c r="D271">
        <f>IF(OR(ISBLANK(INDEX(Реестр!$B:$B, ROW())), INDEX(Реестр!$B:$B, ROW())=""), " ", IF(IFERROR(ISNUMBER(--A271),FALSE), IF(LEN(A271)=10, IF(MOD(MOD(H271,11),10)=--RIGHT(A271,1), "OK", "ОШИБКА"), IF(LEN(A271)=12, IF(AND(MOD(MOD(H271,11),10)=--MID(A271,11,1), MOD(MOD(I271,11),10)=--RIGHT(A271,1)), "OK", "ОШИБКА"), "ДЛИНА (10 или 12)")), "НЕ ЦИФРЫ"))</f>
        <v/>
      </c>
      <c r="E271">
        <f>MID(B271,1,1)*9+MID(B271,2,1)*8+MID(B271,3,1)*7+MID(B271,4,1)*6+MID(B271,5,1)*5+MID(B271,6,1)*4+MID(B271,7,1)*3+MID(B271,8,1)*2+MID(B271,9,1)</f>
        <v/>
      </c>
      <c r="F271">
        <f>IF(B271="", " ", IF(LEN(B271)&lt;&gt;11, "ДЛИНА", IF(NOT(ISNUMBER(--B271)), "НЕ ЦИФРЫ", IF(LEFT(B271,9)*1&lt;=1001998, "OK", IF(RIGHT(B271,2)*1=IF(MOD(E271,101)&gt;=100,0,MOD(E271,101)),"OK","ОШИБКА")))))</f>
        <v/>
      </c>
      <c r="G2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1">
        <f>IF(LEN(TRIM(A271))=10, --MID(A271,1,1)*2+--MID(A271,2,1)*4+--MID(A271,3,1)*10+--MID(A271,4,1)*3+--MID(A271,5,1)*5+--MID(A271,6,1)*9+--MID(A271,7,1)*4+--MID(A271,8,1)*6+--MID(A271,9,1)*8, IF(LEN(TRIM(A271))=12, --MID(A271,1,1)*7+--MID(A271,2,1)*2+--MID(A271,3,1)*4+--MID(A271,4,1)*10+--MID(A271,5,1)*3+--MID(A271,6,1)*5+--MID(A271,7,1)*9+--MID(A271,8,1)*4+--MID(A271,9,1)*6+--MID(A271,10,1)*8, ""))</f>
        <v/>
      </c>
      <c r="I271">
        <f>IF(LEN(TRIM(A271))=12, --MID(A271,1,1)*3+--MID(A271,2,1)*7+--MID(A271,3,1)*2+--MID(A271,4,1)*4+--MID(A271,5,1)*10+--MID(A271,6,1)*3+--MID(A271,7,1)*5+--MID(A271,8,1)*9+--MID(A271,9,1)*4+--MID(A271,10,1)*6+--MID(A271,11,1)*8, "")</f>
        <v/>
      </c>
    </row>
    <row r="272">
      <c r="A272">
        <f>SUBSTITUTE(SUBSTITUTE(SUBSTITUTE(SUBSTITUTE(TRIM(INDEX(Реестр!$B:$B,ROW())),CHAR(160),""),CHAR(9),""),CHAR(10),""),CHAR(13),"")</f>
        <v/>
      </c>
      <c r="B272">
        <f>SUBSTITUTE(SUBSTITUTE(SUBSTITUTE(SUBSTITUTE(SUBSTITUTE(SUBSTITUTE(SUBSTITUTE(TRIM(INDEX(Реестр!$D:$D, ROW())), "-", ""), " ", ""), CHAR(160), ""), CHAR(9), ""), CHAR(10), ""), CHAR(13), ""), CHAR(32), "")</f>
        <v/>
      </c>
      <c r="C272">
        <f>INDEX(Реестр!$H:$H, ROW())</f>
        <v/>
      </c>
      <c r="D272">
        <f>IF(OR(ISBLANK(INDEX(Реестр!$B:$B, ROW())), INDEX(Реестр!$B:$B, ROW())=""), " ", IF(IFERROR(ISNUMBER(--A272),FALSE), IF(LEN(A272)=10, IF(MOD(MOD(H272,11),10)=--RIGHT(A272,1), "OK", "ОШИБКА"), IF(LEN(A272)=12, IF(AND(MOD(MOD(H272,11),10)=--MID(A272,11,1), MOD(MOD(I272,11),10)=--RIGHT(A272,1)), "OK", "ОШИБКА"), "ДЛИНА (10 или 12)")), "НЕ ЦИФРЫ"))</f>
        <v/>
      </c>
      <c r="E272">
        <f>MID(B272,1,1)*9+MID(B272,2,1)*8+MID(B272,3,1)*7+MID(B272,4,1)*6+MID(B272,5,1)*5+MID(B272,6,1)*4+MID(B272,7,1)*3+MID(B272,8,1)*2+MID(B272,9,1)</f>
        <v/>
      </c>
      <c r="F272">
        <f>IF(B272="", " ", IF(LEN(B272)&lt;&gt;11, "ДЛИНА", IF(NOT(ISNUMBER(--B272)), "НЕ ЦИФРЫ", IF(LEFT(B272,9)*1&lt;=1001998, "OK", IF(RIGHT(B272,2)*1=IF(MOD(E272,101)&gt;=100,0,MOD(E272,101)),"OK","ОШИБКА")))))</f>
        <v/>
      </c>
      <c r="G2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2">
        <f>IF(LEN(TRIM(A272))=10, --MID(A272,1,1)*2+--MID(A272,2,1)*4+--MID(A272,3,1)*10+--MID(A272,4,1)*3+--MID(A272,5,1)*5+--MID(A272,6,1)*9+--MID(A272,7,1)*4+--MID(A272,8,1)*6+--MID(A272,9,1)*8, IF(LEN(TRIM(A272))=12, --MID(A272,1,1)*7+--MID(A272,2,1)*2+--MID(A272,3,1)*4+--MID(A272,4,1)*10+--MID(A272,5,1)*3+--MID(A272,6,1)*5+--MID(A272,7,1)*9+--MID(A272,8,1)*4+--MID(A272,9,1)*6+--MID(A272,10,1)*8, ""))</f>
        <v/>
      </c>
      <c r="I272">
        <f>IF(LEN(TRIM(A272))=12, --MID(A272,1,1)*3+--MID(A272,2,1)*7+--MID(A272,3,1)*2+--MID(A272,4,1)*4+--MID(A272,5,1)*10+--MID(A272,6,1)*3+--MID(A272,7,1)*5+--MID(A272,8,1)*9+--MID(A272,9,1)*4+--MID(A272,10,1)*6+--MID(A272,11,1)*8, "")</f>
        <v/>
      </c>
    </row>
    <row r="273">
      <c r="A273">
        <f>SUBSTITUTE(SUBSTITUTE(SUBSTITUTE(SUBSTITUTE(TRIM(INDEX(Реестр!$B:$B,ROW())),CHAR(160),""),CHAR(9),""),CHAR(10),""),CHAR(13),"")</f>
        <v/>
      </c>
      <c r="B273">
        <f>SUBSTITUTE(SUBSTITUTE(SUBSTITUTE(SUBSTITUTE(SUBSTITUTE(SUBSTITUTE(SUBSTITUTE(TRIM(INDEX(Реестр!$D:$D, ROW())), "-", ""), " ", ""), CHAR(160), ""), CHAR(9), ""), CHAR(10), ""), CHAR(13), ""), CHAR(32), "")</f>
        <v/>
      </c>
      <c r="C273">
        <f>INDEX(Реестр!$H:$H, ROW())</f>
        <v/>
      </c>
      <c r="D273">
        <f>IF(OR(ISBLANK(INDEX(Реестр!$B:$B, ROW())), INDEX(Реестр!$B:$B, ROW())=""), " ", IF(IFERROR(ISNUMBER(--A273),FALSE), IF(LEN(A273)=10, IF(MOD(MOD(H273,11),10)=--RIGHT(A273,1), "OK", "ОШИБКА"), IF(LEN(A273)=12, IF(AND(MOD(MOD(H273,11),10)=--MID(A273,11,1), MOD(MOD(I273,11),10)=--RIGHT(A273,1)), "OK", "ОШИБКА"), "ДЛИНА (10 или 12)")), "НЕ ЦИФРЫ"))</f>
        <v/>
      </c>
      <c r="E273">
        <f>MID(B273,1,1)*9+MID(B273,2,1)*8+MID(B273,3,1)*7+MID(B273,4,1)*6+MID(B273,5,1)*5+MID(B273,6,1)*4+MID(B273,7,1)*3+MID(B273,8,1)*2+MID(B273,9,1)</f>
        <v/>
      </c>
      <c r="F273">
        <f>IF(B273="", " ", IF(LEN(B273)&lt;&gt;11, "ДЛИНА", IF(NOT(ISNUMBER(--B273)), "НЕ ЦИФРЫ", IF(LEFT(B273,9)*1&lt;=1001998, "OK", IF(RIGHT(B273,2)*1=IF(MOD(E273,101)&gt;=100,0,MOD(E273,101)),"OK","ОШИБКА")))))</f>
        <v/>
      </c>
      <c r="G2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3">
        <f>IF(LEN(TRIM(A273))=10, --MID(A273,1,1)*2+--MID(A273,2,1)*4+--MID(A273,3,1)*10+--MID(A273,4,1)*3+--MID(A273,5,1)*5+--MID(A273,6,1)*9+--MID(A273,7,1)*4+--MID(A273,8,1)*6+--MID(A273,9,1)*8, IF(LEN(TRIM(A273))=12, --MID(A273,1,1)*7+--MID(A273,2,1)*2+--MID(A273,3,1)*4+--MID(A273,4,1)*10+--MID(A273,5,1)*3+--MID(A273,6,1)*5+--MID(A273,7,1)*9+--MID(A273,8,1)*4+--MID(A273,9,1)*6+--MID(A273,10,1)*8, ""))</f>
        <v/>
      </c>
      <c r="I273">
        <f>IF(LEN(TRIM(A273))=12, --MID(A273,1,1)*3+--MID(A273,2,1)*7+--MID(A273,3,1)*2+--MID(A273,4,1)*4+--MID(A273,5,1)*10+--MID(A273,6,1)*3+--MID(A273,7,1)*5+--MID(A273,8,1)*9+--MID(A273,9,1)*4+--MID(A273,10,1)*6+--MID(A273,11,1)*8, "")</f>
        <v/>
      </c>
    </row>
    <row r="274">
      <c r="A274">
        <f>SUBSTITUTE(SUBSTITUTE(SUBSTITUTE(SUBSTITUTE(TRIM(INDEX(Реестр!$B:$B,ROW())),CHAR(160),""),CHAR(9),""),CHAR(10),""),CHAR(13),"")</f>
        <v/>
      </c>
      <c r="B274">
        <f>SUBSTITUTE(SUBSTITUTE(SUBSTITUTE(SUBSTITUTE(SUBSTITUTE(SUBSTITUTE(SUBSTITUTE(TRIM(INDEX(Реестр!$D:$D, ROW())), "-", ""), " ", ""), CHAR(160), ""), CHAR(9), ""), CHAR(10), ""), CHAR(13), ""), CHAR(32), "")</f>
        <v/>
      </c>
      <c r="C274">
        <f>INDEX(Реестр!$H:$H, ROW())</f>
        <v/>
      </c>
      <c r="D274">
        <f>IF(OR(ISBLANK(INDEX(Реестр!$B:$B, ROW())), INDEX(Реестр!$B:$B, ROW())=""), " ", IF(IFERROR(ISNUMBER(--A274),FALSE), IF(LEN(A274)=10, IF(MOD(MOD(H274,11),10)=--RIGHT(A274,1), "OK", "ОШИБКА"), IF(LEN(A274)=12, IF(AND(MOD(MOD(H274,11),10)=--MID(A274,11,1), MOD(MOD(I274,11),10)=--RIGHT(A274,1)), "OK", "ОШИБКА"), "ДЛИНА (10 или 12)")), "НЕ ЦИФРЫ"))</f>
        <v/>
      </c>
      <c r="E274">
        <f>MID(B274,1,1)*9+MID(B274,2,1)*8+MID(B274,3,1)*7+MID(B274,4,1)*6+MID(B274,5,1)*5+MID(B274,6,1)*4+MID(B274,7,1)*3+MID(B274,8,1)*2+MID(B274,9,1)</f>
        <v/>
      </c>
      <c r="F274">
        <f>IF(B274="", " ", IF(LEN(B274)&lt;&gt;11, "ДЛИНА", IF(NOT(ISNUMBER(--B274)), "НЕ ЦИФРЫ", IF(LEFT(B274,9)*1&lt;=1001998, "OK", IF(RIGHT(B274,2)*1=IF(MOD(E274,101)&gt;=100,0,MOD(E274,101)),"OK","ОШИБКА")))))</f>
        <v/>
      </c>
      <c r="G2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4">
        <f>IF(LEN(TRIM(A274))=10, --MID(A274,1,1)*2+--MID(A274,2,1)*4+--MID(A274,3,1)*10+--MID(A274,4,1)*3+--MID(A274,5,1)*5+--MID(A274,6,1)*9+--MID(A274,7,1)*4+--MID(A274,8,1)*6+--MID(A274,9,1)*8, IF(LEN(TRIM(A274))=12, --MID(A274,1,1)*7+--MID(A274,2,1)*2+--MID(A274,3,1)*4+--MID(A274,4,1)*10+--MID(A274,5,1)*3+--MID(A274,6,1)*5+--MID(A274,7,1)*9+--MID(A274,8,1)*4+--MID(A274,9,1)*6+--MID(A274,10,1)*8, ""))</f>
        <v/>
      </c>
      <c r="I274">
        <f>IF(LEN(TRIM(A274))=12, --MID(A274,1,1)*3+--MID(A274,2,1)*7+--MID(A274,3,1)*2+--MID(A274,4,1)*4+--MID(A274,5,1)*10+--MID(A274,6,1)*3+--MID(A274,7,1)*5+--MID(A274,8,1)*9+--MID(A274,9,1)*4+--MID(A274,10,1)*6+--MID(A274,11,1)*8, "")</f>
        <v/>
      </c>
    </row>
    <row r="275">
      <c r="A275">
        <f>SUBSTITUTE(SUBSTITUTE(SUBSTITUTE(SUBSTITUTE(TRIM(INDEX(Реестр!$B:$B,ROW())),CHAR(160),""),CHAR(9),""),CHAR(10),""),CHAR(13),"")</f>
        <v/>
      </c>
      <c r="B275">
        <f>SUBSTITUTE(SUBSTITUTE(SUBSTITUTE(SUBSTITUTE(SUBSTITUTE(SUBSTITUTE(SUBSTITUTE(TRIM(INDEX(Реестр!$D:$D, ROW())), "-", ""), " ", ""), CHAR(160), ""), CHAR(9), ""), CHAR(10), ""), CHAR(13), ""), CHAR(32), "")</f>
        <v/>
      </c>
      <c r="C275">
        <f>INDEX(Реестр!$H:$H, ROW())</f>
        <v/>
      </c>
      <c r="D275">
        <f>IF(OR(ISBLANK(INDEX(Реестр!$B:$B, ROW())), INDEX(Реестр!$B:$B, ROW())=""), " ", IF(IFERROR(ISNUMBER(--A275),FALSE), IF(LEN(A275)=10, IF(MOD(MOD(H275,11),10)=--RIGHT(A275,1), "OK", "ОШИБКА"), IF(LEN(A275)=12, IF(AND(MOD(MOD(H275,11),10)=--MID(A275,11,1), MOD(MOD(I275,11),10)=--RIGHT(A275,1)), "OK", "ОШИБКА"), "ДЛИНА (10 или 12)")), "НЕ ЦИФРЫ"))</f>
        <v/>
      </c>
      <c r="E275">
        <f>MID(B275,1,1)*9+MID(B275,2,1)*8+MID(B275,3,1)*7+MID(B275,4,1)*6+MID(B275,5,1)*5+MID(B275,6,1)*4+MID(B275,7,1)*3+MID(B275,8,1)*2+MID(B275,9,1)</f>
        <v/>
      </c>
      <c r="F275">
        <f>IF(B275="", " ", IF(LEN(B275)&lt;&gt;11, "ДЛИНА", IF(NOT(ISNUMBER(--B275)), "НЕ ЦИФРЫ", IF(LEFT(B275,9)*1&lt;=1001998, "OK", IF(RIGHT(B275,2)*1=IF(MOD(E275,101)&gt;=100,0,MOD(E275,101)),"OK","ОШИБКА")))))</f>
        <v/>
      </c>
      <c r="G2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5">
        <f>IF(LEN(TRIM(A275))=10, --MID(A275,1,1)*2+--MID(A275,2,1)*4+--MID(A275,3,1)*10+--MID(A275,4,1)*3+--MID(A275,5,1)*5+--MID(A275,6,1)*9+--MID(A275,7,1)*4+--MID(A275,8,1)*6+--MID(A275,9,1)*8, IF(LEN(TRIM(A275))=12, --MID(A275,1,1)*7+--MID(A275,2,1)*2+--MID(A275,3,1)*4+--MID(A275,4,1)*10+--MID(A275,5,1)*3+--MID(A275,6,1)*5+--MID(A275,7,1)*9+--MID(A275,8,1)*4+--MID(A275,9,1)*6+--MID(A275,10,1)*8, ""))</f>
        <v/>
      </c>
      <c r="I275">
        <f>IF(LEN(TRIM(A275))=12, --MID(A275,1,1)*3+--MID(A275,2,1)*7+--MID(A275,3,1)*2+--MID(A275,4,1)*4+--MID(A275,5,1)*10+--MID(A275,6,1)*3+--MID(A275,7,1)*5+--MID(A275,8,1)*9+--MID(A275,9,1)*4+--MID(A275,10,1)*6+--MID(A275,11,1)*8, "")</f>
        <v/>
      </c>
    </row>
    <row r="276">
      <c r="A276">
        <f>SUBSTITUTE(SUBSTITUTE(SUBSTITUTE(SUBSTITUTE(TRIM(INDEX(Реестр!$B:$B,ROW())),CHAR(160),""),CHAR(9),""),CHAR(10),""),CHAR(13),"")</f>
        <v/>
      </c>
      <c r="B276">
        <f>SUBSTITUTE(SUBSTITUTE(SUBSTITUTE(SUBSTITUTE(SUBSTITUTE(SUBSTITUTE(SUBSTITUTE(TRIM(INDEX(Реестр!$D:$D, ROW())), "-", ""), " ", ""), CHAR(160), ""), CHAR(9), ""), CHAR(10), ""), CHAR(13), ""), CHAR(32), "")</f>
        <v/>
      </c>
      <c r="C276">
        <f>INDEX(Реестр!$H:$H, ROW())</f>
        <v/>
      </c>
      <c r="D276">
        <f>IF(OR(ISBLANK(INDEX(Реестр!$B:$B, ROW())), INDEX(Реестр!$B:$B, ROW())=""), " ", IF(IFERROR(ISNUMBER(--A276),FALSE), IF(LEN(A276)=10, IF(MOD(MOD(H276,11),10)=--RIGHT(A276,1), "OK", "ОШИБКА"), IF(LEN(A276)=12, IF(AND(MOD(MOD(H276,11),10)=--MID(A276,11,1), MOD(MOD(I276,11),10)=--RIGHT(A276,1)), "OK", "ОШИБКА"), "ДЛИНА (10 или 12)")), "НЕ ЦИФРЫ"))</f>
        <v/>
      </c>
      <c r="E276">
        <f>MID(B276,1,1)*9+MID(B276,2,1)*8+MID(B276,3,1)*7+MID(B276,4,1)*6+MID(B276,5,1)*5+MID(B276,6,1)*4+MID(B276,7,1)*3+MID(B276,8,1)*2+MID(B276,9,1)</f>
        <v/>
      </c>
      <c r="F276">
        <f>IF(B276="", " ", IF(LEN(B276)&lt;&gt;11, "ДЛИНА", IF(NOT(ISNUMBER(--B276)), "НЕ ЦИФРЫ", IF(LEFT(B276,9)*1&lt;=1001998, "OK", IF(RIGHT(B276,2)*1=IF(MOD(E276,101)&gt;=100,0,MOD(E276,101)),"OK","ОШИБКА")))))</f>
        <v/>
      </c>
      <c r="G2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6">
        <f>IF(LEN(TRIM(A276))=10, --MID(A276,1,1)*2+--MID(A276,2,1)*4+--MID(A276,3,1)*10+--MID(A276,4,1)*3+--MID(A276,5,1)*5+--MID(A276,6,1)*9+--MID(A276,7,1)*4+--MID(A276,8,1)*6+--MID(A276,9,1)*8, IF(LEN(TRIM(A276))=12, --MID(A276,1,1)*7+--MID(A276,2,1)*2+--MID(A276,3,1)*4+--MID(A276,4,1)*10+--MID(A276,5,1)*3+--MID(A276,6,1)*5+--MID(A276,7,1)*9+--MID(A276,8,1)*4+--MID(A276,9,1)*6+--MID(A276,10,1)*8, ""))</f>
        <v/>
      </c>
      <c r="I276">
        <f>IF(LEN(TRIM(A276))=12, --MID(A276,1,1)*3+--MID(A276,2,1)*7+--MID(A276,3,1)*2+--MID(A276,4,1)*4+--MID(A276,5,1)*10+--MID(A276,6,1)*3+--MID(A276,7,1)*5+--MID(A276,8,1)*9+--MID(A276,9,1)*4+--MID(A276,10,1)*6+--MID(A276,11,1)*8, "")</f>
        <v/>
      </c>
    </row>
    <row r="277">
      <c r="A277">
        <f>SUBSTITUTE(SUBSTITUTE(SUBSTITUTE(SUBSTITUTE(TRIM(INDEX(Реестр!$B:$B,ROW())),CHAR(160),""),CHAR(9),""),CHAR(10),""),CHAR(13),"")</f>
        <v/>
      </c>
      <c r="B277">
        <f>SUBSTITUTE(SUBSTITUTE(SUBSTITUTE(SUBSTITUTE(SUBSTITUTE(SUBSTITUTE(SUBSTITUTE(TRIM(INDEX(Реестр!$D:$D, ROW())), "-", ""), " ", ""), CHAR(160), ""), CHAR(9), ""), CHAR(10), ""), CHAR(13), ""), CHAR(32), "")</f>
        <v/>
      </c>
      <c r="C277">
        <f>INDEX(Реестр!$H:$H, ROW())</f>
        <v/>
      </c>
      <c r="D277">
        <f>IF(OR(ISBLANK(INDEX(Реестр!$B:$B, ROW())), INDEX(Реестр!$B:$B, ROW())=""), " ", IF(IFERROR(ISNUMBER(--A277),FALSE), IF(LEN(A277)=10, IF(MOD(MOD(H277,11),10)=--RIGHT(A277,1), "OK", "ОШИБКА"), IF(LEN(A277)=12, IF(AND(MOD(MOD(H277,11),10)=--MID(A277,11,1), MOD(MOD(I277,11),10)=--RIGHT(A277,1)), "OK", "ОШИБКА"), "ДЛИНА (10 или 12)")), "НЕ ЦИФРЫ"))</f>
        <v/>
      </c>
      <c r="E277">
        <f>MID(B277,1,1)*9+MID(B277,2,1)*8+MID(B277,3,1)*7+MID(B277,4,1)*6+MID(B277,5,1)*5+MID(B277,6,1)*4+MID(B277,7,1)*3+MID(B277,8,1)*2+MID(B277,9,1)</f>
        <v/>
      </c>
      <c r="F277">
        <f>IF(B277="", " ", IF(LEN(B277)&lt;&gt;11, "ДЛИНА", IF(NOT(ISNUMBER(--B277)), "НЕ ЦИФРЫ", IF(LEFT(B277,9)*1&lt;=1001998, "OK", IF(RIGHT(B277,2)*1=IF(MOD(E277,101)&gt;=100,0,MOD(E277,101)),"OK","ОШИБКА")))))</f>
        <v/>
      </c>
      <c r="G2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7">
        <f>IF(LEN(TRIM(A277))=10, --MID(A277,1,1)*2+--MID(A277,2,1)*4+--MID(A277,3,1)*10+--MID(A277,4,1)*3+--MID(A277,5,1)*5+--MID(A277,6,1)*9+--MID(A277,7,1)*4+--MID(A277,8,1)*6+--MID(A277,9,1)*8, IF(LEN(TRIM(A277))=12, --MID(A277,1,1)*7+--MID(A277,2,1)*2+--MID(A277,3,1)*4+--MID(A277,4,1)*10+--MID(A277,5,1)*3+--MID(A277,6,1)*5+--MID(A277,7,1)*9+--MID(A277,8,1)*4+--MID(A277,9,1)*6+--MID(A277,10,1)*8, ""))</f>
        <v/>
      </c>
      <c r="I277">
        <f>IF(LEN(TRIM(A277))=12, --MID(A277,1,1)*3+--MID(A277,2,1)*7+--MID(A277,3,1)*2+--MID(A277,4,1)*4+--MID(A277,5,1)*10+--MID(A277,6,1)*3+--MID(A277,7,1)*5+--MID(A277,8,1)*9+--MID(A277,9,1)*4+--MID(A277,10,1)*6+--MID(A277,11,1)*8, "")</f>
        <v/>
      </c>
    </row>
    <row r="278">
      <c r="A278">
        <f>SUBSTITUTE(SUBSTITUTE(SUBSTITUTE(SUBSTITUTE(TRIM(INDEX(Реестр!$B:$B,ROW())),CHAR(160),""),CHAR(9),""),CHAR(10),""),CHAR(13),"")</f>
        <v/>
      </c>
      <c r="B278">
        <f>SUBSTITUTE(SUBSTITUTE(SUBSTITUTE(SUBSTITUTE(SUBSTITUTE(SUBSTITUTE(SUBSTITUTE(TRIM(INDEX(Реестр!$D:$D, ROW())), "-", ""), " ", ""), CHAR(160), ""), CHAR(9), ""), CHAR(10), ""), CHAR(13), ""), CHAR(32), "")</f>
        <v/>
      </c>
      <c r="C278">
        <f>INDEX(Реестр!$H:$H, ROW())</f>
        <v/>
      </c>
      <c r="D278">
        <f>IF(OR(ISBLANK(INDEX(Реестр!$B:$B, ROW())), INDEX(Реестр!$B:$B, ROW())=""), " ", IF(IFERROR(ISNUMBER(--A278),FALSE), IF(LEN(A278)=10, IF(MOD(MOD(H278,11),10)=--RIGHT(A278,1), "OK", "ОШИБКА"), IF(LEN(A278)=12, IF(AND(MOD(MOD(H278,11),10)=--MID(A278,11,1), MOD(MOD(I278,11),10)=--RIGHT(A278,1)), "OK", "ОШИБКА"), "ДЛИНА (10 или 12)")), "НЕ ЦИФРЫ"))</f>
        <v/>
      </c>
      <c r="E278">
        <f>MID(B278,1,1)*9+MID(B278,2,1)*8+MID(B278,3,1)*7+MID(B278,4,1)*6+MID(B278,5,1)*5+MID(B278,6,1)*4+MID(B278,7,1)*3+MID(B278,8,1)*2+MID(B278,9,1)</f>
        <v/>
      </c>
      <c r="F278">
        <f>IF(B278="", " ", IF(LEN(B278)&lt;&gt;11, "ДЛИНА", IF(NOT(ISNUMBER(--B278)), "НЕ ЦИФРЫ", IF(LEFT(B278,9)*1&lt;=1001998, "OK", IF(RIGHT(B278,2)*1=IF(MOD(E278,101)&gt;=100,0,MOD(E278,101)),"OK","ОШИБКА")))))</f>
        <v/>
      </c>
      <c r="G2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8">
        <f>IF(LEN(TRIM(A278))=10, --MID(A278,1,1)*2+--MID(A278,2,1)*4+--MID(A278,3,1)*10+--MID(A278,4,1)*3+--MID(A278,5,1)*5+--MID(A278,6,1)*9+--MID(A278,7,1)*4+--MID(A278,8,1)*6+--MID(A278,9,1)*8, IF(LEN(TRIM(A278))=12, --MID(A278,1,1)*7+--MID(A278,2,1)*2+--MID(A278,3,1)*4+--MID(A278,4,1)*10+--MID(A278,5,1)*3+--MID(A278,6,1)*5+--MID(A278,7,1)*9+--MID(A278,8,1)*4+--MID(A278,9,1)*6+--MID(A278,10,1)*8, ""))</f>
        <v/>
      </c>
      <c r="I278">
        <f>IF(LEN(TRIM(A278))=12, --MID(A278,1,1)*3+--MID(A278,2,1)*7+--MID(A278,3,1)*2+--MID(A278,4,1)*4+--MID(A278,5,1)*10+--MID(A278,6,1)*3+--MID(A278,7,1)*5+--MID(A278,8,1)*9+--MID(A278,9,1)*4+--MID(A278,10,1)*6+--MID(A278,11,1)*8, "")</f>
        <v/>
      </c>
    </row>
    <row r="279">
      <c r="A279">
        <f>SUBSTITUTE(SUBSTITUTE(SUBSTITUTE(SUBSTITUTE(TRIM(INDEX(Реестр!$B:$B,ROW())),CHAR(160),""),CHAR(9),""),CHAR(10),""),CHAR(13),"")</f>
        <v/>
      </c>
      <c r="B279">
        <f>SUBSTITUTE(SUBSTITUTE(SUBSTITUTE(SUBSTITUTE(SUBSTITUTE(SUBSTITUTE(SUBSTITUTE(TRIM(INDEX(Реестр!$D:$D, ROW())), "-", ""), " ", ""), CHAR(160), ""), CHAR(9), ""), CHAR(10), ""), CHAR(13), ""), CHAR(32), "")</f>
        <v/>
      </c>
      <c r="C279">
        <f>INDEX(Реестр!$H:$H, ROW())</f>
        <v/>
      </c>
      <c r="D279">
        <f>IF(OR(ISBLANK(INDEX(Реестр!$B:$B, ROW())), INDEX(Реестр!$B:$B, ROW())=""), " ", IF(IFERROR(ISNUMBER(--A279),FALSE), IF(LEN(A279)=10, IF(MOD(MOD(H279,11),10)=--RIGHT(A279,1), "OK", "ОШИБКА"), IF(LEN(A279)=12, IF(AND(MOD(MOD(H279,11),10)=--MID(A279,11,1), MOD(MOD(I279,11),10)=--RIGHT(A279,1)), "OK", "ОШИБКА"), "ДЛИНА (10 или 12)")), "НЕ ЦИФРЫ"))</f>
        <v/>
      </c>
      <c r="E279">
        <f>MID(B279,1,1)*9+MID(B279,2,1)*8+MID(B279,3,1)*7+MID(B279,4,1)*6+MID(B279,5,1)*5+MID(B279,6,1)*4+MID(B279,7,1)*3+MID(B279,8,1)*2+MID(B279,9,1)</f>
        <v/>
      </c>
      <c r="F279">
        <f>IF(B279="", " ", IF(LEN(B279)&lt;&gt;11, "ДЛИНА", IF(NOT(ISNUMBER(--B279)), "НЕ ЦИФРЫ", IF(LEFT(B279,9)*1&lt;=1001998, "OK", IF(RIGHT(B279,2)*1=IF(MOD(E279,101)&gt;=100,0,MOD(E279,101)),"OK","ОШИБКА")))))</f>
        <v/>
      </c>
      <c r="G2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79">
        <f>IF(LEN(TRIM(A279))=10, --MID(A279,1,1)*2+--MID(A279,2,1)*4+--MID(A279,3,1)*10+--MID(A279,4,1)*3+--MID(A279,5,1)*5+--MID(A279,6,1)*9+--MID(A279,7,1)*4+--MID(A279,8,1)*6+--MID(A279,9,1)*8, IF(LEN(TRIM(A279))=12, --MID(A279,1,1)*7+--MID(A279,2,1)*2+--MID(A279,3,1)*4+--MID(A279,4,1)*10+--MID(A279,5,1)*3+--MID(A279,6,1)*5+--MID(A279,7,1)*9+--MID(A279,8,1)*4+--MID(A279,9,1)*6+--MID(A279,10,1)*8, ""))</f>
        <v/>
      </c>
      <c r="I279">
        <f>IF(LEN(TRIM(A279))=12, --MID(A279,1,1)*3+--MID(A279,2,1)*7+--MID(A279,3,1)*2+--MID(A279,4,1)*4+--MID(A279,5,1)*10+--MID(A279,6,1)*3+--MID(A279,7,1)*5+--MID(A279,8,1)*9+--MID(A279,9,1)*4+--MID(A279,10,1)*6+--MID(A279,11,1)*8, "")</f>
        <v/>
      </c>
    </row>
    <row r="280">
      <c r="A280">
        <f>SUBSTITUTE(SUBSTITUTE(SUBSTITUTE(SUBSTITUTE(TRIM(INDEX(Реестр!$B:$B,ROW())),CHAR(160),""),CHAR(9),""),CHAR(10),""),CHAR(13),"")</f>
        <v/>
      </c>
      <c r="B280">
        <f>SUBSTITUTE(SUBSTITUTE(SUBSTITUTE(SUBSTITUTE(SUBSTITUTE(SUBSTITUTE(SUBSTITUTE(TRIM(INDEX(Реестр!$D:$D, ROW())), "-", ""), " ", ""), CHAR(160), ""), CHAR(9), ""), CHAR(10), ""), CHAR(13), ""), CHAR(32), "")</f>
        <v/>
      </c>
      <c r="C280">
        <f>INDEX(Реестр!$H:$H, ROW())</f>
        <v/>
      </c>
      <c r="D280">
        <f>IF(OR(ISBLANK(INDEX(Реестр!$B:$B, ROW())), INDEX(Реестр!$B:$B, ROW())=""), " ", IF(IFERROR(ISNUMBER(--A280),FALSE), IF(LEN(A280)=10, IF(MOD(MOD(H280,11),10)=--RIGHT(A280,1), "OK", "ОШИБКА"), IF(LEN(A280)=12, IF(AND(MOD(MOD(H280,11),10)=--MID(A280,11,1), MOD(MOD(I280,11),10)=--RIGHT(A280,1)), "OK", "ОШИБКА"), "ДЛИНА (10 или 12)")), "НЕ ЦИФРЫ"))</f>
        <v/>
      </c>
      <c r="E280">
        <f>MID(B280,1,1)*9+MID(B280,2,1)*8+MID(B280,3,1)*7+MID(B280,4,1)*6+MID(B280,5,1)*5+MID(B280,6,1)*4+MID(B280,7,1)*3+MID(B280,8,1)*2+MID(B280,9,1)</f>
        <v/>
      </c>
      <c r="F280">
        <f>IF(B280="", " ", IF(LEN(B280)&lt;&gt;11, "ДЛИНА", IF(NOT(ISNUMBER(--B280)), "НЕ ЦИФРЫ", IF(LEFT(B280,9)*1&lt;=1001998, "OK", IF(RIGHT(B280,2)*1=IF(MOD(E280,101)&gt;=100,0,MOD(E280,101)),"OK","ОШИБКА")))))</f>
        <v/>
      </c>
      <c r="G2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0">
        <f>IF(LEN(TRIM(A280))=10, --MID(A280,1,1)*2+--MID(A280,2,1)*4+--MID(A280,3,1)*10+--MID(A280,4,1)*3+--MID(A280,5,1)*5+--MID(A280,6,1)*9+--MID(A280,7,1)*4+--MID(A280,8,1)*6+--MID(A280,9,1)*8, IF(LEN(TRIM(A280))=12, --MID(A280,1,1)*7+--MID(A280,2,1)*2+--MID(A280,3,1)*4+--MID(A280,4,1)*10+--MID(A280,5,1)*3+--MID(A280,6,1)*5+--MID(A280,7,1)*9+--MID(A280,8,1)*4+--MID(A280,9,1)*6+--MID(A280,10,1)*8, ""))</f>
        <v/>
      </c>
      <c r="I280">
        <f>IF(LEN(TRIM(A280))=12, --MID(A280,1,1)*3+--MID(A280,2,1)*7+--MID(A280,3,1)*2+--MID(A280,4,1)*4+--MID(A280,5,1)*10+--MID(A280,6,1)*3+--MID(A280,7,1)*5+--MID(A280,8,1)*9+--MID(A280,9,1)*4+--MID(A280,10,1)*6+--MID(A280,11,1)*8, "")</f>
        <v/>
      </c>
    </row>
    <row r="281">
      <c r="A281">
        <f>SUBSTITUTE(SUBSTITUTE(SUBSTITUTE(SUBSTITUTE(TRIM(INDEX(Реестр!$B:$B,ROW())),CHAR(160),""),CHAR(9),""),CHAR(10),""),CHAR(13),"")</f>
        <v/>
      </c>
      <c r="B281">
        <f>SUBSTITUTE(SUBSTITUTE(SUBSTITUTE(SUBSTITUTE(SUBSTITUTE(SUBSTITUTE(SUBSTITUTE(TRIM(INDEX(Реестр!$D:$D, ROW())), "-", ""), " ", ""), CHAR(160), ""), CHAR(9), ""), CHAR(10), ""), CHAR(13), ""), CHAR(32), "")</f>
        <v/>
      </c>
      <c r="C281">
        <f>INDEX(Реестр!$H:$H, ROW())</f>
        <v/>
      </c>
      <c r="D281">
        <f>IF(OR(ISBLANK(INDEX(Реестр!$B:$B, ROW())), INDEX(Реестр!$B:$B, ROW())=""), " ", IF(IFERROR(ISNUMBER(--A281),FALSE), IF(LEN(A281)=10, IF(MOD(MOD(H281,11),10)=--RIGHT(A281,1), "OK", "ОШИБКА"), IF(LEN(A281)=12, IF(AND(MOD(MOD(H281,11),10)=--MID(A281,11,1), MOD(MOD(I281,11),10)=--RIGHT(A281,1)), "OK", "ОШИБКА"), "ДЛИНА (10 или 12)")), "НЕ ЦИФРЫ"))</f>
        <v/>
      </c>
      <c r="E281">
        <f>MID(B281,1,1)*9+MID(B281,2,1)*8+MID(B281,3,1)*7+MID(B281,4,1)*6+MID(B281,5,1)*5+MID(B281,6,1)*4+MID(B281,7,1)*3+MID(B281,8,1)*2+MID(B281,9,1)</f>
        <v/>
      </c>
      <c r="F281">
        <f>IF(B281="", " ", IF(LEN(B281)&lt;&gt;11, "ДЛИНА", IF(NOT(ISNUMBER(--B281)), "НЕ ЦИФРЫ", IF(LEFT(B281,9)*1&lt;=1001998, "OK", IF(RIGHT(B281,2)*1=IF(MOD(E281,101)&gt;=100,0,MOD(E281,101)),"OK","ОШИБКА")))))</f>
        <v/>
      </c>
      <c r="G2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1">
        <f>IF(LEN(TRIM(A281))=10, --MID(A281,1,1)*2+--MID(A281,2,1)*4+--MID(A281,3,1)*10+--MID(A281,4,1)*3+--MID(A281,5,1)*5+--MID(A281,6,1)*9+--MID(A281,7,1)*4+--MID(A281,8,1)*6+--MID(A281,9,1)*8, IF(LEN(TRIM(A281))=12, --MID(A281,1,1)*7+--MID(A281,2,1)*2+--MID(A281,3,1)*4+--MID(A281,4,1)*10+--MID(A281,5,1)*3+--MID(A281,6,1)*5+--MID(A281,7,1)*9+--MID(A281,8,1)*4+--MID(A281,9,1)*6+--MID(A281,10,1)*8, ""))</f>
        <v/>
      </c>
      <c r="I281">
        <f>IF(LEN(TRIM(A281))=12, --MID(A281,1,1)*3+--MID(A281,2,1)*7+--MID(A281,3,1)*2+--MID(A281,4,1)*4+--MID(A281,5,1)*10+--MID(A281,6,1)*3+--MID(A281,7,1)*5+--MID(A281,8,1)*9+--MID(A281,9,1)*4+--MID(A281,10,1)*6+--MID(A281,11,1)*8, "")</f>
        <v/>
      </c>
    </row>
    <row r="282">
      <c r="A282">
        <f>SUBSTITUTE(SUBSTITUTE(SUBSTITUTE(SUBSTITUTE(TRIM(INDEX(Реестр!$B:$B,ROW())),CHAR(160),""),CHAR(9),""),CHAR(10),""),CHAR(13),"")</f>
        <v/>
      </c>
      <c r="B282">
        <f>SUBSTITUTE(SUBSTITUTE(SUBSTITUTE(SUBSTITUTE(SUBSTITUTE(SUBSTITUTE(SUBSTITUTE(TRIM(INDEX(Реестр!$D:$D, ROW())), "-", ""), " ", ""), CHAR(160), ""), CHAR(9), ""), CHAR(10), ""), CHAR(13), ""), CHAR(32), "")</f>
        <v/>
      </c>
      <c r="C282">
        <f>INDEX(Реестр!$H:$H, ROW())</f>
        <v/>
      </c>
      <c r="D282">
        <f>IF(OR(ISBLANK(INDEX(Реестр!$B:$B, ROW())), INDEX(Реестр!$B:$B, ROW())=""), " ", IF(IFERROR(ISNUMBER(--A282),FALSE), IF(LEN(A282)=10, IF(MOD(MOD(H282,11),10)=--RIGHT(A282,1), "OK", "ОШИБКА"), IF(LEN(A282)=12, IF(AND(MOD(MOD(H282,11),10)=--MID(A282,11,1), MOD(MOD(I282,11),10)=--RIGHT(A282,1)), "OK", "ОШИБКА"), "ДЛИНА (10 или 12)")), "НЕ ЦИФРЫ"))</f>
        <v/>
      </c>
      <c r="E282">
        <f>MID(B282,1,1)*9+MID(B282,2,1)*8+MID(B282,3,1)*7+MID(B282,4,1)*6+MID(B282,5,1)*5+MID(B282,6,1)*4+MID(B282,7,1)*3+MID(B282,8,1)*2+MID(B282,9,1)</f>
        <v/>
      </c>
      <c r="F282">
        <f>IF(B282="", " ", IF(LEN(B282)&lt;&gt;11, "ДЛИНА", IF(NOT(ISNUMBER(--B282)), "НЕ ЦИФРЫ", IF(LEFT(B282,9)*1&lt;=1001998, "OK", IF(RIGHT(B282,2)*1=IF(MOD(E282,101)&gt;=100,0,MOD(E282,101)),"OK","ОШИБКА")))))</f>
        <v/>
      </c>
      <c r="G2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2">
        <f>IF(LEN(TRIM(A282))=10, --MID(A282,1,1)*2+--MID(A282,2,1)*4+--MID(A282,3,1)*10+--MID(A282,4,1)*3+--MID(A282,5,1)*5+--MID(A282,6,1)*9+--MID(A282,7,1)*4+--MID(A282,8,1)*6+--MID(A282,9,1)*8, IF(LEN(TRIM(A282))=12, --MID(A282,1,1)*7+--MID(A282,2,1)*2+--MID(A282,3,1)*4+--MID(A282,4,1)*10+--MID(A282,5,1)*3+--MID(A282,6,1)*5+--MID(A282,7,1)*9+--MID(A282,8,1)*4+--MID(A282,9,1)*6+--MID(A282,10,1)*8, ""))</f>
        <v/>
      </c>
      <c r="I282">
        <f>IF(LEN(TRIM(A282))=12, --MID(A282,1,1)*3+--MID(A282,2,1)*7+--MID(A282,3,1)*2+--MID(A282,4,1)*4+--MID(A282,5,1)*10+--MID(A282,6,1)*3+--MID(A282,7,1)*5+--MID(A282,8,1)*9+--MID(A282,9,1)*4+--MID(A282,10,1)*6+--MID(A282,11,1)*8, "")</f>
        <v/>
      </c>
    </row>
    <row r="283">
      <c r="A283">
        <f>SUBSTITUTE(SUBSTITUTE(SUBSTITUTE(SUBSTITUTE(TRIM(INDEX(Реестр!$B:$B,ROW())),CHAR(160),""),CHAR(9),""),CHAR(10),""),CHAR(13),"")</f>
        <v/>
      </c>
      <c r="B283">
        <f>SUBSTITUTE(SUBSTITUTE(SUBSTITUTE(SUBSTITUTE(SUBSTITUTE(SUBSTITUTE(SUBSTITUTE(TRIM(INDEX(Реестр!$D:$D, ROW())), "-", ""), " ", ""), CHAR(160), ""), CHAR(9), ""), CHAR(10), ""), CHAR(13), ""), CHAR(32), "")</f>
        <v/>
      </c>
      <c r="C283">
        <f>INDEX(Реестр!$H:$H, ROW())</f>
        <v/>
      </c>
      <c r="D283">
        <f>IF(OR(ISBLANK(INDEX(Реестр!$B:$B, ROW())), INDEX(Реестр!$B:$B, ROW())=""), " ", IF(IFERROR(ISNUMBER(--A283),FALSE), IF(LEN(A283)=10, IF(MOD(MOD(H283,11),10)=--RIGHT(A283,1), "OK", "ОШИБКА"), IF(LEN(A283)=12, IF(AND(MOD(MOD(H283,11),10)=--MID(A283,11,1), MOD(MOD(I283,11),10)=--RIGHT(A283,1)), "OK", "ОШИБКА"), "ДЛИНА (10 или 12)")), "НЕ ЦИФРЫ"))</f>
        <v/>
      </c>
      <c r="E283">
        <f>MID(B283,1,1)*9+MID(B283,2,1)*8+MID(B283,3,1)*7+MID(B283,4,1)*6+MID(B283,5,1)*5+MID(B283,6,1)*4+MID(B283,7,1)*3+MID(B283,8,1)*2+MID(B283,9,1)</f>
        <v/>
      </c>
      <c r="F283">
        <f>IF(B283="", " ", IF(LEN(B283)&lt;&gt;11, "ДЛИНА", IF(NOT(ISNUMBER(--B283)), "НЕ ЦИФРЫ", IF(LEFT(B283,9)*1&lt;=1001998, "OK", IF(RIGHT(B283,2)*1=IF(MOD(E283,101)&gt;=100,0,MOD(E283,101)),"OK","ОШИБКА")))))</f>
        <v/>
      </c>
      <c r="G2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3">
        <f>IF(LEN(TRIM(A283))=10, --MID(A283,1,1)*2+--MID(A283,2,1)*4+--MID(A283,3,1)*10+--MID(A283,4,1)*3+--MID(A283,5,1)*5+--MID(A283,6,1)*9+--MID(A283,7,1)*4+--MID(A283,8,1)*6+--MID(A283,9,1)*8, IF(LEN(TRIM(A283))=12, --MID(A283,1,1)*7+--MID(A283,2,1)*2+--MID(A283,3,1)*4+--MID(A283,4,1)*10+--MID(A283,5,1)*3+--MID(A283,6,1)*5+--MID(A283,7,1)*9+--MID(A283,8,1)*4+--MID(A283,9,1)*6+--MID(A283,10,1)*8, ""))</f>
        <v/>
      </c>
      <c r="I283">
        <f>IF(LEN(TRIM(A283))=12, --MID(A283,1,1)*3+--MID(A283,2,1)*7+--MID(A283,3,1)*2+--MID(A283,4,1)*4+--MID(A283,5,1)*10+--MID(A283,6,1)*3+--MID(A283,7,1)*5+--MID(A283,8,1)*9+--MID(A283,9,1)*4+--MID(A283,10,1)*6+--MID(A283,11,1)*8, "")</f>
        <v/>
      </c>
    </row>
    <row r="284">
      <c r="A284">
        <f>SUBSTITUTE(SUBSTITUTE(SUBSTITUTE(SUBSTITUTE(TRIM(INDEX(Реестр!$B:$B,ROW())),CHAR(160),""),CHAR(9),""),CHAR(10),""),CHAR(13),"")</f>
        <v/>
      </c>
      <c r="B284">
        <f>SUBSTITUTE(SUBSTITUTE(SUBSTITUTE(SUBSTITUTE(SUBSTITUTE(SUBSTITUTE(SUBSTITUTE(TRIM(INDEX(Реестр!$D:$D, ROW())), "-", ""), " ", ""), CHAR(160), ""), CHAR(9), ""), CHAR(10), ""), CHAR(13), ""), CHAR(32), "")</f>
        <v/>
      </c>
      <c r="C284">
        <f>INDEX(Реестр!$H:$H, ROW())</f>
        <v/>
      </c>
      <c r="D284">
        <f>IF(OR(ISBLANK(INDEX(Реестр!$B:$B, ROW())), INDEX(Реестр!$B:$B, ROW())=""), " ", IF(IFERROR(ISNUMBER(--A284),FALSE), IF(LEN(A284)=10, IF(MOD(MOD(H284,11),10)=--RIGHT(A284,1), "OK", "ОШИБКА"), IF(LEN(A284)=12, IF(AND(MOD(MOD(H284,11),10)=--MID(A284,11,1), MOD(MOD(I284,11),10)=--RIGHT(A284,1)), "OK", "ОШИБКА"), "ДЛИНА (10 или 12)")), "НЕ ЦИФРЫ"))</f>
        <v/>
      </c>
      <c r="E284">
        <f>MID(B284,1,1)*9+MID(B284,2,1)*8+MID(B284,3,1)*7+MID(B284,4,1)*6+MID(B284,5,1)*5+MID(B284,6,1)*4+MID(B284,7,1)*3+MID(B284,8,1)*2+MID(B284,9,1)</f>
        <v/>
      </c>
      <c r="F284">
        <f>IF(B284="", " ", IF(LEN(B284)&lt;&gt;11, "ДЛИНА", IF(NOT(ISNUMBER(--B284)), "НЕ ЦИФРЫ", IF(LEFT(B284,9)*1&lt;=1001998, "OK", IF(RIGHT(B284,2)*1=IF(MOD(E284,101)&gt;=100,0,MOD(E284,101)),"OK","ОШИБКА")))))</f>
        <v/>
      </c>
      <c r="G2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4">
        <f>IF(LEN(TRIM(A284))=10, --MID(A284,1,1)*2+--MID(A284,2,1)*4+--MID(A284,3,1)*10+--MID(A284,4,1)*3+--MID(A284,5,1)*5+--MID(A284,6,1)*9+--MID(A284,7,1)*4+--MID(A284,8,1)*6+--MID(A284,9,1)*8, IF(LEN(TRIM(A284))=12, --MID(A284,1,1)*7+--MID(A284,2,1)*2+--MID(A284,3,1)*4+--MID(A284,4,1)*10+--MID(A284,5,1)*3+--MID(A284,6,1)*5+--MID(A284,7,1)*9+--MID(A284,8,1)*4+--MID(A284,9,1)*6+--MID(A284,10,1)*8, ""))</f>
        <v/>
      </c>
      <c r="I284">
        <f>IF(LEN(TRIM(A284))=12, --MID(A284,1,1)*3+--MID(A284,2,1)*7+--MID(A284,3,1)*2+--MID(A284,4,1)*4+--MID(A284,5,1)*10+--MID(A284,6,1)*3+--MID(A284,7,1)*5+--MID(A284,8,1)*9+--MID(A284,9,1)*4+--MID(A284,10,1)*6+--MID(A284,11,1)*8, "")</f>
        <v/>
      </c>
    </row>
    <row r="285">
      <c r="A285">
        <f>SUBSTITUTE(SUBSTITUTE(SUBSTITUTE(SUBSTITUTE(TRIM(INDEX(Реестр!$B:$B,ROW())),CHAR(160),""),CHAR(9),""),CHAR(10),""),CHAR(13),"")</f>
        <v/>
      </c>
      <c r="B285">
        <f>SUBSTITUTE(SUBSTITUTE(SUBSTITUTE(SUBSTITUTE(SUBSTITUTE(SUBSTITUTE(SUBSTITUTE(TRIM(INDEX(Реестр!$D:$D, ROW())), "-", ""), " ", ""), CHAR(160), ""), CHAR(9), ""), CHAR(10), ""), CHAR(13), ""), CHAR(32), "")</f>
        <v/>
      </c>
      <c r="C285">
        <f>INDEX(Реестр!$H:$H, ROW())</f>
        <v/>
      </c>
      <c r="D285">
        <f>IF(OR(ISBLANK(INDEX(Реестр!$B:$B, ROW())), INDEX(Реестр!$B:$B, ROW())=""), " ", IF(IFERROR(ISNUMBER(--A285),FALSE), IF(LEN(A285)=10, IF(MOD(MOD(H285,11),10)=--RIGHT(A285,1), "OK", "ОШИБКА"), IF(LEN(A285)=12, IF(AND(MOD(MOD(H285,11),10)=--MID(A285,11,1), MOD(MOD(I285,11),10)=--RIGHT(A285,1)), "OK", "ОШИБКА"), "ДЛИНА (10 или 12)")), "НЕ ЦИФРЫ"))</f>
        <v/>
      </c>
      <c r="E285">
        <f>MID(B285,1,1)*9+MID(B285,2,1)*8+MID(B285,3,1)*7+MID(B285,4,1)*6+MID(B285,5,1)*5+MID(B285,6,1)*4+MID(B285,7,1)*3+MID(B285,8,1)*2+MID(B285,9,1)</f>
        <v/>
      </c>
      <c r="F285">
        <f>IF(B285="", " ", IF(LEN(B285)&lt;&gt;11, "ДЛИНА", IF(NOT(ISNUMBER(--B285)), "НЕ ЦИФРЫ", IF(LEFT(B285,9)*1&lt;=1001998, "OK", IF(RIGHT(B285,2)*1=IF(MOD(E285,101)&gt;=100,0,MOD(E285,101)),"OK","ОШИБКА")))))</f>
        <v/>
      </c>
      <c r="G2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5">
        <f>IF(LEN(TRIM(A285))=10, --MID(A285,1,1)*2+--MID(A285,2,1)*4+--MID(A285,3,1)*10+--MID(A285,4,1)*3+--MID(A285,5,1)*5+--MID(A285,6,1)*9+--MID(A285,7,1)*4+--MID(A285,8,1)*6+--MID(A285,9,1)*8, IF(LEN(TRIM(A285))=12, --MID(A285,1,1)*7+--MID(A285,2,1)*2+--MID(A285,3,1)*4+--MID(A285,4,1)*10+--MID(A285,5,1)*3+--MID(A285,6,1)*5+--MID(A285,7,1)*9+--MID(A285,8,1)*4+--MID(A285,9,1)*6+--MID(A285,10,1)*8, ""))</f>
        <v/>
      </c>
      <c r="I285">
        <f>IF(LEN(TRIM(A285))=12, --MID(A285,1,1)*3+--MID(A285,2,1)*7+--MID(A285,3,1)*2+--MID(A285,4,1)*4+--MID(A285,5,1)*10+--MID(A285,6,1)*3+--MID(A285,7,1)*5+--MID(A285,8,1)*9+--MID(A285,9,1)*4+--MID(A285,10,1)*6+--MID(A285,11,1)*8, "")</f>
        <v/>
      </c>
    </row>
    <row r="286">
      <c r="A286">
        <f>SUBSTITUTE(SUBSTITUTE(SUBSTITUTE(SUBSTITUTE(TRIM(INDEX(Реестр!$B:$B,ROW())),CHAR(160),""),CHAR(9),""),CHAR(10),""),CHAR(13),"")</f>
        <v/>
      </c>
      <c r="B286">
        <f>SUBSTITUTE(SUBSTITUTE(SUBSTITUTE(SUBSTITUTE(SUBSTITUTE(SUBSTITUTE(SUBSTITUTE(TRIM(INDEX(Реестр!$D:$D, ROW())), "-", ""), " ", ""), CHAR(160), ""), CHAR(9), ""), CHAR(10), ""), CHAR(13), ""), CHAR(32), "")</f>
        <v/>
      </c>
      <c r="C286">
        <f>INDEX(Реестр!$H:$H, ROW())</f>
        <v/>
      </c>
      <c r="D286">
        <f>IF(OR(ISBLANK(INDEX(Реестр!$B:$B, ROW())), INDEX(Реестр!$B:$B, ROW())=""), " ", IF(IFERROR(ISNUMBER(--A286),FALSE), IF(LEN(A286)=10, IF(MOD(MOD(H286,11),10)=--RIGHT(A286,1), "OK", "ОШИБКА"), IF(LEN(A286)=12, IF(AND(MOD(MOD(H286,11),10)=--MID(A286,11,1), MOD(MOD(I286,11),10)=--RIGHT(A286,1)), "OK", "ОШИБКА"), "ДЛИНА (10 или 12)")), "НЕ ЦИФРЫ"))</f>
        <v/>
      </c>
      <c r="E286">
        <f>MID(B286,1,1)*9+MID(B286,2,1)*8+MID(B286,3,1)*7+MID(B286,4,1)*6+MID(B286,5,1)*5+MID(B286,6,1)*4+MID(B286,7,1)*3+MID(B286,8,1)*2+MID(B286,9,1)</f>
        <v/>
      </c>
      <c r="F286">
        <f>IF(B286="", " ", IF(LEN(B286)&lt;&gt;11, "ДЛИНА", IF(NOT(ISNUMBER(--B286)), "НЕ ЦИФРЫ", IF(LEFT(B286,9)*1&lt;=1001998, "OK", IF(RIGHT(B286,2)*1=IF(MOD(E286,101)&gt;=100,0,MOD(E286,101)),"OK","ОШИБКА")))))</f>
        <v/>
      </c>
      <c r="G2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6">
        <f>IF(LEN(TRIM(A286))=10, --MID(A286,1,1)*2+--MID(A286,2,1)*4+--MID(A286,3,1)*10+--MID(A286,4,1)*3+--MID(A286,5,1)*5+--MID(A286,6,1)*9+--MID(A286,7,1)*4+--MID(A286,8,1)*6+--MID(A286,9,1)*8, IF(LEN(TRIM(A286))=12, --MID(A286,1,1)*7+--MID(A286,2,1)*2+--MID(A286,3,1)*4+--MID(A286,4,1)*10+--MID(A286,5,1)*3+--MID(A286,6,1)*5+--MID(A286,7,1)*9+--MID(A286,8,1)*4+--MID(A286,9,1)*6+--MID(A286,10,1)*8, ""))</f>
        <v/>
      </c>
      <c r="I286">
        <f>IF(LEN(TRIM(A286))=12, --MID(A286,1,1)*3+--MID(A286,2,1)*7+--MID(A286,3,1)*2+--MID(A286,4,1)*4+--MID(A286,5,1)*10+--MID(A286,6,1)*3+--MID(A286,7,1)*5+--MID(A286,8,1)*9+--MID(A286,9,1)*4+--MID(A286,10,1)*6+--MID(A286,11,1)*8, "")</f>
        <v/>
      </c>
    </row>
    <row r="287">
      <c r="A287">
        <f>SUBSTITUTE(SUBSTITUTE(SUBSTITUTE(SUBSTITUTE(TRIM(INDEX(Реестр!$B:$B,ROW())),CHAR(160),""),CHAR(9),""),CHAR(10),""),CHAR(13),"")</f>
        <v/>
      </c>
      <c r="B287">
        <f>SUBSTITUTE(SUBSTITUTE(SUBSTITUTE(SUBSTITUTE(SUBSTITUTE(SUBSTITUTE(SUBSTITUTE(TRIM(INDEX(Реестр!$D:$D, ROW())), "-", ""), " ", ""), CHAR(160), ""), CHAR(9), ""), CHAR(10), ""), CHAR(13), ""), CHAR(32), "")</f>
        <v/>
      </c>
      <c r="C287">
        <f>INDEX(Реестр!$H:$H, ROW())</f>
        <v/>
      </c>
      <c r="D287">
        <f>IF(OR(ISBLANK(INDEX(Реестр!$B:$B, ROW())), INDEX(Реестр!$B:$B, ROW())=""), " ", IF(IFERROR(ISNUMBER(--A287),FALSE), IF(LEN(A287)=10, IF(MOD(MOD(H287,11),10)=--RIGHT(A287,1), "OK", "ОШИБКА"), IF(LEN(A287)=12, IF(AND(MOD(MOD(H287,11),10)=--MID(A287,11,1), MOD(MOD(I287,11),10)=--RIGHT(A287,1)), "OK", "ОШИБКА"), "ДЛИНА (10 или 12)")), "НЕ ЦИФРЫ"))</f>
        <v/>
      </c>
      <c r="E287">
        <f>MID(B287,1,1)*9+MID(B287,2,1)*8+MID(B287,3,1)*7+MID(B287,4,1)*6+MID(B287,5,1)*5+MID(B287,6,1)*4+MID(B287,7,1)*3+MID(B287,8,1)*2+MID(B287,9,1)</f>
        <v/>
      </c>
      <c r="F287">
        <f>IF(B287="", " ", IF(LEN(B287)&lt;&gt;11, "ДЛИНА", IF(NOT(ISNUMBER(--B287)), "НЕ ЦИФРЫ", IF(LEFT(B287,9)*1&lt;=1001998, "OK", IF(RIGHT(B287,2)*1=IF(MOD(E287,101)&gt;=100,0,MOD(E287,101)),"OK","ОШИБКА")))))</f>
        <v/>
      </c>
      <c r="G2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7">
        <f>IF(LEN(TRIM(A287))=10, --MID(A287,1,1)*2+--MID(A287,2,1)*4+--MID(A287,3,1)*10+--MID(A287,4,1)*3+--MID(A287,5,1)*5+--MID(A287,6,1)*9+--MID(A287,7,1)*4+--MID(A287,8,1)*6+--MID(A287,9,1)*8, IF(LEN(TRIM(A287))=12, --MID(A287,1,1)*7+--MID(A287,2,1)*2+--MID(A287,3,1)*4+--MID(A287,4,1)*10+--MID(A287,5,1)*3+--MID(A287,6,1)*5+--MID(A287,7,1)*9+--MID(A287,8,1)*4+--MID(A287,9,1)*6+--MID(A287,10,1)*8, ""))</f>
        <v/>
      </c>
      <c r="I287">
        <f>IF(LEN(TRIM(A287))=12, --MID(A287,1,1)*3+--MID(A287,2,1)*7+--MID(A287,3,1)*2+--MID(A287,4,1)*4+--MID(A287,5,1)*10+--MID(A287,6,1)*3+--MID(A287,7,1)*5+--MID(A287,8,1)*9+--MID(A287,9,1)*4+--MID(A287,10,1)*6+--MID(A287,11,1)*8, "")</f>
        <v/>
      </c>
    </row>
    <row r="288">
      <c r="A288">
        <f>SUBSTITUTE(SUBSTITUTE(SUBSTITUTE(SUBSTITUTE(TRIM(INDEX(Реестр!$B:$B,ROW())),CHAR(160),""),CHAR(9),""),CHAR(10),""),CHAR(13),"")</f>
        <v/>
      </c>
      <c r="B288">
        <f>SUBSTITUTE(SUBSTITUTE(SUBSTITUTE(SUBSTITUTE(SUBSTITUTE(SUBSTITUTE(SUBSTITUTE(TRIM(INDEX(Реестр!$D:$D, ROW())), "-", ""), " ", ""), CHAR(160), ""), CHAR(9), ""), CHAR(10), ""), CHAR(13), ""), CHAR(32), "")</f>
        <v/>
      </c>
      <c r="C288">
        <f>INDEX(Реестр!$H:$H, ROW())</f>
        <v/>
      </c>
      <c r="D288">
        <f>IF(OR(ISBLANK(INDEX(Реестр!$B:$B, ROW())), INDEX(Реестр!$B:$B, ROW())=""), " ", IF(IFERROR(ISNUMBER(--A288),FALSE), IF(LEN(A288)=10, IF(MOD(MOD(H288,11),10)=--RIGHT(A288,1), "OK", "ОШИБКА"), IF(LEN(A288)=12, IF(AND(MOD(MOD(H288,11),10)=--MID(A288,11,1), MOD(MOD(I288,11),10)=--RIGHT(A288,1)), "OK", "ОШИБКА"), "ДЛИНА (10 или 12)")), "НЕ ЦИФРЫ"))</f>
        <v/>
      </c>
      <c r="E288">
        <f>MID(B288,1,1)*9+MID(B288,2,1)*8+MID(B288,3,1)*7+MID(B288,4,1)*6+MID(B288,5,1)*5+MID(B288,6,1)*4+MID(B288,7,1)*3+MID(B288,8,1)*2+MID(B288,9,1)</f>
        <v/>
      </c>
      <c r="F288">
        <f>IF(B288="", " ", IF(LEN(B288)&lt;&gt;11, "ДЛИНА", IF(NOT(ISNUMBER(--B288)), "НЕ ЦИФРЫ", IF(LEFT(B288,9)*1&lt;=1001998, "OK", IF(RIGHT(B288,2)*1=IF(MOD(E288,101)&gt;=100,0,MOD(E288,101)),"OK","ОШИБКА")))))</f>
        <v/>
      </c>
      <c r="G2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8">
        <f>IF(LEN(TRIM(A288))=10, --MID(A288,1,1)*2+--MID(A288,2,1)*4+--MID(A288,3,1)*10+--MID(A288,4,1)*3+--MID(A288,5,1)*5+--MID(A288,6,1)*9+--MID(A288,7,1)*4+--MID(A288,8,1)*6+--MID(A288,9,1)*8, IF(LEN(TRIM(A288))=12, --MID(A288,1,1)*7+--MID(A288,2,1)*2+--MID(A288,3,1)*4+--MID(A288,4,1)*10+--MID(A288,5,1)*3+--MID(A288,6,1)*5+--MID(A288,7,1)*9+--MID(A288,8,1)*4+--MID(A288,9,1)*6+--MID(A288,10,1)*8, ""))</f>
        <v/>
      </c>
      <c r="I288">
        <f>IF(LEN(TRIM(A288))=12, --MID(A288,1,1)*3+--MID(A288,2,1)*7+--MID(A288,3,1)*2+--MID(A288,4,1)*4+--MID(A288,5,1)*10+--MID(A288,6,1)*3+--MID(A288,7,1)*5+--MID(A288,8,1)*9+--MID(A288,9,1)*4+--MID(A288,10,1)*6+--MID(A288,11,1)*8, "")</f>
        <v/>
      </c>
    </row>
    <row r="289">
      <c r="A289">
        <f>SUBSTITUTE(SUBSTITUTE(SUBSTITUTE(SUBSTITUTE(TRIM(INDEX(Реестр!$B:$B,ROW())),CHAR(160),""),CHAR(9),""),CHAR(10),""),CHAR(13),"")</f>
        <v/>
      </c>
      <c r="B289">
        <f>SUBSTITUTE(SUBSTITUTE(SUBSTITUTE(SUBSTITUTE(SUBSTITUTE(SUBSTITUTE(SUBSTITUTE(TRIM(INDEX(Реестр!$D:$D, ROW())), "-", ""), " ", ""), CHAR(160), ""), CHAR(9), ""), CHAR(10), ""), CHAR(13), ""), CHAR(32), "")</f>
        <v/>
      </c>
      <c r="C289">
        <f>INDEX(Реестр!$H:$H, ROW())</f>
        <v/>
      </c>
      <c r="D289">
        <f>IF(OR(ISBLANK(INDEX(Реестр!$B:$B, ROW())), INDEX(Реестр!$B:$B, ROW())=""), " ", IF(IFERROR(ISNUMBER(--A289),FALSE), IF(LEN(A289)=10, IF(MOD(MOD(H289,11),10)=--RIGHT(A289,1), "OK", "ОШИБКА"), IF(LEN(A289)=12, IF(AND(MOD(MOD(H289,11),10)=--MID(A289,11,1), MOD(MOD(I289,11),10)=--RIGHT(A289,1)), "OK", "ОШИБКА"), "ДЛИНА (10 или 12)")), "НЕ ЦИФРЫ"))</f>
        <v/>
      </c>
      <c r="E289">
        <f>MID(B289,1,1)*9+MID(B289,2,1)*8+MID(B289,3,1)*7+MID(B289,4,1)*6+MID(B289,5,1)*5+MID(B289,6,1)*4+MID(B289,7,1)*3+MID(B289,8,1)*2+MID(B289,9,1)</f>
        <v/>
      </c>
      <c r="F289">
        <f>IF(B289="", " ", IF(LEN(B289)&lt;&gt;11, "ДЛИНА", IF(NOT(ISNUMBER(--B289)), "НЕ ЦИФРЫ", IF(LEFT(B289,9)*1&lt;=1001998, "OK", IF(RIGHT(B289,2)*1=IF(MOD(E289,101)&gt;=100,0,MOD(E289,101)),"OK","ОШИБКА")))))</f>
        <v/>
      </c>
      <c r="G2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89">
        <f>IF(LEN(TRIM(A289))=10, --MID(A289,1,1)*2+--MID(A289,2,1)*4+--MID(A289,3,1)*10+--MID(A289,4,1)*3+--MID(A289,5,1)*5+--MID(A289,6,1)*9+--MID(A289,7,1)*4+--MID(A289,8,1)*6+--MID(A289,9,1)*8, IF(LEN(TRIM(A289))=12, --MID(A289,1,1)*7+--MID(A289,2,1)*2+--MID(A289,3,1)*4+--MID(A289,4,1)*10+--MID(A289,5,1)*3+--MID(A289,6,1)*5+--MID(A289,7,1)*9+--MID(A289,8,1)*4+--MID(A289,9,1)*6+--MID(A289,10,1)*8, ""))</f>
        <v/>
      </c>
      <c r="I289">
        <f>IF(LEN(TRIM(A289))=12, --MID(A289,1,1)*3+--MID(A289,2,1)*7+--MID(A289,3,1)*2+--MID(A289,4,1)*4+--MID(A289,5,1)*10+--MID(A289,6,1)*3+--MID(A289,7,1)*5+--MID(A289,8,1)*9+--MID(A289,9,1)*4+--MID(A289,10,1)*6+--MID(A289,11,1)*8, "")</f>
        <v/>
      </c>
    </row>
    <row r="290">
      <c r="A290">
        <f>SUBSTITUTE(SUBSTITUTE(SUBSTITUTE(SUBSTITUTE(TRIM(INDEX(Реестр!$B:$B,ROW())),CHAR(160),""),CHAR(9),""),CHAR(10),""),CHAR(13),"")</f>
        <v/>
      </c>
      <c r="B290">
        <f>SUBSTITUTE(SUBSTITUTE(SUBSTITUTE(SUBSTITUTE(SUBSTITUTE(SUBSTITUTE(SUBSTITUTE(TRIM(INDEX(Реестр!$D:$D, ROW())), "-", ""), " ", ""), CHAR(160), ""), CHAR(9), ""), CHAR(10), ""), CHAR(13), ""), CHAR(32), "")</f>
        <v/>
      </c>
      <c r="C290">
        <f>INDEX(Реестр!$H:$H, ROW())</f>
        <v/>
      </c>
      <c r="D290">
        <f>IF(OR(ISBLANK(INDEX(Реестр!$B:$B, ROW())), INDEX(Реестр!$B:$B, ROW())=""), " ", IF(IFERROR(ISNUMBER(--A290),FALSE), IF(LEN(A290)=10, IF(MOD(MOD(H290,11),10)=--RIGHT(A290,1), "OK", "ОШИБКА"), IF(LEN(A290)=12, IF(AND(MOD(MOD(H290,11),10)=--MID(A290,11,1), MOD(MOD(I290,11),10)=--RIGHT(A290,1)), "OK", "ОШИБКА"), "ДЛИНА (10 или 12)")), "НЕ ЦИФРЫ"))</f>
        <v/>
      </c>
      <c r="E290">
        <f>MID(B290,1,1)*9+MID(B290,2,1)*8+MID(B290,3,1)*7+MID(B290,4,1)*6+MID(B290,5,1)*5+MID(B290,6,1)*4+MID(B290,7,1)*3+MID(B290,8,1)*2+MID(B290,9,1)</f>
        <v/>
      </c>
      <c r="F290">
        <f>IF(B290="", " ", IF(LEN(B290)&lt;&gt;11, "ДЛИНА", IF(NOT(ISNUMBER(--B290)), "НЕ ЦИФРЫ", IF(LEFT(B290,9)*1&lt;=1001998, "OK", IF(RIGHT(B290,2)*1=IF(MOD(E290,101)&gt;=100,0,MOD(E290,101)),"OK","ОШИБКА")))))</f>
        <v/>
      </c>
      <c r="G2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0">
        <f>IF(LEN(TRIM(A290))=10, --MID(A290,1,1)*2+--MID(A290,2,1)*4+--MID(A290,3,1)*10+--MID(A290,4,1)*3+--MID(A290,5,1)*5+--MID(A290,6,1)*9+--MID(A290,7,1)*4+--MID(A290,8,1)*6+--MID(A290,9,1)*8, IF(LEN(TRIM(A290))=12, --MID(A290,1,1)*7+--MID(A290,2,1)*2+--MID(A290,3,1)*4+--MID(A290,4,1)*10+--MID(A290,5,1)*3+--MID(A290,6,1)*5+--MID(A290,7,1)*9+--MID(A290,8,1)*4+--MID(A290,9,1)*6+--MID(A290,10,1)*8, ""))</f>
        <v/>
      </c>
      <c r="I290">
        <f>IF(LEN(TRIM(A290))=12, --MID(A290,1,1)*3+--MID(A290,2,1)*7+--MID(A290,3,1)*2+--MID(A290,4,1)*4+--MID(A290,5,1)*10+--MID(A290,6,1)*3+--MID(A290,7,1)*5+--MID(A290,8,1)*9+--MID(A290,9,1)*4+--MID(A290,10,1)*6+--MID(A290,11,1)*8, "")</f>
        <v/>
      </c>
    </row>
    <row r="291">
      <c r="A291">
        <f>SUBSTITUTE(SUBSTITUTE(SUBSTITUTE(SUBSTITUTE(TRIM(INDEX(Реестр!$B:$B,ROW())),CHAR(160),""),CHAR(9),""),CHAR(10),""),CHAR(13),"")</f>
        <v/>
      </c>
      <c r="B291">
        <f>SUBSTITUTE(SUBSTITUTE(SUBSTITUTE(SUBSTITUTE(SUBSTITUTE(SUBSTITUTE(SUBSTITUTE(TRIM(INDEX(Реестр!$D:$D, ROW())), "-", ""), " ", ""), CHAR(160), ""), CHAR(9), ""), CHAR(10), ""), CHAR(13), ""), CHAR(32), "")</f>
        <v/>
      </c>
      <c r="C291">
        <f>INDEX(Реестр!$H:$H, ROW())</f>
        <v/>
      </c>
      <c r="D291">
        <f>IF(OR(ISBLANK(INDEX(Реестр!$B:$B, ROW())), INDEX(Реестр!$B:$B, ROW())=""), " ", IF(IFERROR(ISNUMBER(--A291),FALSE), IF(LEN(A291)=10, IF(MOD(MOD(H291,11),10)=--RIGHT(A291,1), "OK", "ОШИБКА"), IF(LEN(A291)=12, IF(AND(MOD(MOD(H291,11),10)=--MID(A291,11,1), MOD(MOD(I291,11),10)=--RIGHT(A291,1)), "OK", "ОШИБКА"), "ДЛИНА (10 или 12)")), "НЕ ЦИФРЫ"))</f>
        <v/>
      </c>
      <c r="E291">
        <f>MID(B291,1,1)*9+MID(B291,2,1)*8+MID(B291,3,1)*7+MID(B291,4,1)*6+MID(B291,5,1)*5+MID(B291,6,1)*4+MID(B291,7,1)*3+MID(B291,8,1)*2+MID(B291,9,1)</f>
        <v/>
      </c>
      <c r="F291">
        <f>IF(B291="", " ", IF(LEN(B291)&lt;&gt;11, "ДЛИНА", IF(NOT(ISNUMBER(--B291)), "НЕ ЦИФРЫ", IF(LEFT(B291,9)*1&lt;=1001998, "OK", IF(RIGHT(B291,2)*1=IF(MOD(E291,101)&gt;=100,0,MOD(E291,101)),"OK","ОШИБКА")))))</f>
        <v/>
      </c>
      <c r="G2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1">
        <f>IF(LEN(TRIM(A291))=10, --MID(A291,1,1)*2+--MID(A291,2,1)*4+--MID(A291,3,1)*10+--MID(A291,4,1)*3+--MID(A291,5,1)*5+--MID(A291,6,1)*9+--MID(A291,7,1)*4+--MID(A291,8,1)*6+--MID(A291,9,1)*8, IF(LEN(TRIM(A291))=12, --MID(A291,1,1)*7+--MID(A291,2,1)*2+--MID(A291,3,1)*4+--MID(A291,4,1)*10+--MID(A291,5,1)*3+--MID(A291,6,1)*5+--MID(A291,7,1)*9+--MID(A291,8,1)*4+--MID(A291,9,1)*6+--MID(A291,10,1)*8, ""))</f>
        <v/>
      </c>
      <c r="I291">
        <f>IF(LEN(TRIM(A291))=12, --MID(A291,1,1)*3+--MID(A291,2,1)*7+--MID(A291,3,1)*2+--MID(A291,4,1)*4+--MID(A291,5,1)*10+--MID(A291,6,1)*3+--MID(A291,7,1)*5+--MID(A291,8,1)*9+--MID(A291,9,1)*4+--MID(A291,10,1)*6+--MID(A291,11,1)*8, "")</f>
        <v/>
      </c>
    </row>
    <row r="292">
      <c r="A292">
        <f>SUBSTITUTE(SUBSTITUTE(SUBSTITUTE(SUBSTITUTE(TRIM(INDEX(Реестр!$B:$B,ROW())),CHAR(160),""),CHAR(9),""),CHAR(10),""),CHAR(13),"")</f>
        <v/>
      </c>
      <c r="B292">
        <f>SUBSTITUTE(SUBSTITUTE(SUBSTITUTE(SUBSTITUTE(SUBSTITUTE(SUBSTITUTE(SUBSTITUTE(TRIM(INDEX(Реестр!$D:$D, ROW())), "-", ""), " ", ""), CHAR(160), ""), CHAR(9), ""), CHAR(10), ""), CHAR(13), ""), CHAR(32), "")</f>
        <v/>
      </c>
      <c r="C292">
        <f>INDEX(Реестр!$H:$H, ROW())</f>
        <v/>
      </c>
      <c r="D292">
        <f>IF(OR(ISBLANK(INDEX(Реестр!$B:$B, ROW())), INDEX(Реестр!$B:$B, ROW())=""), " ", IF(IFERROR(ISNUMBER(--A292),FALSE), IF(LEN(A292)=10, IF(MOD(MOD(H292,11),10)=--RIGHT(A292,1), "OK", "ОШИБКА"), IF(LEN(A292)=12, IF(AND(MOD(MOD(H292,11),10)=--MID(A292,11,1), MOD(MOD(I292,11),10)=--RIGHT(A292,1)), "OK", "ОШИБКА"), "ДЛИНА (10 или 12)")), "НЕ ЦИФРЫ"))</f>
        <v/>
      </c>
      <c r="E292">
        <f>MID(B292,1,1)*9+MID(B292,2,1)*8+MID(B292,3,1)*7+MID(B292,4,1)*6+MID(B292,5,1)*5+MID(B292,6,1)*4+MID(B292,7,1)*3+MID(B292,8,1)*2+MID(B292,9,1)</f>
        <v/>
      </c>
      <c r="F292">
        <f>IF(B292="", " ", IF(LEN(B292)&lt;&gt;11, "ДЛИНА", IF(NOT(ISNUMBER(--B292)), "НЕ ЦИФРЫ", IF(LEFT(B292,9)*1&lt;=1001998, "OK", IF(RIGHT(B292,2)*1=IF(MOD(E292,101)&gt;=100,0,MOD(E292,101)),"OK","ОШИБКА")))))</f>
        <v/>
      </c>
      <c r="G2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2">
        <f>IF(LEN(TRIM(A292))=10, --MID(A292,1,1)*2+--MID(A292,2,1)*4+--MID(A292,3,1)*10+--MID(A292,4,1)*3+--MID(A292,5,1)*5+--MID(A292,6,1)*9+--MID(A292,7,1)*4+--MID(A292,8,1)*6+--MID(A292,9,1)*8, IF(LEN(TRIM(A292))=12, --MID(A292,1,1)*7+--MID(A292,2,1)*2+--MID(A292,3,1)*4+--MID(A292,4,1)*10+--MID(A292,5,1)*3+--MID(A292,6,1)*5+--MID(A292,7,1)*9+--MID(A292,8,1)*4+--MID(A292,9,1)*6+--MID(A292,10,1)*8, ""))</f>
        <v/>
      </c>
      <c r="I292">
        <f>IF(LEN(TRIM(A292))=12, --MID(A292,1,1)*3+--MID(A292,2,1)*7+--MID(A292,3,1)*2+--MID(A292,4,1)*4+--MID(A292,5,1)*10+--MID(A292,6,1)*3+--MID(A292,7,1)*5+--MID(A292,8,1)*9+--MID(A292,9,1)*4+--MID(A292,10,1)*6+--MID(A292,11,1)*8, "")</f>
        <v/>
      </c>
    </row>
    <row r="293">
      <c r="A293">
        <f>SUBSTITUTE(SUBSTITUTE(SUBSTITUTE(SUBSTITUTE(TRIM(INDEX(Реестр!$B:$B,ROW())),CHAR(160),""),CHAR(9),""),CHAR(10),""),CHAR(13),"")</f>
        <v/>
      </c>
      <c r="B293">
        <f>SUBSTITUTE(SUBSTITUTE(SUBSTITUTE(SUBSTITUTE(SUBSTITUTE(SUBSTITUTE(SUBSTITUTE(TRIM(INDEX(Реестр!$D:$D, ROW())), "-", ""), " ", ""), CHAR(160), ""), CHAR(9), ""), CHAR(10), ""), CHAR(13), ""), CHAR(32), "")</f>
        <v/>
      </c>
      <c r="C293">
        <f>INDEX(Реестр!$H:$H, ROW())</f>
        <v/>
      </c>
      <c r="D293">
        <f>IF(OR(ISBLANK(INDEX(Реестр!$B:$B, ROW())), INDEX(Реестр!$B:$B, ROW())=""), " ", IF(IFERROR(ISNUMBER(--A293),FALSE), IF(LEN(A293)=10, IF(MOD(MOD(H293,11),10)=--RIGHT(A293,1), "OK", "ОШИБКА"), IF(LEN(A293)=12, IF(AND(MOD(MOD(H293,11),10)=--MID(A293,11,1), MOD(MOD(I293,11),10)=--RIGHT(A293,1)), "OK", "ОШИБКА"), "ДЛИНА (10 или 12)")), "НЕ ЦИФРЫ"))</f>
        <v/>
      </c>
      <c r="E293">
        <f>MID(B293,1,1)*9+MID(B293,2,1)*8+MID(B293,3,1)*7+MID(B293,4,1)*6+MID(B293,5,1)*5+MID(B293,6,1)*4+MID(B293,7,1)*3+MID(B293,8,1)*2+MID(B293,9,1)</f>
        <v/>
      </c>
      <c r="F293">
        <f>IF(B293="", " ", IF(LEN(B293)&lt;&gt;11, "ДЛИНА", IF(NOT(ISNUMBER(--B293)), "НЕ ЦИФРЫ", IF(LEFT(B293,9)*1&lt;=1001998, "OK", IF(RIGHT(B293,2)*1=IF(MOD(E293,101)&gt;=100,0,MOD(E293,101)),"OK","ОШИБКА")))))</f>
        <v/>
      </c>
      <c r="G2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3">
        <f>IF(LEN(TRIM(A293))=10, --MID(A293,1,1)*2+--MID(A293,2,1)*4+--MID(A293,3,1)*10+--MID(A293,4,1)*3+--MID(A293,5,1)*5+--MID(A293,6,1)*9+--MID(A293,7,1)*4+--MID(A293,8,1)*6+--MID(A293,9,1)*8, IF(LEN(TRIM(A293))=12, --MID(A293,1,1)*7+--MID(A293,2,1)*2+--MID(A293,3,1)*4+--MID(A293,4,1)*10+--MID(A293,5,1)*3+--MID(A293,6,1)*5+--MID(A293,7,1)*9+--MID(A293,8,1)*4+--MID(A293,9,1)*6+--MID(A293,10,1)*8, ""))</f>
        <v/>
      </c>
      <c r="I293">
        <f>IF(LEN(TRIM(A293))=12, --MID(A293,1,1)*3+--MID(A293,2,1)*7+--MID(A293,3,1)*2+--MID(A293,4,1)*4+--MID(A293,5,1)*10+--MID(A293,6,1)*3+--MID(A293,7,1)*5+--MID(A293,8,1)*9+--MID(A293,9,1)*4+--MID(A293,10,1)*6+--MID(A293,11,1)*8, "")</f>
        <v/>
      </c>
    </row>
    <row r="294">
      <c r="A294">
        <f>SUBSTITUTE(SUBSTITUTE(SUBSTITUTE(SUBSTITUTE(TRIM(INDEX(Реестр!$B:$B,ROW())),CHAR(160),""),CHAR(9),""),CHAR(10),""),CHAR(13),"")</f>
        <v/>
      </c>
      <c r="B294">
        <f>SUBSTITUTE(SUBSTITUTE(SUBSTITUTE(SUBSTITUTE(SUBSTITUTE(SUBSTITUTE(SUBSTITUTE(TRIM(INDEX(Реестр!$D:$D, ROW())), "-", ""), " ", ""), CHAR(160), ""), CHAR(9), ""), CHAR(10), ""), CHAR(13), ""), CHAR(32), "")</f>
        <v/>
      </c>
      <c r="C294">
        <f>INDEX(Реестр!$H:$H, ROW())</f>
        <v/>
      </c>
      <c r="D294">
        <f>IF(OR(ISBLANK(INDEX(Реестр!$B:$B, ROW())), INDEX(Реестр!$B:$B, ROW())=""), " ", IF(IFERROR(ISNUMBER(--A294),FALSE), IF(LEN(A294)=10, IF(MOD(MOD(H294,11),10)=--RIGHT(A294,1), "OK", "ОШИБКА"), IF(LEN(A294)=12, IF(AND(MOD(MOD(H294,11),10)=--MID(A294,11,1), MOD(MOD(I294,11),10)=--RIGHT(A294,1)), "OK", "ОШИБКА"), "ДЛИНА (10 или 12)")), "НЕ ЦИФРЫ"))</f>
        <v/>
      </c>
      <c r="E294">
        <f>MID(B294,1,1)*9+MID(B294,2,1)*8+MID(B294,3,1)*7+MID(B294,4,1)*6+MID(B294,5,1)*5+MID(B294,6,1)*4+MID(B294,7,1)*3+MID(B294,8,1)*2+MID(B294,9,1)</f>
        <v/>
      </c>
      <c r="F294">
        <f>IF(B294="", " ", IF(LEN(B294)&lt;&gt;11, "ДЛИНА", IF(NOT(ISNUMBER(--B294)), "НЕ ЦИФРЫ", IF(LEFT(B294,9)*1&lt;=1001998, "OK", IF(RIGHT(B294,2)*1=IF(MOD(E294,101)&gt;=100,0,MOD(E294,101)),"OK","ОШИБКА")))))</f>
        <v/>
      </c>
      <c r="G2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4">
        <f>IF(LEN(TRIM(A294))=10, --MID(A294,1,1)*2+--MID(A294,2,1)*4+--MID(A294,3,1)*10+--MID(A294,4,1)*3+--MID(A294,5,1)*5+--MID(A294,6,1)*9+--MID(A294,7,1)*4+--MID(A294,8,1)*6+--MID(A294,9,1)*8, IF(LEN(TRIM(A294))=12, --MID(A294,1,1)*7+--MID(A294,2,1)*2+--MID(A294,3,1)*4+--MID(A294,4,1)*10+--MID(A294,5,1)*3+--MID(A294,6,1)*5+--MID(A294,7,1)*9+--MID(A294,8,1)*4+--MID(A294,9,1)*6+--MID(A294,10,1)*8, ""))</f>
        <v/>
      </c>
      <c r="I294">
        <f>IF(LEN(TRIM(A294))=12, --MID(A294,1,1)*3+--MID(A294,2,1)*7+--MID(A294,3,1)*2+--MID(A294,4,1)*4+--MID(A294,5,1)*10+--MID(A294,6,1)*3+--MID(A294,7,1)*5+--MID(A294,8,1)*9+--MID(A294,9,1)*4+--MID(A294,10,1)*6+--MID(A294,11,1)*8, "")</f>
        <v/>
      </c>
    </row>
    <row r="295">
      <c r="A295">
        <f>SUBSTITUTE(SUBSTITUTE(SUBSTITUTE(SUBSTITUTE(TRIM(INDEX(Реестр!$B:$B,ROW())),CHAR(160),""),CHAR(9),""),CHAR(10),""),CHAR(13),"")</f>
        <v/>
      </c>
      <c r="B295">
        <f>SUBSTITUTE(SUBSTITUTE(SUBSTITUTE(SUBSTITUTE(SUBSTITUTE(SUBSTITUTE(SUBSTITUTE(TRIM(INDEX(Реестр!$D:$D, ROW())), "-", ""), " ", ""), CHAR(160), ""), CHAR(9), ""), CHAR(10), ""), CHAR(13), ""), CHAR(32), "")</f>
        <v/>
      </c>
      <c r="C295">
        <f>INDEX(Реестр!$H:$H, ROW())</f>
        <v/>
      </c>
      <c r="D295">
        <f>IF(OR(ISBLANK(INDEX(Реестр!$B:$B, ROW())), INDEX(Реестр!$B:$B, ROW())=""), " ", IF(IFERROR(ISNUMBER(--A295),FALSE), IF(LEN(A295)=10, IF(MOD(MOD(H295,11),10)=--RIGHT(A295,1), "OK", "ОШИБКА"), IF(LEN(A295)=12, IF(AND(MOD(MOD(H295,11),10)=--MID(A295,11,1), MOD(MOD(I295,11),10)=--RIGHT(A295,1)), "OK", "ОШИБКА"), "ДЛИНА (10 или 12)")), "НЕ ЦИФРЫ"))</f>
        <v/>
      </c>
      <c r="E295">
        <f>MID(B295,1,1)*9+MID(B295,2,1)*8+MID(B295,3,1)*7+MID(B295,4,1)*6+MID(B295,5,1)*5+MID(B295,6,1)*4+MID(B295,7,1)*3+MID(B295,8,1)*2+MID(B295,9,1)</f>
        <v/>
      </c>
      <c r="F295">
        <f>IF(B295="", " ", IF(LEN(B295)&lt;&gt;11, "ДЛИНА", IF(NOT(ISNUMBER(--B295)), "НЕ ЦИФРЫ", IF(LEFT(B295,9)*1&lt;=1001998, "OK", IF(RIGHT(B295,2)*1=IF(MOD(E295,101)&gt;=100,0,MOD(E295,101)),"OK","ОШИБКА")))))</f>
        <v/>
      </c>
      <c r="G2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5">
        <f>IF(LEN(TRIM(A295))=10, --MID(A295,1,1)*2+--MID(A295,2,1)*4+--MID(A295,3,1)*10+--MID(A295,4,1)*3+--MID(A295,5,1)*5+--MID(A295,6,1)*9+--MID(A295,7,1)*4+--MID(A295,8,1)*6+--MID(A295,9,1)*8, IF(LEN(TRIM(A295))=12, --MID(A295,1,1)*7+--MID(A295,2,1)*2+--MID(A295,3,1)*4+--MID(A295,4,1)*10+--MID(A295,5,1)*3+--MID(A295,6,1)*5+--MID(A295,7,1)*9+--MID(A295,8,1)*4+--MID(A295,9,1)*6+--MID(A295,10,1)*8, ""))</f>
        <v/>
      </c>
      <c r="I295">
        <f>IF(LEN(TRIM(A295))=12, --MID(A295,1,1)*3+--MID(A295,2,1)*7+--MID(A295,3,1)*2+--MID(A295,4,1)*4+--MID(A295,5,1)*10+--MID(A295,6,1)*3+--MID(A295,7,1)*5+--MID(A295,8,1)*9+--MID(A295,9,1)*4+--MID(A295,10,1)*6+--MID(A295,11,1)*8, "")</f>
        <v/>
      </c>
    </row>
    <row r="296">
      <c r="A296">
        <f>SUBSTITUTE(SUBSTITUTE(SUBSTITUTE(SUBSTITUTE(TRIM(INDEX(Реестр!$B:$B,ROW())),CHAR(160),""),CHAR(9),""),CHAR(10),""),CHAR(13),"")</f>
        <v/>
      </c>
      <c r="B296">
        <f>SUBSTITUTE(SUBSTITUTE(SUBSTITUTE(SUBSTITUTE(SUBSTITUTE(SUBSTITUTE(SUBSTITUTE(TRIM(INDEX(Реестр!$D:$D, ROW())), "-", ""), " ", ""), CHAR(160), ""), CHAR(9), ""), CHAR(10), ""), CHAR(13), ""), CHAR(32), "")</f>
        <v/>
      </c>
      <c r="C296">
        <f>INDEX(Реестр!$H:$H, ROW())</f>
        <v/>
      </c>
      <c r="D296">
        <f>IF(OR(ISBLANK(INDEX(Реестр!$B:$B, ROW())), INDEX(Реестр!$B:$B, ROW())=""), " ", IF(IFERROR(ISNUMBER(--A296),FALSE), IF(LEN(A296)=10, IF(MOD(MOD(H296,11),10)=--RIGHT(A296,1), "OK", "ОШИБКА"), IF(LEN(A296)=12, IF(AND(MOD(MOD(H296,11),10)=--MID(A296,11,1), MOD(MOD(I296,11),10)=--RIGHT(A296,1)), "OK", "ОШИБКА"), "ДЛИНА (10 или 12)")), "НЕ ЦИФРЫ"))</f>
        <v/>
      </c>
      <c r="E296">
        <f>MID(B296,1,1)*9+MID(B296,2,1)*8+MID(B296,3,1)*7+MID(B296,4,1)*6+MID(B296,5,1)*5+MID(B296,6,1)*4+MID(B296,7,1)*3+MID(B296,8,1)*2+MID(B296,9,1)</f>
        <v/>
      </c>
      <c r="F296">
        <f>IF(B296="", " ", IF(LEN(B296)&lt;&gt;11, "ДЛИНА", IF(NOT(ISNUMBER(--B296)), "НЕ ЦИФРЫ", IF(LEFT(B296,9)*1&lt;=1001998, "OK", IF(RIGHT(B296,2)*1=IF(MOD(E296,101)&gt;=100,0,MOD(E296,101)),"OK","ОШИБКА")))))</f>
        <v/>
      </c>
      <c r="G2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6">
        <f>IF(LEN(TRIM(A296))=10, --MID(A296,1,1)*2+--MID(A296,2,1)*4+--MID(A296,3,1)*10+--MID(A296,4,1)*3+--MID(A296,5,1)*5+--MID(A296,6,1)*9+--MID(A296,7,1)*4+--MID(A296,8,1)*6+--MID(A296,9,1)*8, IF(LEN(TRIM(A296))=12, --MID(A296,1,1)*7+--MID(A296,2,1)*2+--MID(A296,3,1)*4+--MID(A296,4,1)*10+--MID(A296,5,1)*3+--MID(A296,6,1)*5+--MID(A296,7,1)*9+--MID(A296,8,1)*4+--MID(A296,9,1)*6+--MID(A296,10,1)*8, ""))</f>
        <v/>
      </c>
      <c r="I296">
        <f>IF(LEN(TRIM(A296))=12, --MID(A296,1,1)*3+--MID(A296,2,1)*7+--MID(A296,3,1)*2+--MID(A296,4,1)*4+--MID(A296,5,1)*10+--MID(A296,6,1)*3+--MID(A296,7,1)*5+--MID(A296,8,1)*9+--MID(A296,9,1)*4+--MID(A296,10,1)*6+--MID(A296,11,1)*8, "")</f>
        <v/>
      </c>
    </row>
    <row r="297">
      <c r="A297">
        <f>SUBSTITUTE(SUBSTITUTE(SUBSTITUTE(SUBSTITUTE(TRIM(INDEX(Реестр!$B:$B,ROW())),CHAR(160),""),CHAR(9),""),CHAR(10),""),CHAR(13),"")</f>
        <v/>
      </c>
      <c r="B297">
        <f>SUBSTITUTE(SUBSTITUTE(SUBSTITUTE(SUBSTITUTE(SUBSTITUTE(SUBSTITUTE(SUBSTITUTE(TRIM(INDEX(Реестр!$D:$D, ROW())), "-", ""), " ", ""), CHAR(160), ""), CHAR(9), ""), CHAR(10), ""), CHAR(13), ""), CHAR(32), "")</f>
        <v/>
      </c>
      <c r="C297">
        <f>INDEX(Реестр!$H:$H, ROW())</f>
        <v/>
      </c>
      <c r="D297">
        <f>IF(OR(ISBLANK(INDEX(Реестр!$B:$B, ROW())), INDEX(Реестр!$B:$B, ROW())=""), " ", IF(IFERROR(ISNUMBER(--A297),FALSE), IF(LEN(A297)=10, IF(MOD(MOD(H297,11),10)=--RIGHT(A297,1), "OK", "ОШИБКА"), IF(LEN(A297)=12, IF(AND(MOD(MOD(H297,11),10)=--MID(A297,11,1), MOD(MOD(I297,11),10)=--RIGHT(A297,1)), "OK", "ОШИБКА"), "ДЛИНА (10 или 12)")), "НЕ ЦИФРЫ"))</f>
        <v/>
      </c>
      <c r="E297">
        <f>MID(B297,1,1)*9+MID(B297,2,1)*8+MID(B297,3,1)*7+MID(B297,4,1)*6+MID(B297,5,1)*5+MID(B297,6,1)*4+MID(B297,7,1)*3+MID(B297,8,1)*2+MID(B297,9,1)</f>
        <v/>
      </c>
      <c r="F297">
        <f>IF(B297="", " ", IF(LEN(B297)&lt;&gt;11, "ДЛИНА", IF(NOT(ISNUMBER(--B297)), "НЕ ЦИФРЫ", IF(LEFT(B297,9)*1&lt;=1001998, "OK", IF(RIGHT(B297,2)*1=IF(MOD(E297,101)&gt;=100,0,MOD(E297,101)),"OK","ОШИБКА")))))</f>
        <v/>
      </c>
      <c r="G2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7">
        <f>IF(LEN(TRIM(A297))=10, --MID(A297,1,1)*2+--MID(A297,2,1)*4+--MID(A297,3,1)*10+--MID(A297,4,1)*3+--MID(A297,5,1)*5+--MID(A297,6,1)*9+--MID(A297,7,1)*4+--MID(A297,8,1)*6+--MID(A297,9,1)*8, IF(LEN(TRIM(A297))=12, --MID(A297,1,1)*7+--MID(A297,2,1)*2+--MID(A297,3,1)*4+--MID(A297,4,1)*10+--MID(A297,5,1)*3+--MID(A297,6,1)*5+--MID(A297,7,1)*9+--MID(A297,8,1)*4+--MID(A297,9,1)*6+--MID(A297,10,1)*8, ""))</f>
        <v/>
      </c>
      <c r="I297">
        <f>IF(LEN(TRIM(A297))=12, --MID(A297,1,1)*3+--MID(A297,2,1)*7+--MID(A297,3,1)*2+--MID(A297,4,1)*4+--MID(A297,5,1)*10+--MID(A297,6,1)*3+--MID(A297,7,1)*5+--MID(A297,8,1)*9+--MID(A297,9,1)*4+--MID(A297,10,1)*6+--MID(A297,11,1)*8, "")</f>
        <v/>
      </c>
    </row>
    <row r="298">
      <c r="A298">
        <f>SUBSTITUTE(SUBSTITUTE(SUBSTITUTE(SUBSTITUTE(TRIM(INDEX(Реестр!$B:$B,ROW())),CHAR(160),""),CHAR(9),""),CHAR(10),""),CHAR(13),"")</f>
        <v/>
      </c>
      <c r="B298">
        <f>SUBSTITUTE(SUBSTITUTE(SUBSTITUTE(SUBSTITUTE(SUBSTITUTE(SUBSTITUTE(SUBSTITUTE(TRIM(INDEX(Реестр!$D:$D, ROW())), "-", ""), " ", ""), CHAR(160), ""), CHAR(9), ""), CHAR(10), ""), CHAR(13), ""), CHAR(32), "")</f>
        <v/>
      </c>
      <c r="C298">
        <f>INDEX(Реестр!$H:$H, ROW())</f>
        <v/>
      </c>
      <c r="D298">
        <f>IF(OR(ISBLANK(INDEX(Реестр!$B:$B, ROW())), INDEX(Реестр!$B:$B, ROW())=""), " ", IF(IFERROR(ISNUMBER(--A298),FALSE), IF(LEN(A298)=10, IF(MOD(MOD(H298,11),10)=--RIGHT(A298,1), "OK", "ОШИБКА"), IF(LEN(A298)=12, IF(AND(MOD(MOD(H298,11),10)=--MID(A298,11,1), MOD(MOD(I298,11),10)=--RIGHT(A298,1)), "OK", "ОШИБКА"), "ДЛИНА (10 или 12)")), "НЕ ЦИФРЫ"))</f>
        <v/>
      </c>
      <c r="E298">
        <f>MID(B298,1,1)*9+MID(B298,2,1)*8+MID(B298,3,1)*7+MID(B298,4,1)*6+MID(B298,5,1)*5+MID(B298,6,1)*4+MID(B298,7,1)*3+MID(B298,8,1)*2+MID(B298,9,1)</f>
        <v/>
      </c>
      <c r="F298">
        <f>IF(B298="", " ", IF(LEN(B298)&lt;&gt;11, "ДЛИНА", IF(NOT(ISNUMBER(--B298)), "НЕ ЦИФРЫ", IF(LEFT(B298,9)*1&lt;=1001998, "OK", IF(RIGHT(B298,2)*1=IF(MOD(E298,101)&gt;=100,0,MOD(E298,101)),"OK","ОШИБКА")))))</f>
        <v/>
      </c>
      <c r="G2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8">
        <f>IF(LEN(TRIM(A298))=10, --MID(A298,1,1)*2+--MID(A298,2,1)*4+--MID(A298,3,1)*10+--MID(A298,4,1)*3+--MID(A298,5,1)*5+--MID(A298,6,1)*9+--MID(A298,7,1)*4+--MID(A298,8,1)*6+--MID(A298,9,1)*8, IF(LEN(TRIM(A298))=12, --MID(A298,1,1)*7+--MID(A298,2,1)*2+--MID(A298,3,1)*4+--MID(A298,4,1)*10+--MID(A298,5,1)*3+--MID(A298,6,1)*5+--MID(A298,7,1)*9+--MID(A298,8,1)*4+--MID(A298,9,1)*6+--MID(A298,10,1)*8, ""))</f>
        <v/>
      </c>
      <c r="I298">
        <f>IF(LEN(TRIM(A298))=12, --MID(A298,1,1)*3+--MID(A298,2,1)*7+--MID(A298,3,1)*2+--MID(A298,4,1)*4+--MID(A298,5,1)*10+--MID(A298,6,1)*3+--MID(A298,7,1)*5+--MID(A298,8,1)*9+--MID(A298,9,1)*4+--MID(A298,10,1)*6+--MID(A298,11,1)*8, "")</f>
        <v/>
      </c>
    </row>
    <row r="299">
      <c r="A299">
        <f>SUBSTITUTE(SUBSTITUTE(SUBSTITUTE(SUBSTITUTE(TRIM(INDEX(Реестр!$B:$B,ROW())),CHAR(160),""),CHAR(9),""),CHAR(10),""),CHAR(13),"")</f>
        <v/>
      </c>
      <c r="B299">
        <f>SUBSTITUTE(SUBSTITUTE(SUBSTITUTE(SUBSTITUTE(SUBSTITUTE(SUBSTITUTE(SUBSTITUTE(TRIM(INDEX(Реестр!$D:$D, ROW())), "-", ""), " ", ""), CHAR(160), ""), CHAR(9), ""), CHAR(10), ""), CHAR(13), ""), CHAR(32), "")</f>
        <v/>
      </c>
      <c r="C299">
        <f>INDEX(Реестр!$H:$H, ROW())</f>
        <v/>
      </c>
      <c r="D299">
        <f>IF(OR(ISBLANK(INDEX(Реестр!$B:$B, ROW())), INDEX(Реестр!$B:$B, ROW())=""), " ", IF(IFERROR(ISNUMBER(--A299),FALSE), IF(LEN(A299)=10, IF(MOD(MOD(H299,11),10)=--RIGHT(A299,1), "OK", "ОШИБКА"), IF(LEN(A299)=12, IF(AND(MOD(MOD(H299,11),10)=--MID(A299,11,1), MOD(MOD(I299,11),10)=--RIGHT(A299,1)), "OK", "ОШИБКА"), "ДЛИНА (10 или 12)")), "НЕ ЦИФРЫ"))</f>
        <v/>
      </c>
      <c r="E299">
        <f>MID(B299,1,1)*9+MID(B299,2,1)*8+MID(B299,3,1)*7+MID(B299,4,1)*6+MID(B299,5,1)*5+MID(B299,6,1)*4+MID(B299,7,1)*3+MID(B299,8,1)*2+MID(B299,9,1)</f>
        <v/>
      </c>
      <c r="F299">
        <f>IF(B299="", " ", IF(LEN(B299)&lt;&gt;11, "ДЛИНА", IF(NOT(ISNUMBER(--B299)), "НЕ ЦИФРЫ", IF(LEFT(B299,9)*1&lt;=1001998, "OK", IF(RIGHT(B299,2)*1=IF(MOD(E299,101)&gt;=100,0,MOD(E299,101)),"OK","ОШИБКА")))))</f>
        <v/>
      </c>
      <c r="G2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299">
        <f>IF(LEN(TRIM(A299))=10, --MID(A299,1,1)*2+--MID(A299,2,1)*4+--MID(A299,3,1)*10+--MID(A299,4,1)*3+--MID(A299,5,1)*5+--MID(A299,6,1)*9+--MID(A299,7,1)*4+--MID(A299,8,1)*6+--MID(A299,9,1)*8, IF(LEN(TRIM(A299))=12, --MID(A299,1,1)*7+--MID(A299,2,1)*2+--MID(A299,3,1)*4+--MID(A299,4,1)*10+--MID(A299,5,1)*3+--MID(A299,6,1)*5+--MID(A299,7,1)*9+--MID(A299,8,1)*4+--MID(A299,9,1)*6+--MID(A299,10,1)*8, ""))</f>
        <v/>
      </c>
      <c r="I299">
        <f>IF(LEN(TRIM(A299))=12, --MID(A299,1,1)*3+--MID(A299,2,1)*7+--MID(A299,3,1)*2+--MID(A299,4,1)*4+--MID(A299,5,1)*10+--MID(A299,6,1)*3+--MID(A299,7,1)*5+--MID(A299,8,1)*9+--MID(A299,9,1)*4+--MID(A299,10,1)*6+--MID(A299,11,1)*8, "")</f>
        <v/>
      </c>
    </row>
    <row r="300">
      <c r="A300">
        <f>SUBSTITUTE(SUBSTITUTE(SUBSTITUTE(SUBSTITUTE(TRIM(INDEX(Реестр!$B:$B,ROW())),CHAR(160),""),CHAR(9),""),CHAR(10),""),CHAR(13),"")</f>
        <v/>
      </c>
      <c r="B300">
        <f>SUBSTITUTE(SUBSTITUTE(SUBSTITUTE(SUBSTITUTE(SUBSTITUTE(SUBSTITUTE(SUBSTITUTE(TRIM(INDEX(Реестр!$D:$D, ROW())), "-", ""), " ", ""), CHAR(160), ""), CHAR(9), ""), CHAR(10), ""), CHAR(13), ""), CHAR(32), "")</f>
        <v/>
      </c>
      <c r="C300">
        <f>INDEX(Реестр!$H:$H, ROW())</f>
        <v/>
      </c>
      <c r="D300">
        <f>IF(OR(ISBLANK(INDEX(Реестр!$B:$B, ROW())), INDEX(Реестр!$B:$B, ROW())=""), " ", IF(IFERROR(ISNUMBER(--A300),FALSE), IF(LEN(A300)=10, IF(MOD(MOD(H300,11),10)=--RIGHT(A300,1), "OK", "ОШИБКА"), IF(LEN(A300)=12, IF(AND(MOD(MOD(H300,11),10)=--MID(A300,11,1), MOD(MOD(I300,11),10)=--RIGHT(A300,1)), "OK", "ОШИБКА"), "ДЛИНА (10 или 12)")), "НЕ ЦИФРЫ"))</f>
        <v/>
      </c>
      <c r="E300">
        <f>MID(B300,1,1)*9+MID(B300,2,1)*8+MID(B300,3,1)*7+MID(B300,4,1)*6+MID(B300,5,1)*5+MID(B300,6,1)*4+MID(B300,7,1)*3+MID(B300,8,1)*2+MID(B300,9,1)</f>
        <v/>
      </c>
      <c r="F300">
        <f>IF(B300="", " ", IF(LEN(B300)&lt;&gt;11, "ДЛИНА", IF(NOT(ISNUMBER(--B300)), "НЕ ЦИФРЫ", IF(LEFT(B300,9)*1&lt;=1001998, "OK", IF(RIGHT(B300,2)*1=IF(MOD(E300,101)&gt;=100,0,MOD(E300,101)),"OK","ОШИБКА")))))</f>
        <v/>
      </c>
      <c r="G3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0">
        <f>IF(LEN(TRIM(A300))=10, --MID(A300,1,1)*2+--MID(A300,2,1)*4+--MID(A300,3,1)*10+--MID(A300,4,1)*3+--MID(A300,5,1)*5+--MID(A300,6,1)*9+--MID(A300,7,1)*4+--MID(A300,8,1)*6+--MID(A300,9,1)*8, IF(LEN(TRIM(A300))=12, --MID(A300,1,1)*7+--MID(A300,2,1)*2+--MID(A300,3,1)*4+--MID(A300,4,1)*10+--MID(A300,5,1)*3+--MID(A300,6,1)*5+--MID(A300,7,1)*9+--MID(A300,8,1)*4+--MID(A300,9,1)*6+--MID(A300,10,1)*8, ""))</f>
        <v/>
      </c>
      <c r="I300">
        <f>IF(LEN(TRIM(A300))=12, --MID(A300,1,1)*3+--MID(A300,2,1)*7+--MID(A300,3,1)*2+--MID(A300,4,1)*4+--MID(A300,5,1)*10+--MID(A300,6,1)*3+--MID(A300,7,1)*5+--MID(A300,8,1)*9+--MID(A300,9,1)*4+--MID(A300,10,1)*6+--MID(A300,11,1)*8, "")</f>
        <v/>
      </c>
    </row>
    <row r="301">
      <c r="A301">
        <f>SUBSTITUTE(SUBSTITUTE(SUBSTITUTE(SUBSTITUTE(TRIM(INDEX(Реестр!$B:$B,ROW())),CHAR(160),""),CHAR(9),""),CHAR(10),""),CHAR(13),"")</f>
        <v/>
      </c>
      <c r="B301">
        <f>SUBSTITUTE(SUBSTITUTE(SUBSTITUTE(SUBSTITUTE(SUBSTITUTE(SUBSTITUTE(SUBSTITUTE(TRIM(INDEX(Реестр!$D:$D, ROW())), "-", ""), " ", ""), CHAR(160), ""), CHAR(9), ""), CHAR(10), ""), CHAR(13), ""), CHAR(32), "")</f>
        <v/>
      </c>
      <c r="C301">
        <f>INDEX(Реестр!$H:$H, ROW())</f>
        <v/>
      </c>
      <c r="D301">
        <f>IF(OR(ISBLANK(INDEX(Реестр!$B:$B, ROW())), INDEX(Реестр!$B:$B, ROW())=""), " ", IF(IFERROR(ISNUMBER(--A301),FALSE), IF(LEN(A301)=10, IF(MOD(MOD(H301,11),10)=--RIGHT(A301,1), "OK", "ОШИБКА"), IF(LEN(A301)=12, IF(AND(MOD(MOD(H301,11),10)=--MID(A301,11,1), MOD(MOD(I301,11),10)=--RIGHT(A301,1)), "OK", "ОШИБКА"), "ДЛИНА (10 или 12)")), "НЕ ЦИФРЫ"))</f>
        <v/>
      </c>
      <c r="E301">
        <f>MID(B301,1,1)*9+MID(B301,2,1)*8+MID(B301,3,1)*7+MID(B301,4,1)*6+MID(B301,5,1)*5+MID(B301,6,1)*4+MID(B301,7,1)*3+MID(B301,8,1)*2+MID(B301,9,1)</f>
        <v/>
      </c>
      <c r="F301">
        <f>IF(B301="", " ", IF(LEN(B301)&lt;&gt;11, "ДЛИНА", IF(NOT(ISNUMBER(--B301)), "НЕ ЦИФРЫ", IF(LEFT(B301,9)*1&lt;=1001998, "OK", IF(RIGHT(B301,2)*1=IF(MOD(E301,101)&gt;=100,0,MOD(E301,101)),"OK","ОШИБКА")))))</f>
        <v/>
      </c>
      <c r="G3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1">
        <f>IF(LEN(TRIM(A301))=10, --MID(A301,1,1)*2+--MID(A301,2,1)*4+--MID(A301,3,1)*10+--MID(A301,4,1)*3+--MID(A301,5,1)*5+--MID(A301,6,1)*9+--MID(A301,7,1)*4+--MID(A301,8,1)*6+--MID(A301,9,1)*8, IF(LEN(TRIM(A301))=12, --MID(A301,1,1)*7+--MID(A301,2,1)*2+--MID(A301,3,1)*4+--MID(A301,4,1)*10+--MID(A301,5,1)*3+--MID(A301,6,1)*5+--MID(A301,7,1)*9+--MID(A301,8,1)*4+--MID(A301,9,1)*6+--MID(A301,10,1)*8, ""))</f>
        <v/>
      </c>
      <c r="I301">
        <f>IF(LEN(TRIM(A301))=12, --MID(A301,1,1)*3+--MID(A301,2,1)*7+--MID(A301,3,1)*2+--MID(A301,4,1)*4+--MID(A301,5,1)*10+--MID(A301,6,1)*3+--MID(A301,7,1)*5+--MID(A301,8,1)*9+--MID(A301,9,1)*4+--MID(A301,10,1)*6+--MID(A301,11,1)*8, "")</f>
        <v/>
      </c>
    </row>
    <row r="302">
      <c r="A302">
        <f>SUBSTITUTE(SUBSTITUTE(SUBSTITUTE(SUBSTITUTE(TRIM(INDEX(Реестр!$B:$B,ROW())),CHAR(160),""),CHAR(9),""),CHAR(10),""),CHAR(13),"")</f>
        <v/>
      </c>
      <c r="B302">
        <f>SUBSTITUTE(SUBSTITUTE(SUBSTITUTE(SUBSTITUTE(SUBSTITUTE(SUBSTITUTE(SUBSTITUTE(TRIM(INDEX(Реестр!$D:$D, ROW())), "-", ""), " ", ""), CHAR(160), ""), CHAR(9), ""), CHAR(10), ""), CHAR(13), ""), CHAR(32), "")</f>
        <v/>
      </c>
      <c r="C302">
        <f>INDEX(Реестр!$H:$H, ROW())</f>
        <v/>
      </c>
      <c r="D302">
        <f>IF(OR(ISBLANK(INDEX(Реестр!$B:$B, ROW())), INDEX(Реестр!$B:$B, ROW())=""), " ", IF(IFERROR(ISNUMBER(--A302),FALSE), IF(LEN(A302)=10, IF(MOD(MOD(H302,11),10)=--RIGHT(A302,1), "OK", "ОШИБКА"), IF(LEN(A302)=12, IF(AND(MOD(MOD(H302,11),10)=--MID(A302,11,1), MOD(MOD(I302,11),10)=--RIGHT(A302,1)), "OK", "ОШИБКА"), "ДЛИНА (10 или 12)")), "НЕ ЦИФРЫ"))</f>
        <v/>
      </c>
      <c r="E302">
        <f>MID(B302,1,1)*9+MID(B302,2,1)*8+MID(B302,3,1)*7+MID(B302,4,1)*6+MID(B302,5,1)*5+MID(B302,6,1)*4+MID(B302,7,1)*3+MID(B302,8,1)*2+MID(B302,9,1)</f>
        <v/>
      </c>
      <c r="F302">
        <f>IF(B302="", " ", IF(LEN(B302)&lt;&gt;11, "ДЛИНА", IF(NOT(ISNUMBER(--B302)), "НЕ ЦИФРЫ", IF(LEFT(B302,9)*1&lt;=1001998, "OK", IF(RIGHT(B302,2)*1=IF(MOD(E302,101)&gt;=100,0,MOD(E302,101)),"OK","ОШИБКА")))))</f>
        <v/>
      </c>
      <c r="G3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2">
        <f>IF(LEN(TRIM(A302))=10, --MID(A302,1,1)*2+--MID(A302,2,1)*4+--MID(A302,3,1)*10+--MID(A302,4,1)*3+--MID(A302,5,1)*5+--MID(A302,6,1)*9+--MID(A302,7,1)*4+--MID(A302,8,1)*6+--MID(A302,9,1)*8, IF(LEN(TRIM(A302))=12, --MID(A302,1,1)*7+--MID(A302,2,1)*2+--MID(A302,3,1)*4+--MID(A302,4,1)*10+--MID(A302,5,1)*3+--MID(A302,6,1)*5+--MID(A302,7,1)*9+--MID(A302,8,1)*4+--MID(A302,9,1)*6+--MID(A302,10,1)*8, ""))</f>
        <v/>
      </c>
      <c r="I302">
        <f>IF(LEN(TRIM(A302))=12, --MID(A302,1,1)*3+--MID(A302,2,1)*7+--MID(A302,3,1)*2+--MID(A302,4,1)*4+--MID(A302,5,1)*10+--MID(A302,6,1)*3+--MID(A302,7,1)*5+--MID(A302,8,1)*9+--MID(A302,9,1)*4+--MID(A302,10,1)*6+--MID(A302,11,1)*8, "")</f>
        <v/>
      </c>
    </row>
    <row r="303">
      <c r="A303">
        <f>SUBSTITUTE(SUBSTITUTE(SUBSTITUTE(SUBSTITUTE(TRIM(INDEX(Реестр!$B:$B,ROW())),CHAR(160),""),CHAR(9),""),CHAR(10),""),CHAR(13),"")</f>
        <v/>
      </c>
      <c r="B303">
        <f>SUBSTITUTE(SUBSTITUTE(SUBSTITUTE(SUBSTITUTE(SUBSTITUTE(SUBSTITUTE(SUBSTITUTE(TRIM(INDEX(Реестр!$D:$D, ROW())), "-", ""), " ", ""), CHAR(160), ""), CHAR(9), ""), CHAR(10), ""), CHAR(13), ""), CHAR(32), "")</f>
        <v/>
      </c>
      <c r="C303">
        <f>INDEX(Реестр!$H:$H, ROW())</f>
        <v/>
      </c>
      <c r="D303">
        <f>IF(OR(ISBLANK(INDEX(Реестр!$B:$B, ROW())), INDEX(Реестр!$B:$B, ROW())=""), " ", IF(IFERROR(ISNUMBER(--A303),FALSE), IF(LEN(A303)=10, IF(MOD(MOD(H303,11),10)=--RIGHT(A303,1), "OK", "ОШИБКА"), IF(LEN(A303)=12, IF(AND(MOD(MOD(H303,11),10)=--MID(A303,11,1), MOD(MOD(I303,11),10)=--RIGHT(A303,1)), "OK", "ОШИБКА"), "ДЛИНА (10 или 12)")), "НЕ ЦИФРЫ"))</f>
        <v/>
      </c>
      <c r="E303">
        <f>MID(B303,1,1)*9+MID(B303,2,1)*8+MID(B303,3,1)*7+MID(B303,4,1)*6+MID(B303,5,1)*5+MID(B303,6,1)*4+MID(B303,7,1)*3+MID(B303,8,1)*2+MID(B303,9,1)</f>
        <v/>
      </c>
      <c r="F303">
        <f>IF(B303="", " ", IF(LEN(B303)&lt;&gt;11, "ДЛИНА", IF(NOT(ISNUMBER(--B303)), "НЕ ЦИФРЫ", IF(LEFT(B303,9)*1&lt;=1001998, "OK", IF(RIGHT(B303,2)*1=IF(MOD(E303,101)&gt;=100,0,MOD(E303,101)),"OK","ОШИБКА")))))</f>
        <v/>
      </c>
      <c r="G3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3">
        <f>IF(LEN(TRIM(A303))=10, --MID(A303,1,1)*2+--MID(A303,2,1)*4+--MID(A303,3,1)*10+--MID(A303,4,1)*3+--MID(A303,5,1)*5+--MID(A303,6,1)*9+--MID(A303,7,1)*4+--MID(A303,8,1)*6+--MID(A303,9,1)*8, IF(LEN(TRIM(A303))=12, --MID(A303,1,1)*7+--MID(A303,2,1)*2+--MID(A303,3,1)*4+--MID(A303,4,1)*10+--MID(A303,5,1)*3+--MID(A303,6,1)*5+--MID(A303,7,1)*9+--MID(A303,8,1)*4+--MID(A303,9,1)*6+--MID(A303,10,1)*8, ""))</f>
        <v/>
      </c>
      <c r="I303">
        <f>IF(LEN(TRIM(A303))=12, --MID(A303,1,1)*3+--MID(A303,2,1)*7+--MID(A303,3,1)*2+--MID(A303,4,1)*4+--MID(A303,5,1)*10+--MID(A303,6,1)*3+--MID(A303,7,1)*5+--MID(A303,8,1)*9+--MID(A303,9,1)*4+--MID(A303,10,1)*6+--MID(A303,11,1)*8, "")</f>
        <v/>
      </c>
    </row>
    <row r="304">
      <c r="A304">
        <f>SUBSTITUTE(SUBSTITUTE(SUBSTITUTE(SUBSTITUTE(TRIM(INDEX(Реестр!$B:$B,ROW())),CHAR(160),""),CHAR(9),""),CHAR(10),""),CHAR(13),"")</f>
        <v/>
      </c>
      <c r="B304">
        <f>SUBSTITUTE(SUBSTITUTE(SUBSTITUTE(SUBSTITUTE(SUBSTITUTE(SUBSTITUTE(SUBSTITUTE(TRIM(INDEX(Реестр!$D:$D, ROW())), "-", ""), " ", ""), CHAR(160), ""), CHAR(9), ""), CHAR(10), ""), CHAR(13), ""), CHAR(32), "")</f>
        <v/>
      </c>
      <c r="C304">
        <f>INDEX(Реестр!$H:$H, ROW())</f>
        <v/>
      </c>
      <c r="D304">
        <f>IF(OR(ISBLANK(INDEX(Реестр!$B:$B, ROW())), INDEX(Реестр!$B:$B, ROW())=""), " ", IF(IFERROR(ISNUMBER(--A304),FALSE), IF(LEN(A304)=10, IF(MOD(MOD(H304,11),10)=--RIGHT(A304,1), "OK", "ОШИБКА"), IF(LEN(A304)=12, IF(AND(MOD(MOD(H304,11),10)=--MID(A304,11,1), MOD(MOD(I304,11),10)=--RIGHT(A304,1)), "OK", "ОШИБКА"), "ДЛИНА (10 или 12)")), "НЕ ЦИФРЫ"))</f>
        <v/>
      </c>
      <c r="E304">
        <f>MID(B304,1,1)*9+MID(B304,2,1)*8+MID(B304,3,1)*7+MID(B304,4,1)*6+MID(B304,5,1)*5+MID(B304,6,1)*4+MID(B304,7,1)*3+MID(B304,8,1)*2+MID(B304,9,1)</f>
        <v/>
      </c>
      <c r="F304">
        <f>IF(B304="", " ", IF(LEN(B304)&lt;&gt;11, "ДЛИНА", IF(NOT(ISNUMBER(--B304)), "НЕ ЦИФРЫ", IF(LEFT(B304,9)*1&lt;=1001998, "OK", IF(RIGHT(B304,2)*1=IF(MOD(E304,101)&gt;=100,0,MOD(E304,101)),"OK","ОШИБКА")))))</f>
        <v/>
      </c>
      <c r="G3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4">
        <f>IF(LEN(TRIM(A304))=10, --MID(A304,1,1)*2+--MID(A304,2,1)*4+--MID(A304,3,1)*10+--MID(A304,4,1)*3+--MID(A304,5,1)*5+--MID(A304,6,1)*9+--MID(A304,7,1)*4+--MID(A304,8,1)*6+--MID(A304,9,1)*8, IF(LEN(TRIM(A304))=12, --MID(A304,1,1)*7+--MID(A304,2,1)*2+--MID(A304,3,1)*4+--MID(A304,4,1)*10+--MID(A304,5,1)*3+--MID(A304,6,1)*5+--MID(A304,7,1)*9+--MID(A304,8,1)*4+--MID(A304,9,1)*6+--MID(A304,10,1)*8, ""))</f>
        <v/>
      </c>
      <c r="I304">
        <f>IF(LEN(TRIM(A304))=12, --MID(A304,1,1)*3+--MID(A304,2,1)*7+--MID(A304,3,1)*2+--MID(A304,4,1)*4+--MID(A304,5,1)*10+--MID(A304,6,1)*3+--MID(A304,7,1)*5+--MID(A304,8,1)*9+--MID(A304,9,1)*4+--MID(A304,10,1)*6+--MID(A304,11,1)*8, "")</f>
        <v/>
      </c>
    </row>
    <row r="305">
      <c r="A305">
        <f>SUBSTITUTE(SUBSTITUTE(SUBSTITUTE(SUBSTITUTE(TRIM(INDEX(Реестр!$B:$B,ROW())),CHAR(160),""),CHAR(9),""),CHAR(10),""),CHAR(13),"")</f>
        <v/>
      </c>
      <c r="B305">
        <f>SUBSTITUTE(SUBSTITUTE(SUBSTITUTE(SUBSTITUTE(SUBSTITUTE(SUBSTITUTE(SUBSTITUTE(TRIM(INDEX(Реестр!$D:$D, ROW())), "-", ""), " ", ""), CHAR(160), ""), CHAR(9), ""), CHAR(10), ""), CHAR(13), ""), CHAR(32), "")</f>
        <v/>
      </c>
      <c r="C305">
        <f>INDEX(Реестр!$H:$H, ROW())</f>
        <v/>
      </c>
      <c r="D305">
        <f>IF(OR(ISBLANK(INDEX(Реестр!$B:$B, ROW())), INDEX(Реестр!$B:$B, ROW())=""), " ", IF(IFERROR(ISNUMBER(--A305),FALSE), IF(LEN(A305)=10, IF(MOD(MOD(H305,11),10)=--RIGHT(A305,1), "OK", "ОШИБКА"), IF(LEN(A305)=12, IF(AND(MOD(MOD(H305,11),10)=--MID(A305,11,1), MOD(MOD(I305,11),10)=--RIGHT(A305,1)), "OK", "ОШИБКА"), "ДЛИНА (10 или 12)")), "НЕ ЦИФРЫ"))</f>
        <v/>
      </c>
      <c r="E305">
        <f>MID(B305,1,1)*9+MID(B305,2,1)*8+MID(B305,3,1)*7+MID(B305,4,1)*6+MID(B305,5,1)*5+MID(B305,6,1)*4+MID(B305,7,1)*3+MID(B305,8,1)*2+MID(B305,9,1)</f>
        <v/>
      </c>
      <c r="F305">
        <f>IF(B305="", " ", IF(LEN(B305)&lt;&gt;11, "ДЛИНА", IF(NOT(ISNUMBER(--B305)), "НЕ ЦИФРЫ", IF(LEFT(B305,9)*1&lt;=1001998, "OK", IF(RIGHT(B305,2)*1=IF(MOD(E305,101)&gt;=100,0,MOD(E305,101)),"OK","ОШИБКА")))))</f>
        <v/>
      </c>
      <c r="G3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5">
        <f>IF(LEN(TRIM(A305))=10, --MID(A305,1,1)*2+--MID(A305,2,1)*4+--MID(A305,3,1)*10+--MID(A305,4,1)*3+--MID(A305,5,1)*5+--MID(A305,6,1)*9+--MID(A305,7,1)*4+--MID(A305,8,1)*6+--MID(A305,9,1)*8, IF(LEN(TRIM(A305))=12, --MID(A305,1,1)*7+--MID(A305,2,1)*2+--MID(A305,3,1)*4+--MID(A305,4,1)*10+--MID(A305,5,1)*3+--MID(A305,6,1)*5+--MID(A305,7,1)*9+--MID(A305,8,1)*4+--MID(A305,9,1)*6+--MID(A305,10,1)*8, ""))</f>
        <v/>
      </c>
      <c r="I305">
        <f>IF(LEN(TRIM(A305))=12, --MID(A305,1,1)*3+--MID(A305,2,1)*7+--MID(A305,3,1)*2+--MID(A305,4,1)*4+--MID(A305,5,1)*10+--MID(A305,6,1)*3+--MID(A305,7,1)*5+--MID(A305,8,1)*9+--MID(A305,9,1)*4+--MID(A305,10,1)*6+--MID(A305,11,1)*8, "")</f>
        <v/>
      </c>
    </row>
    <row r="306">
      <c r="A306">
        <f>SUBSTITUTE(SUBSTITUTE(SUBSTITUTE(SUBSTITUTE(TRIM(INDEX(Реестр!$B:$B,ROW())),CHAR(160),""),CHAR(9),""),CHAR(10),""),CHAR(13),"")</f>
        <v/>
      </c>
      <c r="B306">
        <f>SUBSTITUTE(SUBSTITUTE(SUBSTITUTE(SUBSTITUTE(SUBSTITUTE(SUBSTITUTE(SUBSTITUTE(TRIM(INDEX(Реестр!$D:$D, ROW())), "-", ""), " ", ""), CHAR(160), ""), CHAR(9), ""), CHAR(10), ""), CHAR(13), ""), CHAR(32), "")</f>
        <v/>
      </c>
      <c r="C306">
        <f>INDEX(Реестр!$H:$H, ROW())</f>
        <v/>
      </c>
      <c r="D306">
        <f>IF(OR(ISBLANK(INDEX(Реестр!$B:$B, ROW())), INDEX(Реестр!$B:$B, ROW())=""), " ", IF(IFERROR(ISNUMBER(--A306),FALSE), IF(LEN(A306)=10, IF(MOD(MOD(H306,11),10)=--RIGHT(A306,1), "OK", "ОШИБКА"), IF(LEN(A306)=12, IF(AND(MOD(MOD(H306,11),10)=--MID(A306,11,1), MOD(MOD(I306,11),10)=--RIGHT(A306,1)), "OK", "ОШИБКА"), "ДЛИНА (10 или 12)")), "НЕ ЦИФРЫ"))</f>
        <v/>
      </c>
      <c r="E306">
        <f>MID(B306,1,1)*9+MID(B306,2,1)*8+MID(B306,3,1)*7+MID(B306,4,1)*6+MID(B306,5,1)*5+MID(B306,6,1)*4+MID(B306,7,1)*3+MID(B306,8,1)*2+MID(B306,9,1)</f>
        <v/>
      </c>
      <c r="F306">
        <f>IF(B306="", " ", IF(LEN(B306)&lt;&gt;11, "ДЛИНА", IF(NOT(ISNUMBER(--B306)), "НЕ ЦИФРЫ", IF(LEFT(B306,9)*1&lt;=1001998, "OK", IF(RIGHT(B306,2)*1=IF(MOD(E306,101)&gt;=100,0,MOD(E306,101)),"OK","ОШИБКА")))))</f>
        <v/>
      </c>
      <c r="G3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6">
        <f>IF(LEN(TRIM(A306))=10, --MID(A306,1,1)*2+--MID(A306,2,1)*4+--MID(A306,3,1)*10+--MID(A306,4,1)*3+--MID(A306,5,1)*5+--MID(A306,6,1)*9+--MID(A306,7,1)*4+--MID(A306,8,1)*6+--MID(A306,9,1)*8, IF(LEN(TRIM(A306))=12, --MID(A306,1,1)*7+--MID(A306,2,1)*2+--MID(A306,3,1)*4+--MID(A306,4,1)*10+--MID(A306,5,1)*3+--MID(A306,6,1)*5+--MID(A306,7,1)*9+--MID(A306,8,1)*4+--MID(A306,9,1)*6+--MID(A306,10,1)*8, ""))</f>
        <v/>
      </c>
      <c r="I306">
        <f>IF(LEN(TRIM(A306))=12, --MID(A306,1,1)*3+--MID(A306,2,1)*7+--MID(A306,3,1)*2+--MID(A306,4,1)*4+--MID(A306,5,1)*10+--MID(A306,6,1)*3+--MID(A306,7,1)*5+--MID(A306,8,1)*9+--MID(A306,9,1)*4+--MID(A306,10,1)*6+--MID(A306,11,1)*8, "")</f>
        <v/>
      </c>
    </row>
    <row r="307">
      <c r="A307">
        <f>SUBSTITUTE(SUBSTITUTE(SUBSTITUTE(SUBSTITUTE(TRIM(INDEX(Реестр!$B:$B,ROW())),CHAR(160),""),CHAR(9),""),CHAR(10),""),CHAR(13),"")</f>
        <v/>
      </c>
      <c r="B307">
        <f>SUBSTITUTE(SUBSTITUTE(SUBSTITUTE(SUBSTITUTE(SUBSTITUTE(SUBSTITUTE(SUBSTITUTE(TRIM(INDEX(Реестр!$D:$D, ROW())), "-", ""), " ", ""), CHAR(160), ""), CHAR(9), ""), CHAR(10), ""), CHAR(13), ""), CHAR(32), "")</f>
        <v/>
      </c>
      <c r="C307">
        <f>INDEX(Реестр!$H:$H, ROW())</f>
        <v/>
      </c>
      <c r="D307">
        <f>IF(OR(ISBLANK(INDEX(Реестр!$B:$B, ROW())), INDEX(Реестр!$B:$B, ROW())=""), " ", IF(IFERROR(ISNUMBER(--A307),FALSE), IF(LEN(A307)=10, IF(MOD(MOD(H307,11),10)=--RIGHT(A307,1), "OK", "ОШИБКА"), IF(LEN(A307)=12, IF(AND(MOD(MOD(H307,11),10)=--MID(A307,11,1), MOD(MOD(I307,11),10)=--RIGHT(A307,1)), "OK", "ОШИБКА"), "ДЛИНА (10 или 12)")), "НЕ ЦИФРЫ"))</f>
        <v/>
      </c>
      <c r="E307">
        <f>MID(B307,1,1)*9+MID(B307,2,1)*8+MID(B307,3,1)*7+MID(B307,4,1)*6+MID(B307,5,1)*5+MID(B307,6,1)*4+MID(B307,7,1)*3+MID(B307,8,1)*2+MID(B307,9,1)</f>
        <v/>
      </c>
      <c r="F307">
        <f>IF(B307="", " ", IF(LEN(B307)&lt;&gt;11, "ДЛИНА", IF(NOT(ISNUMBER(--B307)), "НЕ ЦИФРЫ", IF(LEFT(B307,9)*1&lt;=1001998, "OK", IF(RIGHT(B307,2)*1=IF(MOD(E307,101)&gt;=100,0,MOD(E307,101)),"OK","ОШИБКА")))))</f>
        <v/>
      </c>
      <c r="G3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7">
        <f>IF(LEN(TRIM(A307))=10, --MID(A307,1,1)*2+--MID(A307,2,1)*4+--MID(A307,3,1)*10+--MID(A307,4,1)*3+--MID(A307,5,1)*5+--MID(A307,6,1)*9+--MID(A307,7,1)*4+--MID(A307,8,1)*6+--MID(A307,9,1)*8, IF(LEN(TRIM(A307))=12, --MID(A307,1,1)*7+--MID(A307,2,1)*2+--MID(A307,3,1)*4+--MID(A307,4,1)*10+--MID(A307,5,1)*3+--MID(A307,6,1)*5+--MID(A307,7,1)*9+--MID(A307,8,1)*4+--MID(A307,9,1)*6+--MID(A307,10,1)*8, ""))</f>
        <v/>
      </c>
      <c r="I307">
        <f>IF(LEN(TRIM(A307))=12, --MID(A307,1,1)*3+--MID(A307,2,1)*7+--MID(A307,3,1)*2+--MID(A307,4,1)*4+--MID(A307,5,1)*10+--MID(A307,6,1)*3+--MID(A307,7,1)*5+--MID(A307,8,1)*9+--MID(A307,9,1)*4+--MID(A307,10,1)*6+--MID(A307,11,1)*8, "")</f>
        <v/>
      </c>
    </row>
    <row r="308">
      <c r="A308">
        <f>SUBSTITUTE(SUBSTITUTE(SUBSTITUTE(SUBSTITUTE(TRIM(INDEX(Реестр!$B:$B,ROW())),CHAR(160),""),CHAR(9),""),CHAR(10),""),CHAR(13),"")</f>
        <v/>
      </c>
      <c r="B308">
        <f>SUBSTITUTE(SUBSTITUTE(SUBSTITUTE(SUBSTITUTE(SUBSTITUTE(SUBSTITUTE(SUBSTITUTE(TRIM(INDEX(Реестр!$D:$D, ROW())), "-", ""), " ", ""), CHAR(160), ""), CHAR(9), ""), CHAR(10), ""), CHAR(13), ""), CHAR(32), "")</f>
        <v/>
      </c>
      <c r="C308">
        <f>INDEX(Реестр!$H:$H, ROW())</f>
        <v/>
      </c>
      <c r="D308">
        <f>IF(OR(ISBLANK(INDEX(Реестр!$B:$B, ROW())), INDEX(Реестр!$B:$B, ROW())=""), " ", IF(IFERROR(ISNUMBER(--A308),FALSE), IF(LEN(A308)=10, IF(MOD(MOD(H308,11),10)=--RIGHT(A308,1), "OK", "ОШИБКА"), IF(LEN(A308)=12, IF(AND(MOD(MOD(H308,11),10)=--MID(A308,11,1), MOD(MOD(I308,11),10)=--RIGHT(A308,1)), "OK", "ОШИБКА"), "ДЛИНА (10 или 12)")), "НЕ ЦИФРЫ"))</f>
        <v/>
      </c>
      <c r="E308">
        <f>MID(B308,1,1)*9+MID(B308,2,1)*8+MID(B308,3,1)*7+MID(B308,4,1)*6+MID(B308,5,1)*5+MID(B308,6,1)*4+MID(B308,7,1)*3+MID(B308,8,1)*2+MID(B308,9,1)</f>
        <v/>
      </c>
      <c r="F308">
        <f>IF(B308="", " ", IF(LEN(B308)&lt;&gt;11, "ДЛИНА", IF(NOT(ISNUMBER(--B308)), "НЕ ЦИФРЫ", IF(LEFT(B308,9)*1&lt;=1001998, "OK", IF(RIGHT(B308,2)*1=IF(MOD(E308,101)&gt;=100,0,MOD(E308,101)),"OK","ОШИБКА")))))</f>
        <v/>
      </c>
      <c r="G3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8">
        <f>IF(LEN(TRIM(A308))=10, --MID(A308,1,1)*2+--MID(A308,2,1)*4+--MID(A308,3,1)*10+--MID(A308,4,1)*3+--MID(A308,5,1)*5+--MID(A308,6,1)*9+--MID(A308,7,1)*4+--MID(A308,8,1)*6+--MID(A308,9,1)*8, IF(LEN(TRIM(A308))=12, --MID(A308,1,1)*7+--MID(A308,2,1)*2+--MID(A308,3,1)*4+--MID(A308,4,1)*10+--MID(A308,5,1)*3+--MID(A308,6,1)*5+--MID(A308,7,1)*9+--MID(A308,8,1)*4+--MID(A308,9,1)*6+--MID(A308,10,1)*8, ""))</f>
        <v/>
      </c>
      <c r="I308">
        <f>IF(LEN(TRIM(A308))=12, --MID(A308,1,1)*3+--MID(A308,2,1)*7+--MID(A308,3,1)*2+--MID(A308,4,1)*4+--MID(A308,5,1)*10+--MID(A308,6,1)*3+--MID(A308,7,1)*5+--MID(A308,8,1)*9+--MID(A308,9,1)*4+--MID(A308,10,1)*6+--MID(A308,11,1)*8, "")</f>
        <v/>
      </c>
    </row>
    <row r="309">
      <c r="A309">
        <f>SUBSTITUTE(SUBSTITUTE(SUBSTITUTE(SUBSTITUTE(TRIM(INDEX(Реестр!$B:$B,ROW())),CHAR(160),""),CHAR(9),""),CHAR(10),""),CHAR(13),"")</f>
        <v/>
      </c>
      <c r="B309">
        <f>SUBSTITUTE(SUBSTITUTE(SUBSTITUTE(SUBSTITUTE(SUBSTITUTE(SUBSTITUTE(SUBSTITUTE(TRIM(INDEX(Реестр!$D:$D, ROW())), "-", ""), " ", ""), CHAR(160), ""), CHAR(9), ""), CHAR(10), ""), CHAR(13), ""), CHAR(32), "")</f>
        <v/>
      </c>
      <c r="C309">
        <f>INDEX(Реестр!$H:$H, ROW())</f>
        <v/>
      </c>
      <c r="D309">
        <f>IF(OR(ISBLANK(INDEX(Реестр!$B:$B, ROW())), INDEX(Реестр!$B:$B, ROW())=""), " ", IF(IFERROR(ISNUMBER(--A309),FALSE), IF(LEN(A309)=10, IF(MOD(MOD(H309,11),10)=--RIGHT(A309,1), "OK", "ОШИБКА"), IF(LEN(A309)=12, IF(AND(MOD(MOD(H309,11),10)=--MID(A309,11,1), MOD(MOD(I309,11),10)=--RIGHT(A309,1)), "OK", "ОШИБКА"), "ДЛИНА (10 или 12)")), "НЕ ЦИФРЫ"))</f>
        <v/>
      </c>
      <c r="E309">
        <f>MID(B309,1,1)*9+MID(B309,2,1)*8+MID(B309,3,1)*7+MID(B309,4,1)*6+MID(B309,5,1)*5+MID(B309,6,1)*4+MID(B309,7,1)*3+MID(B309,8,1)*2+MID(B309,9,1)</f>
        <v/>
      </c>
      <c r="F309">
        <f>IF(B309="", " ", IF(LEN(B309)&lt;&gt;11, "ДЛИНА", IF(NOT(ISNUMBER(--B309)), "НЕ ЦИФРЫ", IF(LEFT(B309,9)*1&lt;=1001998, "OK", IF(RIGHT(B309,2)*1=IF(MOD(E309,101)&gt;=100,0,MOD(E309,101)),"OK","ОШИБКА")))))</f>
        <v/>
      </c>
      <c r="G3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09">
        <f>IF(LEN(TRIM(A309))=10, --MID(A309,1,1)*2+--MID(A309,2,1)*4+--MID(A309,3,1)*10+--MID(A309,4,1)*3+--MID(A309,5,1)*5+--MID(A309,6,1)*9+--MID(A309,7,1)*4+--MID(A309,8,1)*6+--MID(A309,9,1)*8, IF(LEN(TRIM(A309))=12, --MID(A309,1,1)*7+--MID(A309,2,1)*2+--MID(A309,3,1)*4+--MID(A309,4,1)*10+--MID(A309,5,1)*3+--MID(A309,6,1)*5+--MID(A309,7,1)*9+--MID(A309,8,1)*4+--MID(A309,9,1)*6+--MID(A309,10,1)*8, ""))</f>
        <v/>
      </c>
      <c r="I309">
        <f>IF(LEN(TRIM(A309))=12, --MID(A309,1,1)*3+--MID(A309,2,1)*7+--MID(A309,3,1)*2+--MID(A309,4,1)*4+--MID(A309,5,1)*10+--MID(A309,6,1)*3+--MID(A309,7,1)*5+--MID(A309,8,1)*9+--MID(A309,9,1)*4+--MID(A309,10,1)*6+--MID(A309,11,1)*8, "")</f>
        <v/>
      </c>
    </row>
    <row r="310">
      <c r="A310">
        <f>SUBSTITUTE(SUBSTITUTE(SUBSTITUTE(SUBSTITUTE(TRIM(INDEX(Реестр!$B:$B,ROW())),CHAR(160),""),CHAR(9),""),CHAR(10),""),CHAR(13),"")</f>
        <v/>
      </c>
      <c r="B310">
        <f>SUBSTITUTE(SUBSTITUTE(SUBSTITUTE(SUBSTITUTE(SUBSTITUTE(SUBSTITUTE(SUBSTITUTE(TRIM(INDEX(Реестр!$D:$D, ROW())), "-", ""), " ", ""), CHAR(160), ""), CHAR(9), ""), CHAR(10), ""), CHAR(13), ""), CHAR(32), "")</f>
        <v/>
      </c>
      <c r="C310">
        <f>INDEX(Реестр!$H:$H, ROW())</f>
        <v/>
      </c>
      <c r="D310">
        <f>IF(OR(ISBLANK(INDEX(Реестр!$B:$B, ROW())), INDEX(Реестр!$B:$B, ROW())=""), " ", IF(IFERROR(ISNUMBER(--A310),FALSE), IF(LEN(A310)=10, IF(MOD(MOD(H310,11),10)=--RIGHT(A310,1), "OK", "ОШИБКА"), IF(LEN(A310)=12, IF(AND(MOD(MOD(H310,11),10)=--MID(A310,11,1), MOD(MOD(I310,11),10)=--RIGHT(A310,1)), "OK", "ОШИБКА"), "ДЛИНА (10 или 12)")), "НЕ ЦИФРЫ"))</f>
        <v/>
      </c>
      <c r="E310">
        <f>MID(B310,1,1)*9+MID(B310,2,1)*8+MID(B310,3,1)*7+MID(B310,4,1)*6+MID(B310,5,1)*5+MID(B310,6,1)*4+MID(B310,7,1)*3+MID(B310,8,1)*2+MID(B310,9,1)</f>
        <v/>
      </c>
      <c r="F310">
        <f>IF(B310="", " ", IF(LEN(B310)&lt;&gt;11, "ДЛИНА", IF(NOT(ISNUMBER(--B310)), "НЕ ЦИФРЫ", IF(LEFT(B310,9)*1&lt;=1001998, "OK", IF(RIGHT(B310,2)*1=IF(MOD(E310,101)&gt;=100,0,MOD(E310,101)),"OK","ОШИБКА")))))</f>
        <v/>
      </c>
      <c r="G3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0">
        <f>IF(LEN(TRIM(A310))=10, --MID(A310,1,1)*2+--MID(A310,2,1)*4+--MID(A310,3,1)*10+--MID(A310,4,1)*3+--MID(A310,5,1)*5+--MID(A310,6,1)*9+--MID(A310,7,1)*4+--MID(A310,8,1)*6+--MID(A310,9,1)*8, IF(LEN(TRIM(A310))=12, --MID(A310,1,1)*7+--MID(A310,2,1)*2+--MID(A310,3,1)*4+--MID(A310,4,1)*10+--MID(A310,5,1)*3+--MID(A310,6,1)*5+--MID(A310,7,1)*9+--MID(A310,8,1)*4+--MID(A310,9,1)*6+--MID(A310,10,1)*8, ""))</f>
        <v/>
      </c>
      <c r="I310">
        <f>IF(LEN(TRIM(A310))=12, --MID(A310,1,1)*3+--MID(A310,2,1)*7+--MID(A310,3,1)*2+--MID(A310,4,1)*4+--MID(A310,5,1)*10+--MID(A310,6,1)*3+--MID(A310,7,1)*5+--MID(A310,8,1)*9+--MID(A310,9,1)*4+--MID(A310,10,1)*6+--MID(A310,11,1)*8, "")</f>
        <v/>
      </c>
    </row>
    <row r="311">
      <c r="A311">
        <f>SUBSTITUTE(SUBSTITUTE(SUBSTITUTE(SUBSTITUTE(TRIM(INDEX(Реестр!$B:$B,ROW())),CHAR(160),""),CHAR(9),""),CHAR(10),""),CHAR(13),"")</f>
        <v/>
      </c>
      <c r="B311">
        <f>SUBSTITUTE(SUBSTITUTE(SUBSTITUTE(SUBSTITUTE(SUBSTITUTE(SUBSTITUTE(SUBSTITUTE(TRIM(INDEX(Реестр!$D:$D, ROW())), "-", ""), " ", ""), CHAR(160), ""), CHAR(9), ""), CHAR(10), ""), CHAR(13), ""), CHAR(32), "")</f>
        <v/>
      </c>
      <c r="C311">
        <f>INDEX(Реестр!$H:$H, ROW())</f>
        <v/>
      </c>
      <c r="D311">
        <f>IF(OR(ISBLANK(INDEX(Реестр!$B:$B, ROW())), INDEX(Реестр!$B:$B, ROW())=""), " ", IF(IFERROR(ISNUMBER(--A311),FALSE), IF(LEN(A311)=10, IF(MOD(MOD(H311,11),10)=--RIGHT(A311,1), "OK", "ОШИБКА"), IF(LEN(A311)=12, IF(AND(MOD(MOD(H311,11),10)=--MID(A311,11,1), MOD(MOD(I311,11),10)=--RIGHT(A311,1)), "OK", "ОШИБКА"), "ДЛИНА (10 или 12)")), "НЕ ЦИФРЫ"))</f>
        <v/>
      </c>
      <c r="E311">
        <f>MID(B311,1,1)*9+MID(B311,2,1)*8+MID(B311,3,1)*7+MID(B311,4,1)*6+MID(B311,5,1)*5+MID(B311,6,1)*4+MID(B311,7,1)*3+MID(B311,8,1)*2+MID(B311,9,1)</f>
        <v/>
      </c>
      <c r="F311">
        <f>IF(B311="", " ", IF(LEN(B311)&lt;&gt;11, "ДЛИНА", IF(NOT(ISNUMBER(--B311)), "НЕ ЦИФРЫ", IF(LEFT(B311,9)*1&lt;=1001998, "OK", IF(RIGHT(B311,2)*1=IF(MOD(E311,101)&gt;=100,0,MOD(E311,101)),"OK","ОШИБКА")))))</f>
        <v/>
      </c>
      <c r="G3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1">
        <f>IF(LEN(TRIM(A311))=10, --MID(A311,1,1)*2+--MID(A311,2,1)*4+--MID(A311,3,1)*10+--MID(A311,4,1)*3+--MID(A311,5,1)*5+--MID(A311,6,1)*9+--MID(A311,7,1)*4+--MID(A311,8,1)*6+--MID(A311,9,1)*8, IF(LEN(TRIM(A311))=12, --MID(A311,1,1)*7+--MID(A311,2,1)*2+--MID(A311,3,1)*4+--MID(A311,4,1)*10+--MID(A311,5,1)*3+--MID(A311,6,1)*5+--MID(A311,7,1)*9+--MID(A311,8,1)*4+--MID(A311,9,1)*6+--MID(A311,10,1)*8, ""))</f>
        <v/>
      </c>
      <c r="I311">
        <f>IF(LEN(TRIM(A311))=12, --MID(A311,1,1)*3+--MID(A311,2,1)*7+--MID(A311,3,1)*2+--MID(A311,4,1)*4+--MID(A311,5,1)*10+--MID(A311,6,1)*3+--MID(A311,7,1)*5+--MID(A311,8,1)*9+--MID(A311,9,1)*4+--MID(A311,10,1)*6+--MID(A311,11,1)*8, "")</f>
        <v/>
      </c>
    </row>
    <row r="312">
      <c r="A312">
        <f>SUBSTITUTE(SUBSTITUTE(SUBSTITUTE(SUBSTITUTE(TRIM(INDEX(Реестр!$B:$B,ROW())),CHAR(160),""),CHAR(9),""),CHAR(10),""),CHAR(13),"")</f>
        <v/>
      </c>
      <c r="B312">
        <f>SUBSTITUTE(SUBSTITUTE(SUBSTITUTE(SUBSTITUTE(SUBSTITUTE(SUBSTITUTE(SUBSTITUTE(TRIM(INDEX(Реестр!$D:$D, ROW())), "-", ""), " ", ""), CHAR(160), ""), CHAR(9), ""), CHAR(10), ""), CHAR(13), ""), CHAR(32), "")</f>
        <v/>
      </c>
      <c r="C312">
        <f>INDEX(Реестр!$H:$H, ROW())</f>
        <v/>
      </c>
      <c r="D312">
        <f>IF(OR(ISBLANK(INDEX(Реестр!$B:$B, ROW())), INDEX(Реестр!$B:$B, ROW())=""), " ", IF(IFERROR(ISNUMBER(--A312),FALSE), IF(LEN(A312)=10, IF(MOD(MOD(H312,11),10)=--RIGHT(A312,1), "OK", "ОШИБКА"), IF(LEN(A312)=12, IF(AND(MOD(MOD(H312,11),10)=--MID(A312,11,1), MOD(MOD(I312,11),10)=--RIGHT(A312,1)), "OK", "ОШИБКА"), "ДЛИНА (10 или 12)")), "НЕ ЦИФРЫ"))</f>
        <v/>
      </c>
      <c r="E312">
        <f>MID(B312,1,1)*9+MID(B312,2,1)*8+MID(B312,3,1)*7+MID(B312,4,1)*6+MID(B312,5,1)*5+MID(B312,6,1)*4+MID(B312,7,1)*3+MID(B312,8,1)*2+MID(B312,9,1)</f>
        <v/>
      </c>
      <c r="F312">
        <f>IF(B312="", " ", IF(LEN(B312)&lt;&gt;11, "ДЛИНА", IF(NOT(ISNUMBER(--B312)), "НЕ ЦИФРЫ", IF(LEFT(B312,9)*1&lt;=1001998, "OK", IF(RIGHT(B312,2)*1=IF(MOD(E312,101)&gt;=100,0,MOD(E312,101)),"OK","ОШИБКА")))))</f>
        <v/>
      </c>
      <c r="G3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2">
        <f>IF(LEN(TRIM(A312))=10, --MID(A312,1,1)*2+--MID(A312,2,1)*4+--MID(A312,3,1)*10+--MID(A312,4,1)*3+--MID(A312,5,1)*5+--MID(A312,6,1)*9+--MID(A312,7,1)*4+--MID(A312,8,1)*6+--MID(A312,9,1)*8, IF(LEN(TRIM(A312))=12, --MID(A312,1,1)*7+--MID(A312,2,1)*2+--MID(A312,3,1)*4+--MID(A312,4,1)*10+--MID(A312,5,1)*3+--MID(A312,6,1)*5+--MID(A312,7,1)*9+--MID(A312,8,1)*4+--MID(A312,9,1)*6+--MID(A312,10,1)*8, ""))</f>
        <v/>
      </c>
      <c r="I312">
        <f>IF(LEN(TRIM(A312))=12, --MID(A312,1,1)*3+--MID(A312,2,1)*7+--MID(A312,3,1)*2+--MID(A312,4,1)*4+--MID(A312,5,1)*10+--MID(A312,6,1)*3+--MID(A312,7,1)*5+--MID(A312,8,1)*9+--MID(A312,9,1)*4+--MID(A312,10,1)*6+--MID(A312,11,1)*8, "")</f>
        <v/>
      </c>
    </row>
    <row r="313">
      <c r="A313">
        <f>SUBSTITUTE(SUBSTITUTE(SUBSTITUTE(SUBSTITUTE(TRIM(INDEX(Реестр!$B:$B,ROW())),CHAR(160),""),CHAR(9),""),CHAR(10),""),CHAR(13),"")</f>
        <v/>
      </c>
      <c r="B313">
        <f>SUBSTITUTE(SUBSTITUTE(SUBSTITUTE(SUBSTITUTE(SUBSTITUTE(SUBSTITUTE(SUBSTITUTE(TRIM(INDEX(Реестр!$D:$D, ROW())), "-", ""), " ", ""), CHAR(160), ""), CHAR(9), ""), CHAR(10), ""), CHAR(13), ""), CHAR(32), "")</f>
        <v/>
      </c>
      <c r="C313">
        <f>INDEX(Реестр!$H:$H, ROW())</f>
        <v/>
      </c>
      <c r="D313">
        <f>IF(OR(ISBLANK(INDEX(Реестр!$B:$B, ROW())), INDEX(Реестр!$B:$B, ROW())=""), " ", IF(IFERROR(ISNUMBER(--A313),FALSE), IF(LEN(A313)=10, IF(MOD(MOD(H313,11),10)=--RIGHT(A313,1), "OK", "ОШИБКА"), IF(LEN(A313)=12, IF(AND(MOD(MOD(H313,11),10)=--MID(A313,11,1), MOD(MOD(I313,11),10)=--RIGHT(A313,1)), "OK", "ОШИБКА"), "ДЛИНА (10 или 12)")), "НЕ ЦИФРЫ"))</f>
        <v/>
      </c>
      <c r="E313">
        <f>MID(B313,1,1)*9+MID(B313,2,1)*8+MID(B313,3,1)*7+MID(B313,4,1)*6+MID(B313,5,1)*5+MID(B313,6,1)*4+MID(B313,7,1)*3+MID(B313,8,1)*2+MID(B313,9,1)</f>
        <v/>
      </c>
      <c r="F313">
        <f>IF(B313="", " ", IF(LEN(B313)&lt;&gt;11, "ДЛИНА", IF(NOT(ISNUMBER(--B313)), "НЕ ЦИФРЫ", IF(LEFT(B313,9)*1&lt;=1001998, "OK", IF(RIGHT(B313,2)*1=IF(MOD(E313,101)&gt;=100,0,MOD(E313,101)),"OK","ОШИБКА")))))</f>
        <v/>
      </c>
      <c r="G3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3">
        <f>IF(LEN(TRIM(A313))=10, --MID(A313,1,1)*2+--MID(A313,2,1)*4+--MID(A313,3,1)*10+--MID(A313,4,1)*3+--MID(A313,5,1)*5+--MID(A313,6,1)*9+--MID(A313,7,1)*4+--MID(A313,8,1)*6+--MID(A313,9,1)*8, IF(LEN(TRIM(A313))=12, --MID(A313,1,1)*7+--MID(A313,2,1)*2+--MID(A313,3,1)*4+--MID(A313,4,1)*10+--MID(A313,5,1)*3+--MID(A313,6,1)*5+--MID(A313,7,1)*9+--MID(A313,8,1)*4+--MID(A313,9,1)*6+--MID(A313,10,1)*8, ""))</f>
        <v/>
      </c>
      <c r="I313">
        <f>IF(LEN(TRIM(A313))=12, --MID(A313,1,1)*3+--MID(A313,2,1)*7+--MID(A313,3,1)*2+--MID(A313,4,1)*4+--MID(A313,5,1)*10+--MID(A313,6,1)*3+--MID(A313,7,1)*5+--MID(A313,8,1)*9+--MID(A313,9,1)*4+--MID(A313,10,1)*6+--MID(A313,11,1)*8, "")</f>
        <v/>
      </c>
    </row>
    <row r="314">
      <c r="A314">
        <f>SUBSTITUTE(SUBSTITUTE(SUBSTITUTE(SUBSTITUTE(TRIM(INDEX(Реестр!$B:$B,ROW())),CHAR(160),""),CHAR(9),""),CHAR(10),""),CHAR(13),"")</f>
        <v/>
      </c>
      <c r="B314">
        <f>SUBSTITUTE(SUBSTITUTE(SUBSTITUTE(SUBSTITUTE(SUBSTITUTE(SUBSTITUTE(SUBSTITUTE(TRIM(INDEX(Реестр!$D:$D, ROW())), "-", ""), " ", ""), CHAR(160), ""), CHAR(9), ""), CHAR(10), ""), CHAR(13), ""), CHAR(32), "")</f>
        <v/>
      </c>
      <c r="C314">
        <f>INDEX(Реестр!$H:$H, ROW())</f>
        <v/>
      </c>
      <c r="D314">
        <f>IF(OR(ISBLANK(INDEX(Реестр!$B:$B, ROW())), INDEX(Реестр!$B:$B, ROW())=""), " ", IF(IFERROR(ISNUMBER(--A314),FALSE), IF(LEN(A314)=10, IF(MOD(MOD(H314,11),10)=--RIGHT(A314,1), "OK", "ОШИБКА"), IF(LEN(A314)=12, IF(AND(MOD(MOD(H314,11),10)=--MID(A314,11,1), MOD(MOD(I314,11),10)=--RIGHT(A314,1)), "OK", "ОШИБКА"), "ДЛИНА (10 или 12)")), "НЕ ЦИФРЫ"))</f>
        <v/>
      </c>
      <c r="E314">
        <f>MID(B314,1,1)*9+MID(B314,2,1)*8+MID(B314,3,1)*7+MID(B314,4,1)*6+MID(B314,5,1)*5+MID(B314,6,1)*4+MID(B314,7,1)*3+MID(B314,8,1)*2+MID(B314,9,1)</f>
        <v/>
      </c>
      <c r="F314">
        <f>IF(B314="", " ", IF(LEN(B314)&lt;&gt;11, "ДЛИНА", IF(NOT(ISNUMBER(--B314)), "НЕ ЦИФРЫ", IF(LEFT(B314,9)*1&lt;=1001998, "OK", IF(RIGHT(B314,2)*1=IF(MOD(E314,101)&gt;=100,0,MOD(E314,101)),"OK","ОШИБКА")))))</f>
        <v/>
      </c>
      <c r="G3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4">
        <f>IF(LEN(TRIM(A314))=10, --MID(A314,1,1)*2+--MID(A314,2,1)*4+--MID(A314,3,1)*10+--MID(A314,4,1)*3+--MID(A314,5,1)*5+--MID(A314,6,1)*9+--MID(A314,7,1)*4+--MID(A314,8,1)*6+--MID(A314,9,1)*8, IF(LEN(TRIM(A314))=12, --MID(A314,1,1)*7+--MID(A314,2,1)*2+--MID(A314,3,1)*4+--MID(A314,4,1)*10+--MID(A314,5,1)*3+--MID(A314,6,1)*5+--MID(A314,7,1)*9+--MID(A314,8,1)*4+--MID(A314,9,1)*6+--MID(A314,10,1)*8, ""))</f>
        <v/>
      </c>
      <c r="I314">
        <f>IF(LEN(TRIM(A314))=12, --MID(A314,1,1)*3+--MID(A314,2,1)*7+--MID(A314,3,1)*2+--MID(A314,4,1)*4+--MID(A314,5,1)*10+--MID(A314,6,1)*3+--MID(A314,7,1)*5+--MID(A314,8,1)*9+--MID(A314,9,1)*4+--MID(A314,10,1)*6+--MID(A314,11,1)*8, "")</f>
        <v/>
      </c>
    </row>
    <row r="315">
      <c r="A315">
        <f>SUBSTITUTE(SUBSTITUTE(SUBSTITUTE(SUBSTITUTE(TRIM(INDEX(Реестр!$B:$B,ROW())),CHAR(160),""),CHAR(9),""),CHAR(10),""),CHAR(13),"")</f>
        <v/>
      </c>
      <c r="B315">
        <f>SUBSTITUTE(SUBSTITUTE(SUBSTITUTE(SUBSTITUTE(SUBSTITUTE(SUBSTITUTE(SUBSTITUTE(TRIM(INDEX(Реестр!$D:$D, ROW())), "-", ""), " ", ""), CHAR(160), ""), CHAR(9), ""), CHAR(10), ""), CHAR(13), ""), CHAR(32), "")</f>
        <v/>
      </c>
      <c r="C315">
        <f>INDEX(Реестр!$H:$H, ROW())</f>
        <v/>
      </c>
      <c r="D315">
        <f>IF(OR(ISBLANK(INDEX(Реестр!$B:$B, ROW())), INDEX(Реестр!$B:$B, ROW())=""), " ", IF(IFERROR(ISNUMBER(--A315),FALSE), IF(LEN(A315)=10, IF(MOD(MOD(H315,11),10)=--RIGHT(A315,1), "OK", "ОШИБКА"), IF(LEN(A315)=12, IF(AND(MOD(MOD(H315,11),10)=--MID(A315,11,1), MOD(MOD(I315,11),10)=--RIGHT(A315,1)), "OK", "ОШИБКА"), "ДЛИНА (10 или 12)")), "НЕ ЦИФРЫ"))</f>
        <v/>
      </c>
      <c r="E315">
        <f>MID(B315,1,1)*9+MID(B315,2,1)*8+MID(B315,3,1)*7+MID(B315,4,1)*6+MID(B315,5,1)*5+MID(B315,6,1)*4+MID(B315,7,1)*3+MID(B315,8,1)*2+MID(B315,9,1)</f>
        <v/>
      </c>
      <c r="F315">
        <f>IF(B315="", " ", IF(LEN(B315)&lt;&gt;11, "ДЛИНА", IF(NOT(ISNUMBER(--B315)), "НЕ ЦИФРЫ", IF(LEFT(B315,9)*1&lt;=1001998, "OK", IF(RIGHT(B315,2)*1=IF(MOD(E315,101)&gt;=100,0,MOD(E315,101)),"OK","ОШИБКА")))))</f>
        <v/>
      </c>
      <c r="G3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5">
        <f>IF(LEN(TRIM(A315))=10, --MID(A315,1,1)*2+--MID(A315,2,1)*4+--MID(A315,3,1)*10+--MID(A315,4,1)*3+--MID(A315,5,1)*5+--MID(A315,6,1)*9+--MID(A315,7,1)*4+--MID(A315,8,1)*6+--MID(A315,9,1)*8, IF(LEN(TRIM(A315))=12, --MID(A315,1,1)*7+--MID(A315,2,1)*2+--MID(A315,3,1)*4+--MID(A315,4,1)*10+--MID(A315,5,1)*3+--MID(A315,6,1)*5+--MID(A315,7,1)*9+--MID(A315,8,1)*4+--MID(A315,9,1)*6+--MID(A315,10,1)*8, ""))</f>
        <v/>
      </c>
      <c r="I315">
        <f>IF(LEN(TRIM(A315))=12, --MID(A315,1,1)*3+--MID(A315,2,1)*7+--MID(A315,3,1)*2+--MID(A315,4,1)*4+--MID(A315,5,1)*10+--MID(A315,6,1)*3+--MID(A315,7,1)*5+--MID(A315,8,1)*9+--MID(A315,9,1)*4+--MID(A315,10,1)*6+--MID(A315,11,1)*8, "")</f>
        <v/>
      </c>
    </row>
    <row r="316">
      <c r="A316">
        <f>SUBSTITUTE(SUBSTITUTE(SUBSTITUTE(SUBSTITUTE(TRIM(INDEX(Реестр!$B:$B,ROW())),CHAR(160),""),CHAR(9),""),CHAR(10),""),CHAR(13),"")</f>
        <v/>
      </c>
      <c r="B316">
        <f>SUBSTITUTE(SUBSTITUTE(SUBSTITUTE(SUBSTITUTE(SUBSTITUTE(SUBSTITUTE(SUBSTITUTE(TRIM(INDEX(Реестр!$D:$D, ROW())), "-", ""), " ", ""), CHAR(160), ""), CHAR(9), ""), CHAR(10), ""), CHAR(13), ""), CHAR(32), "")</f>
        <v/>
      </c>
      <c r="C316">
        <f>INDEX(Реестр!$H:$H, ROW())</f>
        <v/>
      </c>
      <c r="D316">
        <f>IF(OR(ISBLANK(INDEX(Реестр!$B:$B, ROW())), INDEX(Реестр!$B:$B, ROW())=""), " ", IF(IFERROR(ISNUMBER(--A316),FALSE), IF(LEN(A316)=10, IF(MOD(MOD(H316,11),10)=--RIGHT(A316,1), "OK", "ОШИБКА"), IF(LEN(A316)=12, IF(AND(MOD(MOD(H316,11),10)=--MID(A316,11,1), MOD(MOD(I316,11),10)=--RIGHT(A316,1)), "OK", "ОШИБКА"), "ДЛИНА (10 или 12)")), "НЕ ЦИФРЫ"))</f>
        <v/>
      </c>
      <c r="E316">
        <f>MID(B316,1,1)*9+MID(B316,2,1)*8+MID(B316,3,1)*7+MID(B316,4,1)*6+MID(B316,5,1)*5+MID(B316,6,1)*4+MID(B316,7,1)*3+MID(B316,8,1)*2+MID(B316,9,1)</f>
        <v/>
      </c>
      <c r="F316">
        <f>IF(B316="", " ", IF(LEN(B316)&lt;&gt;11, "ДЛИНА", IF(NOT(ISNUMBER(--B316)), "НЕ ЦИФРЫ", IF(LEFT(B316,9)*1&lt;=1001998, "OK", IF(RIGHT(B316,2)*1=IF(MOD(E316,101)&gt;=100,0,MOD(E316,101)),"OK","ОШИБКА")))))</f>
        <v/>
      </c>
      <c r="G3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6">
        <f>IF(LEN(TRIM(A316))=10, --MID(A316,1,1)*2+--MID(A316,2,1)*4+--MID(A316,3,1)*10+--MID(A316,4,1)*3+--MID(A316,5,1)*5+--MID(A316,6,1)*9+--MID(A316,7,1)*4+--MID(A316,8,1)*6+--MID(A316,9,1)*8, IF(LEN(TRIM(A316))=12, --MID(A316,1,1)*7+--MID(A316,2,1)*2+--MID(A316,3,1)*4+--MID(A316,4,1)*10+--MID(A316,5,1)*3+--MID(A316,6,1)*5+--MID(A316,7,1)*9+--MID(A316,8,1)*4+--MID(A316,9,1)*6+--MID(A316,10,1)*8, ""))</f>
        <v/>
      </c>
      <c r="I316">
        <f>IF(LEN(TRIM(A316))=12, --MID(A316,1,1)*3+--MID(A316,2,1)*7+--MID(A316,3,1)*2+--MID(A316,4,1)*4+--MID(A316,5,1)*10+--MID(A316,6,1)*3+--MID(A316,7,1)*5+--MID(A316,8,1)*9+--MID(A316,9,1)*4+--MID(A316,10,1)*6+--MID(A316,11,1)*8, "")</f>
        <v/>
      </c>
    </row>
    <row r="317">
      <c r="A317">
        <f>SUBSTITUTE(SUBSTITUTE(SUBSTITUTE(SUBSTITUTE(TRIM(INDEX(Реестр!$B:$B,ROW())),CHAR(160),""),CHAR(9),""),CHAR(10),""),CHAR(13),"")</f>
        <v/>
      </c>
      <c r="B317">
        <f>SUBSTITUTE(SUBSTITUTE(SUBSTITUTE(SUBSTITUTE(SUBSTITUTE(SUBSTITUTE(SUBSTITUTE(TRIM(INDEX(Реестр!$D:$D, ROW())), "-", ""), " ", ""), CHAR(160), ""), CHAR(9), ""), CHAR(10), ""), CHAR(13), ""), CHAR(32), "")</f>
        <v/>
      </c>
      <c r="C317">
        <f>INDEX(Реестр!$H:$H, ROW())</f>
        <v/>
      </c>
      <c r="D317">
        <f>IF(OR(ISBLANK(INDEX(Реестр!$B:$B, ROW())), INDEX(Реестр!$B:$B, ROW())=""), " ", IF(IFERROR(ISNUMBER(--A317),FALSE), IF(LEN(A317)=10, IF(MOD(MOD(H317,11),10)=--RIGHT(A317,1), "OK", "ОШИБКА"), IF(LEN(A317)=12, IF(AND(MOD(MOD(H317,11),10)=--MID(A317,11,1), MOD(MOD(I317,11),10)=--RIGHT(A317,1)), "OK", "ОШИБКА"), "ДЛИНА (10 или 12)")), "НЕ ЦИФРЫ"))</f>
        <v/>
      </c>
      <c r="E317">
        <f>MID(B317,1,1)*9+MID(B317,2,1)*8+MID(B317,3,1)*7+MID(B317,4,1)*6+MID(B317,5,1)*5+MID(B317,6,1)*4+MID(B317,7,1)*3+MID(B317,8,1)*2+MID(B317,9,1)</f>
        <v/>
      </c>
      <c r="F317">
        <f>IF(B317="", " ", IF(LEN(B317)&lt;&gt;11, "ДЛИНА", IF(NOT(ISNUMBER(--B317)), "НЕ ЦИФРЫ", IF(LEFT(B317,9)*1&lt;=1001998, "OK", IF(RIGHT(B317,2)*1=IF(MOD(E317,101)&gt;=100,0,MOD(E317,101)),"OK","ОШИБКА")))))</f>
        <v/>
      </c>
      <c r="G3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7">
        <f>IF(LEN(TRIM(A317))=10, --MID(A317,1,1)*2+--MID(A317,2,1)*4+--MID(A317,3,1)*10+--MID(A317,4,1)*3+--MID(A317,5,1)*5+--MID(A317,6,1)*9+--MID(A317,7,1)*4+--MID(A317,8,1)*6+--MID(A317,9,1)*8, IF(LEN(TRIM(A317))=12, --MID(A317,1,1)*7+--MID(A317,2,1)*2+--MID(A317,3,1)*4+--MID(A317,4,1)*10+--MID(A317,5,1)*3+--MID(A317,6,1)*5+--MID(A317,7,1)*9+--MID(A317,8,1)*4+--MID(A317,9,1)*6+--MID(A317,10,1)*8, ""))</f>
        <v/>
      </c>
      <c r="I317">
        <f>IF(LEN(TRIM(A317))=12, --MID(A317,1,1)*3+--MID(A317,2,1)*7+--MID(A317,3,1)*2+--MID(A317,4,1)*4+--MID(A317,5,1)*10+--MID(A317,6,1)*3+--MID(A317,7,1)*5+--MID(A317,8,1)*9+--MID(A317,9,1)*4+--MID(A317,10,1)*6+--MID(A317,11,1)*8, "")</f>
        <v/>
      </c>
    </row>
    <row r="318">
      <c r="A318">
        <f>SUBSTITUTE(SUBSTITUTE(SUBSTITUTE(SUBSTITUTE(TRIM(INDEX(Реестр!$B:$B,ROW())),CHAR(160),""),CHAR(9),""),CHAR(10),""),CHAR(13),"")</f>
        <v/>
      </c>
      <c r="B318">
        <f>SUBSTITUTE(SUBSTITUTE(SUBSTITUTE(SUBSTITUTE(SUBSTITUTE(SUBSTITUTE(SUBSTITUTE(TRIM(INDEX(Реестр!$D:$D, ROW())), "-", ""), " ", ""), CHAR(160), ""), CHAR(9), ""), CHAR(10), ""), CHAR(13), ""), CHAR(32), "")</f>
        <v/>
      </c>
      <c r="C318">
        <f>INDEX(Реестр!$H:$H, ROW())</f>
        <v/>
      </c>
      <c r="D318">
        <f>IF(OR(ISBLANK(INDEX(Реестр!$B:$B, ROW())), INDEX(Реестр!$B:$B, ROW())=""), " ", IF(IFERROR(ISNUMBER(--A318),FALSE), IF(LEN(A318)=10, IF(MOD(MOD(H318,11),10)=--RIGHT(A318,1), "OK", "ОШИБКА"), IF(LEN(A318)=12, IF(AND(MOD(MOD(H318,11),10)=--MID(A318,11,1), MOD(MOD(I318,11),10)=--RIGHT(A318,1)), "OK", "ОШИБКА"), "ДЛИНА (10 или 12)")), "НЕ ЦИФРЫ"))</f>
        <v/>
      </c>
      <c r="E318">
        <f>MID(B318,1,1)*9+MID(B318,2,1)*8+MID(B318,3,1)*7+MID(B318,4,1)*6+MID(B318,5,1)*5+MID(B318,6,1)*4+MID(B318,7,1)*3+MID(B318,8,1)*2+MID(B318,9,1)</f>
        <v/>
      </c>
      <c r="F318">
        <f>IF(B318="", " ", IF(LEN(B318)&lt;&gt;11, "ДЛИНА", IF(NOT(ISNUMBER(--B318)), "НЕ ЦИФРЫ", IF(LEFT(B318,9)*1&lt;=1001998, "OK", IF(RIGHT(B318,2)*1=IF(MOD(E318,101)&gt;=100,0,MOD(E318,101)),"OK","ОШИБКА")))))</f>
        <v/>
      </c>
      <c r="G3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8">
        <f>IF(LEN(TRIM(A318))=10, --MID(A318,1,1)*2+--MID(A318,2,1)*4+--MID(A318,3,1)*10+--MID(A318,4,1)*3+--MID(A318,5,1)*5+--MID(A318,6,1)*9+--MID(A318,7,1)*4+--MID(A318,8,1)*6+--MID(A318,9,1)*8, IF(LEN(TRIM(A318))=12, --MID(A318,1,1)*7+--MID(A318,2,1)*2+--MID(A318,3,1)*4+--MID(A318,4,1)*10+--MID(A318,5,1)*3+--MID(A318,6,1)*5+--MID(A318,7,1)*9+--MID(A318,8,1)*4+--MID(A318,9,1)*6+--MID(A318,10,1)*8, ""))</f>
        <v/>
      </c>
      <c r="I318">
        <f>IF(LEN(TRIM(A318))=12, --MID(A318,1,1)*3+--MID(A318,2,1)*7+--MID(A318,3,1)*2+--MID(A318,4,1)*4+--MID(A318,5,1)*10+--MID(A318,6,1)*3+--MID(A318,7,1)*5+--MID(A318,8,1)*9+--MID(A318,9,1)*4+--MID(A318,10,1)*6+--MID(A318,11,1)*8, "")</f>
        <v/>
      </c>
    </row>
    <row r="319">
      <c r="A319">
        <f>SUBSTITUTE(SUBSTITUTE(SUBSTITUTE(SUBSTITUTE(TRIM(INDEX(Реестр!$B:$B,ROW())),CHAR(160),""),CHAR(9),""),CHAR(10),""),CHAR(13),"")</f>
        <v/>
      </c>
      <c r="B319">
        <f>SUBSTITUTE(SUBSTITUTE(SUBSTITUTE(SUBSTITUTE(SUBSTITUTE(SUBSTITUTE(SUBSTITUTE(TRIM(INDEX(Реестр!$D:$D, ROW())), "-", ""), " ", ""), CHAR(160), ""), CHAR(9), ""), CHAR(10), ""), CHAR(13), ""), CHAR(32), "")</f>
        <v/>
      </c>
      <c r="C319">
        <f>INDEX(Реестр!$H:$H, ROW())</f>
        <v/>
      </c>
      <c r="D319">
        <f>IF(OR(ISBLANK(INDEX(Реестр!$B:$B, ROW())), INDEX(Реестр!$B:$B, ROW())=""), " ", IF(IFERROR(ISNUMBER(--A319),FALSE), IF(LEN(A319)=10, IF(MOD(MOD(H319,11),10)=--RIGHT(A319,1), "OK", "ОШИБКА"), IF(LEN(A319)=12, IF(AND(MOD(MOD(H319,11),10)=--MID(A319,11,1), MOD(MOD(I319,11),10)=--RIGHT(A319,1)), "OK", "ОШИБКА"), "ДЛИНА (10 или 12)")), "НЕ ЦИФРЫ"))</f>
        <v/>
      </c>
      <c r="E319">
        <f>MID(B319,1,1)*9+MID(B319,2,1)*8+MID(B319,3,1)*7+MID(B319,4,1)*6+MID(B319,5,1)*5+MID(B319,6,1)*4+MID(B319,7,1)*3+MID(B319,8,1)*2+MID(B319,9,1)</f>
        <v/>
      </c>
      <c r="F319">
        <f>IF(B319="", " ", IF(LEN(B319)&lt;&gt;11, "ДЛИНА", IF(NOT(ISNUMBER(--B319)), "НЕ ЦИФРЫ", IF(LEFT(B319,9)*1&lt;=1001998, "OK", IF(RIGHT(B319,2)*1=IF(MOD(E319,101)&gt;=100,0,MOD(E319,101)),"OK","ОШИБКА")))))</f>
        <v/>
      </c>
      <c r="G3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19">
        <f>IF(LEN(TRIM(A319))=10, --MID(A319,1,1)*2+--MID(A319,2,1)*4+--MID(A319,3,1)*10+--MID(A319,4,1)*3+--MID(A319,5,1)*5+--MID(A319,6,1)*9+--MID(A319,7,1)*4+--MID(A319,8,1)*6+--MID(A319,9,1)*8, IF(LEN(TRIM(A319))=12, --MID(A319,1,1)*7+--MID(A319,2,1)*2+--MID(A319,3,1)*4+--MID(A319,4,1)*10+--MID(A319,5,1)*3+--MID(A319,6,1)*5+--MID(A319,7,1)*9+--MID(A319,8,1)*4+--MID(A319,9,1)*6+--MID(A319,10,1)*8, ""))</f>
        <v/>
      </c>
      <c r="I319">
        <f>IF(LEN(TRIM(A319))=12, --MID(A319,1,1)*3+--MID(A319,2,1)*7+--MID(A319,3,1)*2+--MID(A319,4,1)*4+--MID(A319,5,1)*10+--MID(A319,6,1)*3+--MID(A319,7,1)*5+--MID(A319,8,1)*9+--MID(A319,9,1)*4+--MID(A319,10,1)*6+--MID(A319,11,1)*8, "")</f>
        <v/>
      </c>
    </row>
    <row r="320">
      <c r="A320">
        <f>SUBSTITUTE(SUBSTITUTE(SUBSTITUTE(SUBSTITUTE(TRIM(INDEX(Реестр!$B:$B,ROW())),CHAR(160),""),CHAR(9),""),CHAR(10),""),CHAR(13),"")</f>
        <v/>
      </c>
      <c r="B320">
        <f>SUBSTITUTE(SUBSTITUTE(SUBSTITUTE(SUBSTITUTE(SUBSTITUTE(SUBSTITUTE(SUBSTITUTE(TRIM(INDEX(Реестр!$D:$D, ROW())), "-", ""), " ", ""), CHAR(160), ""), CHAR(9), ""), CHAR(10), ""), CHAR(13), ""), CHAR(32), "")</f>
        <v/>
      </c>
      <c r="C320">
        <f>INDEX(Реестр!$H:$H, ROW())</f>
        <v/>
      </c>
      <c r="D320">
        <f>IF(OR(ISBLANK(INDEX(Реестр!$B:$B, ROW())), INDEX(Реестр!$B:$B, ROW())=""), " ", IF(IFERROR(ISNUMBER(--A320),FALSE), IF(LEN(A320)=10, IF(MOD(MOD(H320,11),10)=--RIGHT(A320,1), "OK", "ОШИБКА"), IF(LEN(A320)=12, IF(AND(MOD(MOD(H320,11),10)=--MID(A320,11,1), MOD(MOD(I320,11),10)=--RIGHT(A320,1)), "OK", "ОШИБКА"), "ДЛИНА (10 или 12)")), "НЕ ЦИФРЫ"))</f>
        <v/>
      </c>
      <c r="E320">
        <f>MID(B320,1,1)*9+MID(B320,2,1)*8+MID(B320,3,1)*7+MID(B320,4,1)*6+MID(B320,5,1)*5+MID(B320,6,1)*4+MID(B320,7,1)*3+MID(B320,8,1)*2+MID(B320,9,1)</f>
        <v/>
      </c>
      <c r="F320">
        <f>IF(B320="", " ", IF(LEN(B320)&lt;&gt;11, "ДЛИНА", IF(NOT(ISNUMBER(--B320)), "НЕ ЦИФРЫ", IF(LEFT(B320,9)*1&lt;=1001998, "OK", IF(RIGHT(B320,2)*1=IF(MOD(E320,101)&gt;=100,0,MOD(E320,101)),"OK","ОШИБКА")))))</f>
        <v/>
      </c>
      <c r="G3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0">
        <f>IF(LEN(TRIM(A320))=10, --MID(A320,1,1)*2+--MID(A320,2,1)*4+--MID(A320,3,1)*10+--MID(A320,4,1)*3+--MID(A320,5,1)*5+--MID(A320,6,1)*9+--MID(A320,7,1)*4+--MID(A320,8,1)*6+--MID(A320,9,1)*8, IF(LEN(TRIM(A320))=12, --MID(A320,1,1)*7+--MID(A320,2,1)*2+--MID(A320,3,1)*4+--MID(A320,4,1)*10+--MID(A320,5,1)*3+--MID(A320,6,1)*5+--MID(A320,7,1)*9+--MID(A320,8,1)*4+--MID(A320,9,1)*6+--MID(A320,10,1)*8, ""))</f>
        <v/>
      </c>
      <c r="I320">
        <f>IF(LEN(TRIM(A320))=12, --MID(A320,1,1)*3+--MID(A320,2,1)*7+--MID(A320,3,1)*2+--MID(A320,4,1)*4+--MID(A320,5,1)*10+--MID(A320,6,1)*3+--MID(A320,7,1)*5+--MID(A320,8,1)*9+--MID(A320,9,1)*4+--MID(A320,10,1)*6+--MID(A320,11,1)*8, "")</f>
        <v/>
      </c>
    </row>
    <row r="321">
      <c r="A321">
        <f>SUBSTITUTE(SUBSTITUTE(SUBSTITUTE(SUBSTITUTE(TRIM(INDEX(Реестр!$B:$B,ROW())),CHAR(160),""),CHAR(9),""),CHAR(10),""),CHAR(13),"")</f>
        <v/>
      </c>
      <c r="B321">
        <f>SUBSTITUTE(SUBSTITUTE(SUBSTITUTE(SUBSTITUTE(SUBSTITUTE(SUBSTITUTE(SUBSTITUTE(TRIM(INDEX(Реестр!$D:$D, ROW())), "-", ""), " ", ""), CHAR(160), ""), CHAR(9), ""), CHAR(10), ""), CHAR(13), ""), CHAR(32), "")</f>
        <v/>
      </c>
      <c r="C321">
        <f>INDEX(Реестр!$H:$H, ROW())</f>
        <v/>
      </c>
      <c r="D321">
        <f>IF(OR(ISBLANK(INDEX(Реестр!$B:$B, ROW())), INDEX(Реестр!$B:$B, ROW())=""), " ", IF(IFERROR(ISNUMBER(--A321),FALSE), IF(LEN(A321)=10, IF(MOD(MOD(H321,11),10)=--RIGHT(A321,1), "OK", "ОШИБКА"), IF(LEN(A321)=12, IF(AND(MOD(MOD(H321,11),10)=--MID(A321,11,1), MOD(MOD(I321,11),10)=--RIGHT(A321,1)), "OK", "ОШИБКА"), "ДЛИНА (10 или 12)")), "НЕ ЦИФРЫ"))</f>
        <v/>
      </c>
      <c r="E321">
        <f>MID(B321,1,1)*9+MID(B321,2,1)*8+MID(B321,3,1)*7+MID(B321,4,1)*6+MID(B321,5,1)*5+MID(B321,6,1)*4+MID(B321,7,1)*3+MID(B321,8,1)*2+MID(B321,9,1)</f>
        <v/>
      </c>
      <c r="F321">
        <f>IF(B321="", " ", IF(LEN(B321)&lt;&gt;11, "ДЛИНА", IF(NOT(ISNUMBER(--B321)), "НЕ ЦИФРЫ", IF(LEFT(B321,9)*1&lt;=1001998, "OK", IF(RIGHT(B321,2)*1=IF(MOD(E321,101)&gt;=100,0,MOD(E321,101)),"OK","ОШИБКА")))))</f>
        <v/>
      </c>
      <c r="G3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1">
        <f>IF(LEN(TRIM(A321))=10, --MID(A321,1,1)*2+--MID(A321,2,1)*4+--MID(A321,3,1)*10+--MID(A321,4,1)*3+--MID(A321,5,1)*5+--MID(A321,6,1)*9+--MID(A321,7,1)*4+--MID(A321,8,1)*6+--MID(A321,9,1)*8, IF(LEN(TRIM(A321))=12, --MID(A321,1,1)*7+--MID(A321,2,1)*2+--MID(A321,3,1)*4+--MID(A321,4,1)*10+--MID(A321,5,1)*3+--MID(A321,6,1)*5+--MID(A321,7,1)*9+--MID(A321,8,1)*4+--MID(A321,9,1)*6+--MID(A321,10,1)*8, ""))</f>
        <v/>
      </c>
      <c r="I321">
        <f>IF(LEN(TRIM(A321))=12, --MID(A321,1,1)*3+--MID(A321,2,1)*7+--MID(A321,3,1)*2+--MID(A321,4,1)*4+--MID(A321,5,1)*10+--MID(A321,6,1)*3+--MID(A321,7,1)*5+--MID(A321,8,1)*9+--MID(A321,9,1)*4+--MID(A321,10,1)*6+--MID(A321,11,1)*8, "")</f>
        <v/>
      </c>
    </row>
    <row r="322">
      <c r="A322">
        <f>SUBSTITUTE(SUBSTITUTE(SUBSTITUTE(SUBSTITUTE(TRIM(INDEX(Реестр!$B:$B,ROW())),CHAR(160),""),CHAR(9),""),CHAR(10),""),CHAR(13),"")</f>
        <v/>
      </c>
      <c r="B322">
        <f>SUBSTITUTE(SUBSTITUTE(SUBSTITUTE(SUBSTITUTE(SUBSTITUTE(SUBSTITUTE(SUBSTITUTE(TRIM(INDEX(Реестр!$D:$D, ROW())), "-", ""), " ", ""), CHAR(160), ""), CHAR(9), ""), CHAR(10), ""), CHAR(13), ""), CHAR(32), "")</f>
        <v/>
      </c>
      <c r="C322">
        <f>INDEX(Реестр!$H:$H, ROW())</f>
        <v/>
      </c>
      <c r="D322">
        <f>IF(OR(ISBLANK(INDEX(Реестр!$B:$B, ROW())), INDEX(Реестр!$B:$B, ROW())=""), " ", IF(IFERROR(ISNUMBER(--A322),FALSE), IF(LEN(A322)=10, IF(MOD(MOD(H322,11),10)=--RIGHT(A322,1), "OK", "ОШИБКА"), IF(LEN(A322)=12, IF(AND(MOD(MOD(H322,11),10)=--MID(A322,11,1), MOD(MOD(I322,11),10)=--RIGHT(A322,1)), "OK", "ОШИБКА"), "ДЛИНА (10 или 12)")), "НЕ ЦИФРЫ"))</f>
        <v/>
      </c>
      <c r="E322">
        <f>MID(B322,1,1)*9+MID(B322,2,1)*8+MID(B322,3,1)*7+MID(B322,4,1)*6+MID(B322,5,1)*5+MID(B322,6,1)*4+MID(B322,7,1)*3+MID(B322,8,1)*2+MID(B322,9,1)</f>
        <v/>
      </c>
      <c r="F322">
        <f>IF(B322="", " ", IF(LEN(B322)&lt;&gt;11, "ДЛИНА", IF(NOT(ISNUMBER(--B322)), "НЕ ЦИФРЫ", IF(LEFT(B322,9)*1&lt;=1001998, "OK", IF(RIGHT(B322,2)*1=IF(MOD(E322,101)&gt;=100,0,MOD(E322,101)),"OK","ОШИБКА")))))</f>
        <v/>
      </c>
      <c r="G3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2">
        <f>IF(LEN(TRIM(A322))=10, --MID(A322,1,1)*2+--MID(A322,2,1)*4+--MID(A322,3,1)*10+--MID(A322,4,1)*3+--MID(A322,5,1)*5+--MID(A322,6,1)*9+--MID(A322,7,1)*4+--MID(A322,8,1)*6+--MID(A322,9,1)*8, IF(LEN(TRIM(A322))=12, --MID(A322,1,1)*7+--MID(A322,2,1)*2+--MID(A322,3,1)*4+--MID(A322,4,1)*10+--MID(A322,5,1)*3+--MID(A322,6,1)*5+--MID(A322,7,1)*9+--MID(A322,8,1)*4+--MID(A322,9,1)*6+--MID(A322,10,1)*8, ""))</f>
        <v/>
      </c>
      <c r="I322">
        <f>IF(LEN(TRIM(A322))=12, --MID(A322,1,1)*3+--MID(A322,2,1)*7+--MID(A322,3,1)*2+--MID(A322,4,1)*4+--MID(A322,5,1)*10+--MID(A322,6,1)*3+--MID(A322,7,1)*5+--MID(A322,8,1)*9+--MID(A322,9,1)*4+--MID(A322,10,1)*6+--MID(A322,11,1)*8, "")</f>
        <v/>
      </c>
    </row>
    <row r="323">
      <c r="A323">
        <f>SUBSTITUTE(SUBSTITUTE(SUBSTITUTE(SUBSTITUTE(TRIM(INDEX(Реестр!$B:$B,ROW())),CHAR(160),""),CHAR(9),""),CHAR(10),""),CHAR(13),"")</f>
        <v/>
      </c>
      <c r="B323">
        <f>SUBSTITUTE(SUBSTITUTE(SUBSTITUTE(SUBSTITUTE(SUBSTITUTE(SUBSTITUTE(SUBSTITUTE(TRIM(INDEX(Реестр!$D:$D, ROW())), "-", ""), " ", ""), CHAR(160), ""), CHAR(9), ""), CHAR(10), ""), CHAR(13), ""), CHAR(32), "")</f>
        <v/>
      </c>
      <c r="C323">
        <f>INDEX(Реестр!$H:$H, ROW())</f>
        <v/>
      </c>
      <c r="D323">
        <f>IF(OR(ISBLANK(INDEX(Реестр!$B:$B, ROW())), INDEX(Реестр!$B:$B, ROW())=""), " ", IF(IFERROR(ISNUMBER(--A323),FALSE), IF(LEN(A323)=10, IF(MOD(MOD(H323,11),10)=--RIGHT(A323,1), "OK", "ОШИБКА"), IF(LEN(A323)=12, IF(AND(MOD(MOD(H323,11),10)=--MID(A323,11,1), MOD(MOD(I323,11),10)=--RIGHT(A323,1)), "OK", "ОШИБКА"), "ДЛИНА (10 или 12)")), "НЕ ЦИФРЫ"))</f>
        <v/>
      </c>
      <c r="E323">
        <f>MID(B323,1,1)*9+MID(B323,2,1)*8+MID(B323,3,1)*7+MID(B323,4,1)*6+MID(B323,5,1)*5+MID(B323,6,1)*4+MID(B323,7,1)*3+MID(B323,8,1)*2+MID(B323,9,1)</f>
        <v/>
      </c>
      <c r="F323">
        <f>IF(B323="", " ", IF(LEN(B323)&lt;&gt;11, "ДЛИНА", IF(NOT(ISNUMBER(--B323)), "НЕ ЦИФРЫ", IF(LEFT(B323,9)*1&lt;=1001998, "OK", IF(RIGHT(B323,2)*1=IF(MOD(E323,101)&gt;=100,0,MOD(E323,101)),"OK","ОШИБКА")))))</f>
        <v/>
      </c>
      <c r="G3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3">
        <f>IF(LEN(TRIM(A323))=10, --MID(A323,1,1)*2+--MID(A323,2,1)*4+--MID(A323,3,1)*10+--MID(A323,4,1)*3+--MID(A323,5,1)*5+--MID(A323,6,1)*9+--MID(A323,7,1)*4+--MID(A323,8,1)*6+--MID(A323,9,1)*8, IF(LEN(TRIM(A323))=12, --MID(A323,1,1)*7+--MID(A323,2,1)*2+--MID(A323,3,1)*4+--MID(A323,4,1)*10+--MID(A323,5,1)*3+--MID(A323,6,1)*5+--MID(A323,7,1)*9+--MID(A323,8,1)*4+--MID(A323,9,1)*6+--MID(A323,10,1)*8, ""))</f>
        <v/>
      </c>
      <c r="I323">
        <f>IF(LEN(TRIM(A323))=12, --MID(A323,1,1)*3+--MID(A323,2,1)*7+--MID(A323,3,1)*2+--MID(A323,4,1)*4+--MID(A323,5,1)*10+--MID(A323,6,1)*3+--MID(A323,7,1)*5+--MID(A323,8,1)*9+--MID(A323,9,1)*4+--MID(A323,10,1)*6+--MID(A323,11,1)*8, "")</f>
        <v/>
      </c>
    </row>
    <row r="324">
      <c r="A324">
        <f>SUBSTITUTE(SUBSTITUTE(SUBSTITUTE(SUBSTITUTE(TRIM(INDEX(Реестр!$B:$B,ROW())),CHAR(160),""),CHAR(9),""),CHAR(10),""),CHAR(13),"")</f>
        <v/>
      </c>
      <c r="B324">
        <f>SUBSTITUTE(SUBSTITUTE(SUBSTITUTE(SUBSTITUTE(SUBSTITUTE(SUBSTITUTE(SUBSTITUTE(TRIM(INDEX(Реестр!$D:$D, ROW())), "-", ""), " ", ""), CHAR(160), ""), CHAR(9), ""), CHAR(10), ""), CHAR(13), ""), CHAR(32), "")</f>
        <v/>
      </c>
      <c r="C324">
        <f>INDEX(Реестр!$H:$H, ROW())</f>
        <v/>
      </c>
      <c r="D324">
        <f>IF(OR(ISBLANK(INDEX(Реестр!$B:$B, ROW())), INDEX(Реестр!$B:$B, ROW())=""), " ", IF(IFERROR(ISNUMBER(--A324),FALSE), IF(LEN(A324)=10, IF(MOD(MOD(H324,11),10)=--RIGHT(A324,1), "OK", "ОШИБКА"), IF(LEN(A324)=12, IF(AND(MOD(MOD(H324,11),10)=--MID(A324,11,1), MOD(MOD(I324,11),10)=--RIGHT(A324,1)), "OK", "ОШИБКА"), "ДЛИНА (10 или 12)")), "НЕ ЦИФРЫ"))</f>
        <v/>
      </c>
      <c r="E324">
        <f>MID(B324,1,1)*9+MID(B324,2,1)*8+MID(B324,3,1)*7+MID(B324,4,1)*6+MID(B324,5,1)*5+MID(B324,6,1)*4+MID(B324,7,1)*3+MID(B324,8,1)*2+MID(B324,9,1)</f>
        <v/>
      </c>
      <c r="F324">
        <f>IF(B324="", " ", IF(LEN(B324)&lt;&gt;11, "ДЛИНА", IF(NOT(ISNUMBER(--B324)), "НЕ ЦИФРЫ", IF(LEFT(B324,9)*1&lt;=1001998, "OK", IF(RIGHT(B324,2)*1=IF(MOD(E324,101)&gt;=100,0,MOD(E324,101)),"OK","ОШИБКА")))))</f>
        <v/>
      </c>
      <c r="G3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4">
        <f>IF(LEN(TRIM(A324))=10, --MID(A324,1,1)*2+--MID(A324,2,1)*4+--MID(A324,3,1)*10+--MID(A324,4,1)*3+--MID(A324,5,1)*5+--MID(A324,6,1)*9+--MID(A324,7,1)*4+--MID(A324,8,1)*6+--MID(A324,9,1)*8, IF(LEN(TRIM(A324))=12, --MID(A324,1,1)*7+--MID(A324,2,1)*2+--MID(A324,3,1)*4+--MID(A324,4,1)*10+--MID(A324,5,1)*3+--MID(A324,6,1)*5+--MID(A324,7,1)*9+--MID(A324,8,1)*4+--MID(A324,9,1)*6+--MID(A324,10,1)*8, ""))</f>
        <v/>
      </c>
      <c r="I324">
        <f>IF(LEN(TRIM(A324))=12, --MID(A324,1,1)*3+--MID(A324,2,1)*7+--MID(A324,3,1)*2+--MID(A324,4,1)*4+--MID(A324,5,1)*10+--MID(A324,6,1)*3+--MID(A324,7,1)*5+--MID(A324,8,1)*9+--MID(A324,9,1)*4+--MID(A324,10,1)*6+--MID(A324,11,1)*8, "")</f>
        <v/>
      </c>
    </row>
    <row r="325">
      <c r="A325">
        <f>SUBSTITUTE(SUBSTITUTE(SUBSTITUTE(SUBSTITUTE(TRIM(INDEX(Реестр!$B:$B,ROW())),CHAR(160),""),CHAR(9),""),CHAR(10),""),CHAR(13),"")</f>
        <v/>
      </c>
      <c r="B325">
        <f>SUBSTITUTE(SUBSTITUTE(SUBSTITUTE(SUBSTITUTE(SUBSTITUTE(SUBSTITUTE(SUBSTITUTE(TRIM(INDEX(Реестр!$D:$D, ROW())), "-", ""), " ", ""), CHAR(160), ""), CHAR(9), ""), CHAR(10), ""), CHAR(13), ""), CHAR(32), "")</f>
        <v/>
      </c>
      <c r="C325">
        <f>INDEX(Реестр!$H:$H, ROW())</f>
        <v/>
      </c>
      <c r="D325">
        <f>IF(OR(ISBLANK(INDEX(Реестр!$B:$B, ROW())), INDEX(Реестр!$B:$B, ROW())=""), " ", IF(IFERROR(ISNUMBER(--A325),FALSE), IF(LEN(A325)=10, IF(MOD(MOD(H325,11),10)=--RIGHT(A325,1), "OK", "ОШИБКА"), IF(LEN(A325)=12, IF(AND(MOD(MOD(H325,11),10)=--MID(A325,11,1), MOD(MOD(I325,11),10)=--RIGHT(A325,1)), "OK", "ОШИБКА"), "ДЛИНА (10 или 12)")), "НЕ ЦИФРЫ"))</f>
        <v/>
      </c>
      <c r="E325">
        <f>MID(B325,1,1)*9+MID(B325,2,1)*8+MID(B325,3,1)*7+MID(B325,4,1)*6+MID(B325,5,1)*5+MID(B325,6,1)*4+MID(B325,7,1)*3+MID(B325,8,1)*2+MID(B325,9,1)</f>
        <v/>
      </c>
      <c r="F325">
        <f>IF(B325="", " ", IF(LEN(B325)&lt;&gt;11, "ДЛИНА", IF(NOT(ISNUMBER(--B325)), "НЕ ЦИФРЫ", IF(LEFT(B325,9)*1&lt;=1001998, "OK", IF(RIGHT(B325,2)*1=IF(MOD(E325,101)&gt;=100,0,MOD(E325,101)),"OK","ОШИБКА")))))</f>
        <v/>
      </c>
      <c r="G3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5">
        <f>IF(LEN(TRIM(A325))=10, --MID(A325,1,1)*2+--MID(A325,2,1)*4+--MID(A325,3,1)*10+--MID(A325,4,1)*3+--MID(A325,5,1)*5+--MID(A325,6,1)*9+--MID(A325,7,1)*4+--MID(A325,8,1)*6+--MID(A325,9,1)*8, IF(LEN(TRIM(A325))=12, --MID(A325,1,1)*7+--MID(A325,2,1)*2+--MID(A325,3,1)*4+--MID(A325,4,1)*10+--MID(A325,5,1)*3+--MID(A325,6,1)*5+--MID(A325,7,1)*9+--MID(A325,8,1)*4+--MID(A325,9,1)*6+--MID(A325,10,1)*8, ""))</f>
        <v/>
      </c>
      <c r="I325">
        <f>IF(LEN(TRIM(A325))=12, --MID(A325,1,1)*3+--MID(A325,2,1)*7+--MID(A325,3,1)*2+--MID(A325,4,1)*4+--MID(A325,5,1)*10+--MID(A325,6,1)*3+--MID(A325,7,1)*5+--MID(A325,8,1)*9+--MID(A325,9,1)*4+--MID(A325,10,1)*6+--MID(A325,11,1)*8, "")</f>
        <v/>
      </c>
    </row>
    <row r="326">
      <c r="A326">
        <f>SUBSTITUTE(SUBSTITUTE(SUBSTITUTE(SUBSTITUTE(TRIM(INDEX(Реестр!$B:$B,ROW())),CHAR(160),""),CHAR(9),""),CHAR(10),""),CHAR(13),"")</f>
        <v/>
      </c>
      <c r="B326">
        <f>SUBSTITUTE(SUBSTITUTE(SUBSTITUTE(SUBSTITUTE(SUBSTITUTE(SUBSTITUTE(SUBSTITUTE(TRIM(INDEX(Реестр!$D:$D, ROW())), "-", ""), " ", ""), CHAR(160), ""), CHAR(9), ""), CHAR(10), ""), CHAR(13), ""), CHAR(32), "")</f>
        <v/>
      </c>
      <c r="C326">
        <f>INDEX(Реестр!$H:$H, ROW())</f>
        <v/>
      </c>
      <c r="D326">
        <f>IF(OR(ISBLANK(INDEX(Реестр!$B:$B, ROW())), INDEX(Реестр!$B:$B, ROW())=""), " ", IF(IFERROR(ISNUMBER(--A326),FALSE), IF(LEN(A326)=10, IF(MOD(MOD(H326,11),10)=--RIGHT(A326,1), "OK", "ОШИБКА"), IF(LEN(A326)=12, IF(AND(MOD(MOD(H326,11),10)=--MID(A326,11,1), MOD(MOD(I326,11),10)=--RIGHT(A326,1)), "OK", "ОШИБКА"), "ДЛИНА (10 или 12)")), "НЕ ЦИФРЫ"))</f>
        <v/>
      </c>
      <c r="E326">
        <f>MID(B326,1,1)*9+MID(B326,2,1)*8+MID(B326,3,1)*7+MID(B326,4,1)*6+MID(B326,5,1)*5+MID(B326,6,1)*4+MID(B326,7,1)*3+MID(B326,8,1)*2+MID(B326,9,1)</f>
        <v/>
      </c>
      <c r="F326">
        <f>IF(B326="", " ", IF(LEN(B326)&lt;&gt;11, "ДЛИНА", IF(NOT(ISNUMBER(--B326)), "НЕ ЦИФРЫ", IF(LEFT(B326,9)*1&lt;=1001998, "OK", IF(RIGHT(B326,2)*1=IF(MOD(E326,101)&gt;=100,0,MOD(E326,101)),"OK","ОШИБКА")))))</f>
        <v/>
      </c>
      <c r="G3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6">
        <f>IF(LEN(TRIM(A326))=10, --MID(A326,1,1)*2+--MID(A326,2,1)*4+--MID(A326,3,1)*10+--MID(A326,4,1)*3+--MID(A326,5,1)*5+--MID(A326,6,1)*9+--MID(A326,7,1)*4+--MID(A326,8,1)*6+--MID(A326,9,1)*8, IF(LEN(TRIM(A326))=12, --MID(A326,1,1)*7+--MID(A326,2,1)*2+--MID(A326,3,1)*4+--MID(A326,4,1)*10+--MID(A326,5,1)*3+--MID(A326,6,1)*5+--MID(A326,7,1)*9+--MID(A326,8,1)*4+--MID(A326,9,1)*6+--MID(A326,10,1)*8, ""))</f>
        <v/>
      </c>
      <c r="I326">
        <f>IF(LEN(TRIM(A326))=12, --MID(A326,1,1)*3+--MID(A326,2,1)*7+--MID(A326,3,1)*2+--MID(A326,4,1)*4+--MID(A326,5,1)*10+--MID(A326,6,1)*3+--MID(A326,7,1)*5+--MID(A326,8,1)*9+--MID(A326,9,1)*4+--MID(A326,10,1)*6+--MID(A326,11,1)*8, "")</f>
        <v/>
      </c>
    </row>
    <row r="327">
      <c r="A327">
        <f>SUBSTITUTE(SUBSTITUTE(SUBSTITUTE(SUBSTITUTE(TRIM(INDEX(Реестр!$B:$B,ROW())),CHAR(160),""),CHAR(9),""),CHAR(10),""),CHAR(13),"")</f>
        <v/>
      </c>
      <c r="B327">
        <f>SUBSTITUTE(SUBSTITUTE(SUBSTITUTE(SUBSTITUTE(SUBSTITUTE(SUBSTITUTE(SUBSTITUTE(TRIM(INDEX(Реестр!$D:$D, ROW())), "-", ""), " ", ""), CHAR(160), ""), CHAR(9), ""), CHAR(10), ""), CHAR(13), ""), CHAR(32), "")</f>
        <v/>
      </c>
      <c r="C327">
        <f>INDEX(Реестр!$H:$H, ROW())</f>
        <v/>
      </c>
      <c r="D327">
        <f>IF(OR(ISBLANK(INDEX(Реестр!$B:$B, ROW())), INDEX(Реестр!$B:$B, ROW())=""), " ", IF(IFERROR(ISNUMBER(--A327),FALSE), IF(LEN(A327)=10, IF(MOD(MOD(H327,11),10)=--RIGHT(A327,1), "OK", "ОШИБКА"), IF(LEN(A327)=12, IF(AND(MOD(MOD(H327,11),10)=--MID(A327,11,1), MOD(MOD(I327,11),10)=--RIGHT(A327,1)), "OK", "ОШИБКА"), "ДЛИНА (10 или 12)")), "НЕ ЦИФРЫ"))</f>
        <v/>
      </c>
      <c r="E327">
        <f>MID(B327,1,1)*9+MID(B327,2,1)*8+MID(B327,3,1)*7+MID(B327,4,1)*6+MID(B327,5,1)*5+MID(B327,6,1)*4+MID(B327,7,1)*3+MID(B327,8,1)*2+MID(B327,9,1)</f>
        <v/>
      </c>
      <c r="F327">
        <f>IF(B327="", " ", IF(LEN(B327)&lt;&gt;11, "ДЛИНА", IF(NOT(ISNUMBER(--B327)), "НЕ ЦИФРЫ", IF(LEFT(B327,9)*1&lt;=1001998, "OK", IF(RIGHT(B327,2)*1=IF(MOD(E327,101)&gt;=100,0,MOD(E327,101)),"OK","ОШИБКА")))))</f>
        <v/>
      </c>
      <c r="G3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7">
        <f>IF(LEN(TRIM(A327))=10, --MID(A327,1,1)*2+--MID(A327,2,1)*4+--MID(A327,3,1)*10+--MID(A327,4,1)*3+--MID(A327,5,1)*5+--MID(A327,6,1)*9+--MID(A327,7,1)*4+--MID(A327,8,1)*6+--MID(A327,9,1)*8, IF(LEN(TRIM(A327))=12, --MID(A327,1,1)*7+--MID(A327,2,1)*2+--MID(A327,3,1)*4+--MID(A327,4,1)*10+--MID(A327,5,1)*3+--MID(A327,6,1)*5+--MID(A327,7,1)*9+--MID(A327,8,1)*4+--MID(A327,9,1)*6+--MID(A327,10,1)*8, ""))</f>
        <v/>
      </c>
      <c r="I327">
        <f>IF(LEN(TRIM(A327))=12, --MID(A327,1,1)*3+--MID(A327,2,1)*7+--MID(A327,3,1)*2+--MID(A327,4,1)*4+--MID(A327,5,1)*10+--MID(A327,6,1)*3+--MID(A327,7,1)*5+--MID(A327,8,1)*9+--MID(A327,9,1)*4+--MID(A327,10,1)*6+--MID(A327,11,1)*8, "")</f>
        <v/>
      </c>
    </row>
    <row r="328">
      <c r="A328">
        <f>SUBSTITUTE(SUBSTITUTE(SUBSTITUTE(SUBSTITUTE(TRIM(INDEX(Реестр!$B:$B,ROW())),CHAR(160),""),CHAR(9),""),CHAR(10),""),CHAR(13),"")</f>
        <v/>
      </c>
      <c r="B328">
        <f>SUBSTITUTE(SUBSTITUTE(SUBSTITUTE(SUBSTITUTE(SUBSTITUTE(SUBSTITUTE(SUBSTITUTE(TRIM(INDEX(Реестр!$D:$D, ROW())), "-", ""), " ", ""), CHAR(160), ""), CHAR(9), ""), CHAR(10), ""), CHAR(13), ""), CHAR(32), "")</f>
        <v/>
      </c>
      <c r="C328">
        <f>INDEX(Реестр!$H:$H, ROW())</f>
        <v/>
      </c>
      <c r="D328">
        <f>IF(OR(ISBLANK(INDEX(Реестр!$B:$B, ROW())), INDEX(Реестр!$B:$B, ROW())=""), " ", IF(IFERROR(ISNUMBER(--A328),FALSE), IF(LEN(A328)=10, IF(MOD(MOD(H328,11),10)=--RIGHT(A328,1), "OK", "ОШИБКА"), IF(LEN(A328)=12, IF(AND(MOD(MOD(H328,11),10)=--MID(A328,11,1), MOD(MOD(I328,11),10)=--RIGHT(A328,1)), "OK", "ОШИБКА"), "ДЛИНА (10 или 12)")), "НЕ ЦИФРЫ"))</f>
        <v/>
      </c>
      <c r="E328">
        <f>MID(B328,1,1)*9+MID(B328,2,1)*8+MID(B328,3,1)*7+MID(B328,4,1)*6+MID(B328,5,1)*5+MID(B328,6,1)*4+MID(B328,7,1)*3+MID(B328,8,1)*2+MID(B328,9,1)</f>
        <v/>
      </c>
      <c r="F328">
        <f>IF(B328="", " ", IF(LEN(B328)&lt;&gt;11, "ДЛИНА", IF(NOT(ISNUMBER(--B328)), "НЕ ЦИФРЫ", IF(LEFT(B328,9)*1&lt;=1001998, "OK", IF(RIGHT(B328,2)*1=IF(MOD(E328,101)&gt;=100,0,MOD(E328,101)),"OK","ОШИБКА")))))</f>
        <v/>
      </c>
      <c r="G3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8">
        <f>IF(LEN(TRIM(A328))=10, --MID(A328,1,1)*2+--MID(A328,2,1)*4+--MID(A328,3,1)*10+--MID(A328,4,1)*3+--MID(A328,5,1)*5+--MID(A328,6,1)*9+--MID(A328,7,1)*4+--MID(A328,8,1)*6+--MID(A328,9,1)*8, IF(LEN(TRIM(A328))=12, --MID(A328,1,1)*7+--MID(A328,2,1)*2+--MID(A328,3,1)*4+--MID(A328,4,1)*10+--MID(A328,5,1)*3+--MID(A328,6,1)*5+--MID(A328,7,1)*9+--MID(A328,8,1)*4+--MID(A328,9,1)*6+--MID(A328,10,1)*8, ""))</f>
        <v/>
      </c>
      <c r="I328">
        <f>IF(LEN(TRIM(A328))=12, --MID(A328,1,1)*3+--MID(A328,2,1)*7+--MID(A328,3,1)*2+--MID(A328,4,1)*4+--MID(A328,5,1)*10+--MID(A328,6,1)*3+--MID(A328,7,1)*5+--MID(A328,8,1)*9+--MID(A328,9,1)*4+--MID(A328,10,1)*6+--MID(A328,11,1)*8, "")</f>
        <v/>
      </c>
    </row>
    <row r="329">
      <c r="A329">
        <f>SUBSTITUTE(SUBSTITUTE(SUBSTITUTE(SUBSTITUTE(TRIM(INDEX(Реестр!$B:$B,ROW())),CHAR(160),""),CHAR(9),""),CHAR(10),""),CHAR(13),"")</f>
        <v/>
      </c>
      <c r="B329">
        <f>SUBSTITUTE(SUBSTITUTE(SUBSTITUTE(SUBSTITUTE(SUBSTITUTE(SUBSTITUTE(SUBSTITUTE(TRIM(INDEX(Реестр!$D:$D, ROW())), "-", ""), " ", ""), CHAR(160), ""), CHAR(9), ""), CHAR(10), ""), CHAR(13), ""), CHAR(32), "")</f>
        <v/>
      </c>
      <c r="C329">
        <f>INDEX(Реестр!$H:$H, ROW())</f>
        <v/>
      </c>
      <c r="D329">
        <f>IF(OR(ISBLANK(INDEX(Реестр!$B:$B, ROW())), INDEX(Реестр!$B:$B, ROW())=""), " ", IF(IFERROR(ISNUMBER(--A329),FALSE), IF(LEN(A329)=10, IF(MOD(MOD(H329,11),10)=--RIGHT(A329,1), "OK", "ОШИБКА"), IF(LEN(A329)=12, IF(AND(MOD(MOD(H329,11),10)=--MID(A329,11,1), MOD(MOD(I329,11),10)=--RIGHT(A329,1)), "OK", "ОШИБКА"), "ДЛИНА (10 или 12)")), "НЕ ЦИФРЫ"))</f>
        <v/>
      </c>
      <c r="E329">
        <f>MID(B329,1,1)*9+MID(B329,2,1)*8+MID(B329,3,1)*7+MID(B329,4,1)*6+MID(B329,5,1)*5+MID(B329,6,1)*4+MID(B329,7,1)*3+MID(B329,8,1)*2+MID(B329,9,1)</f>
        <v/>
      </c>
      <c r="F329">
        <f>IF(B329="", " ", IF(LEN(B329)&lt;&gt;11, "ДЛИНА", IF(NOT(ISNUMBER(--B329)), "НЕ ЦИФРЫ", IF(LEFT(B329,9)*1&lt;=1001998, "OK", IF(RIGHT(B329,2)*1=IF(MOD(E329,101)&gt;=100,0,MOD(E329,101)),"OK","ОШИБКА")))))</f>
        <v/>
      </c>
      <c r="G3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29">
        <f>IF(LEN(TRIM(A329))=10, --MID(A329,1,1)*2+--MID(A329,2,1)*4+--MID(A329,3,1)*10+--MID(A329,4,1)*3+--MID(A329,5,1)*5+--MID(A329,6,1)*9+--MID(A329,7,1)*4+--MID(A329,8,1)*6+--MID(A329,9,1)*8, IF(LEN(TRIM(A329))=12, --MID(A329,1,1)*7+--MID(A329,2,1)*2+--MID(A329,3,1)*4+--MID(A329,4,1)*10+--MID(A329,5,1)*3+--MID(A329,6,1)*5+--MID(A329,7,1)*9+--MID(A329,8,1)*4+--MID(A329,9,1)*6+--MID(A329,10,1)*8, ""))</f>
        <v/>
      </c>
      <c r="I329">
        <f>IF(LEN(TRIM(A329))=12, --MID(A329,1,1)*3+--MID(A329,2,1)*7+--MID(A329,3,1)*2+--MID(A329,4,1)*4+--MID(A329,5,1)*10+--MID(A329,6,1)*3+--MID(A329,7,1)*5+--MID(A329,8,1)*9+--MID(A329,9,1)*4+--MID(A329,10,1)*6+--MID(A329,11,1)*8, "")</f>
        <v/>
      </c>
    </row>
    <row r="330">
      <c r="A330">
        <f>SUBSTITUTE(SUBSTITUTE(SUBSTITUTE(SUBSTITUTE(TRIM(INDEX(Реестр!$B:$B,ROW())),CHAR(160),""),CHAR(9),""),CHAR(10),""),CHAR(13),"")</f>
        <v/>
      </c>
      <c r="B330">
        <f>SUBSTITUTE(SUBSTITUTE(SUBSTITUTE(SUBSTITUTE(SUBSTITUTE(SUBSTITUTE(SUBSTITUTE(TRIM(INDEX(Реестр!$D:$D, ROW())), "-", ""), " ", ""), CHAR(160), ""), CHAR(9), ""), CHAR(10), ""), CHAR(13), ""), CHAR(32), "")</f>
        <v/>
      </c>
      <c r="C330">
        <f>INDEX(Реестр!$H:$H, ROW())</f>
        <v/>
      </c>
      <c r="D330">
        <f>IF(OR(ISBLANK(INDEX(Реестр!$B:$B, ROW())), INDEX(Реестр!$B:$B, ROW())=""), " ", IF(IFERROR(ISNUMBER(--A330),FALSE), IF(LEN(A330)=10, IF(MOD(MOD(H330,11),10)=--RIGHT(A330,1), "OK", "ОШИБКА"), IF(LEN(A330)=12, IF(AND(MOD(MOD(H330,11),10)=--MID(A330,11,1), MOD(MOD(I330,11),10)=--RIGHT(A330,1)), "OK", "ОШИБКА"), "ДЛИНА (10 или 12)")), "НЕ ЦИФРЫ"))</f>
        <v/>
      </c>
      <c r="E330">
        <f>MID(B330,1,1)*9+MID(B330,2,1)*8+MID(B330,3,1)*7+MID(B330,4,1)*6+MID(B330,5,1)*5+MID(B330,6,1)*4+MID(B330,7,1)*3+MID(B330,8,1)*2+MID(B330,9,1)</f>
        <v/>
      </c>
      <c r="F330">
        <f>IF(B330="", " ", IF(LEN(B330)&lt;&gt;11, "ДЛИНА", IF(NOT(ISNUMBER(--B330)), "НЕ ЦИФРЫ", IF(LEFT(B330,9)*1&lt;=1001998, "OK", IF(RIGHT(B330,2)*1=IF(MOD(E330,101)&gt;=100,0,MOD(E330,101)),"OK","ОШИБКА")))))</f>
        <v/>
      </c>
      <c r="G3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0">
        <f>IF(LEN(TRIM(A330))=10, --MID(A330,1,1)*2+--MID(A330,2,1)*4+--MID(A330,3,1)*10+--MID(A330,4,1)*3+--MID(A330,5,1)*5+--MID(A330,6,1)*9+--MID(A330,7,1)*4+--MID(A330,8,1)*6+--MID(A330,9,1)*8, IF(LEN(TRIM(A330))=12, --MID(A330,1,1)*7+--MID(A330,2,1)*2+--MID(A330,3,1)*4+--MID(A330,4,1)*10+--MID(A330,5,1)*3+--MID(A330,6,1)*5+--MID(A330,7,1)*9+--MID(A330,8,1)*4+--MID(A330,9,1)*6+--MID(A330,10,1)*8, ""))</f>
        <v/>
      </c>
      <c r="I330">
        <f>IF(LEN(TRIM(A330))=12, --MID(A330,1,1)*3+--MID(A330,2,1)*7+--MID(A330,3,1)*2+--MID(A330,4,1)*4+--MID(A330,5,1)*10+--MID(A330,6,1)*3+--MID(A330,7,1)*5+--MID(A330,8,1)*9+--MID(A330,9,1)*4+--MID(A330,10,1)*6+--MID(A330,11,1)*8, "")</f>
        <v/>
      </c>
    </row>
    <row r="331">
      <c r="A331">
        <f>SUBSTITUTE(SUBSTITUTE(SUBSTITUTE(SUBSTITUTE(TRIM(INDEX(Реестр!$B:$B,ROW())),CHAR(160),""),CHAR(9),""),CHAR(10),""),CHAR(13),"")</f>
        <v/>
      </c>
      <c r="B331">
        <f>SUBSTITUTE(SUBSTITUTE(SUBSTITUTE(SUBSTITUTE(SUBSTITUTE(SUBSTITUTE(SUBSTITUTE(TRIM(INDEX(Реестр!$D:$D, ROW())), "-", ""), " ", ""), CHAR(160), ""), CHAR(9), ""), CHAR(10), ""), CHAR(13), ""), CHAR(32), "")</f>
        <v/>
      </c>
      <c r="C331">
        <f>INDEX(Реестр!$H:$H, ROW())</f>
        <v/>
      </c>
      <c r="D331">
        <f>IF(OR(ISBLANK(INDEX(Реестр!$B:$B, ROW())), INDEX(Реестр!$B:$B, ROW())=""), " ", IF(IFERROR(ISNUMBER(--A331),FALSE), IF(LEN(A331)=10, IF(MOD(MOD(H331,11),10)=--RIGHT(A331,1), "OK", "ОШИБКА"), IF(LEN(A331)=12, IF(AND(MOD(MOD(H331,11),10)=--MID(A331,11,1), MOD(MOD(I331,11),10)=--RIGHT(A331,1)), "OK", "ОШИБКА"), "ДЛИНА (10 или 12)")), "НЕ ЦИФРЫ"))</f>
        <v/>
      </c>
      <c r="E331">
        <f>MID(B331,1,1)*9+MID(B331,2,1)*8+MID(B331,3,1)*7+MID(B331,4,1)*6+MID(B331,5,1)*5+MID(B331,6,1)*4+MID(B331,7,1)*3+MID(B331,8,1)*2+MID(B331,9,1)</f>
        <v/>
      </c>
      <c r="F331">
        <f>IF(B331="", " ", IF(LEN(B331)&lt;&gt;11, "ДЛИНА", IF(NOT(ISNUMBER(--B331)), "НЕ ЦИФРЫ", IF(LEFT(B331,9)*1&lt;=1001998, "OK", IF(RIGHT(B331,2)*1=IF(MOD(E331,101)&gt;=100,0,MOD(E331,101)),"OK","ОШИБКА")))))</f>
        <v/>
      </c>
      <c r="G3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1">
        <f>IF(LEN(TRIM(A331))=10, --MID(A331,1,1)*2+--MID(A331,2,1)*4+--MID(A331,3,1)*10+--MID(A331,4,1)*3+--MID(A331,5,1)*5+--MID(A331,6,1)*9+--MID(A331,7,1)*4+--MID(A331,8,1)*6+--MID(A331,9,1)*8, IF(LEN(TRIM(A331))=12, --MID(A331,1,1)*7+--MID(A331,2,1)*2+--MID(A331,3,1)*4+--MID(A331,4,1)*10+--MID(A331,5,1)*3+--MID(A331,6,1)*5+--MID(A331,7,1)*9+--MID(A331,8,1)*4+--MID(A331,9,1)*6+--MID(A331,10,1)*8, ""))</f>
        <v/>
      </c>
      <c r="I331">
        <f>IF(LEN(TRIM(A331))=12, --MID(A331,1,1)*3+--MID(A331,2,1)*7+--MID(A331,3,1)*2+--MID(A331,4,1)*4+--MID(A331,5,1)*10+--MID(A331,6,1)*3+--MID(A331,7,1)*5+--MID(A331,8,1)*9+--MID(A331,9,1)*4+--MID(A331,10,1)*6+--MID(A331,11,1)*8, "")</f>
        <v/>
      </c>
    </row>
    <row r="332">
      <c r="A332">
        <f>SUBSTITUTE(SUBSTITUTE(SUBSTITUTE(SUBSTITUTE(TRIM(INDEX(Реестр!$B:$B,ROW())),CHAR(160),""),CHAR(9),""),CHAR(10),""),CHAR(13),"")</f>
        <v/>
      </c>
      <c r="B332">
        <f>SUBSTITUTE(SUBSTITUTE(SUBSTITUTE(SUBSTITUTE(SUBSTITUTE(SUBSTITUTE(SUBSTITUTE(TRIM(INDEX(Реестр!$D:$D, ROW())), "-", ""), " ", ""), CHAR(160), ""), CHAR(9), ""), CHAR(10), ""), CHAR(13), ""), CHAR(32), "")</f>
        <v/>
      </c>
      <c r="C332">
        <f>INDEX(Реестр!$H:$H, ROW())</f>
        <v/>
      </c>
      <c r="D332">
        <f>IF(OR(ISBLANK(INDEX(Реестр!$B:$B, ROW())), INDEX(Реестр!$B:$B, ROW())=""), " ", IF(IFERROR(ISNUMBER(--A332),FALSE), IF(LEN(A332)=10, IF(MOD(MOD(H332,11),10)=--RIGHT(A332,1), "OK", "ОШИБКА"), IF(LEN(A332)=12, IF(AND(MOD(MOD(H332,11),10)=--MID(A332,11,1), MOD(MOD(I332,11),10)=--RIGHT(A332,1)), "OK", "ОШИБКА"), "ДЛИНА (10 или 12)")), "НЕ ЦИФРЫ"))</f>
        <v/>
      </c>
      <c r="E332">
        <f>MID(B332,1,1)*9+MID(B332,2,1)*8+MID(B332,3,1)*7+MID(B332,4,1)*6+MID(B332,5,1)*5+MID(B332,6,1)*4+MID(B332,7,1)*3+MID(B332,8,1)*2+MID(B332,9,1)</f>
        <v/>
      </c>
      <c r="F332">
        <f>IF(B332="", " ", IF(LEN(B332)&lt;&gt;11, "ДЛИНА", IF(NOT(ISNUMBER(--B332)), "НЕ ЦИФРЫ", IF(LEFT(B332,9)*1&lt;=1001998, "OK", IF(RIGHT(B332,2)*1=IF(MOD(E332,101)&gt;=100,0,MOD(E332,101)),"OK","ОШИБКА")))))</f>
        <v/>
      </c>
      <c r="G3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2">
        <f>IF(LEN(TRIM(A332))=10, --MID(A332,1,1)*2+--MID(A332,2,1)*4+--MID(A332,3,1)*10+--MID(A332,4,1)*3+--MID(A332,5,1)*5+--MID(A332,6,1)*9+--MID(A332,7,1)*4+--MID(A332,8,1)*6+--MID(A332,9,1)*8, IF(LEN(TRIM(A332))=12, --MID(A332,1,1)*7+--MID(A332,2,1)*2+--MID(A332,3,1)*4+--MID(A332,4,1)*10+--MID(A332,5,1)*3+--MID(A332,6,1)*5+--MID(A332,7,1)*9+--MID(A332,8,1)*4+--MID(A332,9,1)*6+--MID(A332,10,1)*8, ""))</f>
        <v/>
      </c>
      <c r="I332">
        <f>IF(LEN(TRIM(A332))=12, --MID(A332,1,1)*3+--MID(A332,2,1)*7+--MID(A332,3,1)*2+--MID(A332,4,1)*4+--MID(A332,5,1)*10+--MID(A332,6,1)*3+--MID(A332,7,1)*5+--MID(A332,8,1)*9+--MID(A332,9,1)*4+--MID(A332,10,1)*6+--MID(A332,11,1)*8, "")</f>
        <v/>
      </c>
    </row>
    <row r="333">
      <c r="A333">
        <f>SUBSTITUTE(SUBSTITUTE(SUBSTITUTE(SUBSTITUTE(TRIM(INDEX(Реестр!$B:$B,ROW())),CHAR(160),""),CHAR(9),""),CHAR(10),""),CHAR(13),"")</f>
        <v/>
      </c>
      <c r="B333">
        <f>SUBSTITUTE(SUBSTITUTE(SUBSTITUTE(SUBSTITUTE(SUBSTITUTE(SUBSTITUTE(SUBSTITUTE(TRIM(INDEX(Реестр!$D:$D, ROW())), "-", ""), " ", ""), CHAR(160), ""), CHAR(9), ""), CHAR(10), ""), CHAR(13), ""), CHAR(32), "")</f>
        <v/>
      </c>
      <c r="C333">
        <f>INDEX(Реестр!$H:$H, ROW())</f>
        <v/>
      </c>
      <c r="D333">
        <f>IF(OR(ISBLANK(INDEX(Реестр!$B:$B, ROW())), INDEX(Реестр!$B:$B, ROW())=""), " ", IF(IFERROR(ISNUMBER(--A333),FALSE), IF(LEN(A333)=10, IF(MOD(MOD(H333,11),10)=--RIGHT(A333,1), "OK", "ОШИБКА"), IF(LEN(A333)=12, IF(AND(MOD(MOD(H333,11),10)=--MID(A333,11,1), MOD(MOD(I333,11),10)=--RIGHT(A333,1)), "OK", "ОШИБКА"), "ДЛИНА (10 или 12)")), "НЕ ЦИФРЫ"))</f>
        <v/>
      </c>
      <c r="E333">
        <f>MID(B333,1,1)*9+MID(B333,2,1)*8+MID(B333,3,1)*7+MID(B333,4,1)*6+MID(B333,5,1)*5+MID(B333,6,1)*4+MID(B333,7,1)*3+MID(B333,8,1)*2+MID(B333,9,1)</f>
        <v/>
      </c>
      <c r="F333">
        <f>IF(B333="", " ", IF(LEN(B333)&lt;&gt;11, "ДЛИНА", IF(NOT(ISNUMBER(--B333)), "НЕ ЦИФРЫ", IF(LEFT(B333,9)*1&lt;=1001998, "OK", IF(RIGHT(B333,2)*1=IF(MOD(E333,101)&gt;=100,0,MOD(E333,101)),"OK","ОШИБКА")))))</f>
        <v/>
      </c>
      <c r="G3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3">
        <f>IF(LEN(TRIM(A333))=10, --MID(A333,1,1)*2+--MID(A333,2,1)*4+--MID(A333,3,1)*10+--MID(A333,4,1)*3+--MID(A333,5,1)*5+--MID(A333,6,1)*9+--MID(A333,7,1)*4+--MID(A333,8,1)*6+--MID(A333,9,1)*8, IF(LEN(TRIM(A333))=12, --MID(A333,1,1)*7+--MID(A333,2,1)*2+--MID(A333,3,1)*4+--MID(A333,4,1)*10+--MID(A333,5,1)*3+--MID(A333,6,1)*5+--MID(A333,7,1)*9+--MID(A333,8,1)*4+--MID(A333,9,1)*6+--MID(A333,10,1)*8, ""))</f>
        <v/>
      </c>
      <c r="I333">
        <f>IF(LEN(TRIM(A333))=12, --MID(A333,1,1)*3+--MID(A333,2,1)*7+--MID(A333,3,1)*2+--MID(A333,4,1)*4+--MID(A333,5,1)*10+--MID(A333,6,1)*3+--MID(A333,7,1)*5+--MID(A333,8,1)*9+--MID(A333,9,1)*4+--MID(A333,10,1)*6+--MID(A333,11,1)*8, "")</f>
        <v/>
      </c>
    </row>
    <row r="334">
      <c r="A334">
        <f>SUBSTITUTE(SUBSTITUTE(SUBSTITUTE(SUBSTITUTE(TRIM(INDEX(Реестр!$B:$B,ROW())),CHAR(160),""),CHAR(9),""),CHAR(10),""),CHAR(13),"")</f>
        <v/>
      </c>
      <c r="B334">
        <f>SUBSTITUTE(SUBSTITUTE(SUBSTITUTE(SUBSTITUTE(SUBSTITUTE(SUBSTITUTE(SUBSTITUTE(TRIM(INDEX(Реестр!$D:$D, ROW())), "-", ""), " ", ""), CHAR(160), ""), CHAR(9), ""), CHAR(10), ""), CHAR(13), ""), CHAR(32), "")</f>
        <v/>
      </c>
      <c r="C334">
        <f>INDEX(Реестр!$H:$H, ROW())</f>
        <v/>
      </c>
      <c r="D334">
        <f>IF(OR(ISBLANK(INDEX(Реестр!$B:$B, ROW())), INDEX(Реестр!$B:$B, ROW())=""), " ", IF(IFERROR(ISNUMBER(--A334),FALSE), IF(LEN(A334)=10, IF(MOD(MOD(H334,11),10)=--RIGHT(A334,1), "OK", "ОШИБКА"), IF(LEN(A334)=12, IF(AND(MOD(MOD(H334,11),10)=--MID(A334,11,1), MOD(MOD(I334,11),10)=--RIGHT(A334,1)), "OK", "ОШИБКА"), "ДЛИНА (10 или 12)")), "НЕ ЦИФРЫ"))</f>
        <v/>
      </c>
      <c r="E334">
        <f>MID(B334,1,1)*9+MID(B334,2,1)*8+MID(B334,3,1)*7+MID(B334,4,1)*6+MID(B334,5,1)*5+MID(B334,6,1)*4+MID(B334,7,1)*3+MID(B334,8,1)*2+MID(B334,9,1)</f>
        <v/>
      </c>
      <c r="F334">
        <f>IF(B334="", " ", IF(LEN(B334)&lt;&gt;11, "ДЛИНА", IF(NOT(ISNUMBER(--B334)), "НЕ ЦИФРЫ", IF(LEFT(B334,9)*1&lt;=1001998, "OK", IF(RIGHT(B334,2)*1=IF(MOD(E334,101)&gt;=100,0,MOD(E334,101)),"OK","ОШИБКА")))))</f>
        <v/>
      </c>
      <c r="G3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4">
        <f>IF(LEN(TRIM(A334))=10, --MID(A334,1,1)*2+--MID(A334,2,1)*4+--MID(A334,3,1)*10+--MID(A334,4,1)*3+--MID(A334,5,1)*5+--MID(A334,6,1)*9+--MID(A334,7,1)*4+--MID(A334,8,1)*6+--MID(A334,9,1)*8, IF(LEN(TRIM(A334))=12, --MID(A334,1,1)*7+--MID(A334,2,1)*2+--MID(A334,3,1)*4+--MID(A334,4,1)*10+--MID(A334,5,1)*3+--MID(A334,6,1)*5+--MID(A334,7,1)*9+--MID(A334,8,1)*4+--MID(A334,9,1)*6+--MID(A334,10,1)*8, ""))</f>
        <v/>
      </c>
      <c r="I334">
        <f>IF(LEN(TRIM(A334))=12, --MID(A334,1,1)*3+--MID(A334,2,1)*7+--MID(A334,3,1)*2+--MID(A334,4,1)*4+--MID(A334,5,1)*10+--MID(A334,6,1)*3+--MID(A334,7,1)*5+--MID(A334,8,1)*9+--MID(A334,9,1)*4+--MID(A334,10,1)*6+--MID(A334,11,1)*8, "")</f>
        <v/>
      </c>
    </row>
    <row r="335">
      <c r="A335">
        <f>SUBSTITUTE(SUBSTITUTE(SUBSTITUTE(SUBSTITUTE(TRIM(INDEX(Реестр!$B:$B,ROW())),CHAR(160),""),CHAR(9),""),CHAR(10),""),CHAR(13),"")</f>
        <v/>
      </c>
      <c r="B335">
        <f>SUBSTITUTE(SUBSTITUTE(SUBSTITUTE(SUBSTITUTE(SUBSTITUTE(SUBSTITUTE(SUBSTITUTE(TRIM(INDEX(Реестр!$D:$D, ROW())), "-", ""), " ", ""), CHAR(160), ""), CHAR(9), ""), CHAR(10), ""), CHAR(13), ""), CHAR(32), "")</f>
        <v/>
      </c>
      <c r="C335">
        <f>INDEX(Реестр!$H:$H, ROW())</f>
        <v/>
      </c>
      <c r="D335">
        <f>IF(OR(ISBLANK(INDEX(Реестр!$B:$B, ROW())), INDEX(Реестр!$B:$B, ROW())=""), " ", IF(IFERROR(ISNUMBER(--A335),FALSE), IF(LEN(A335)=10, IF(MOD(MOD(H335,11),10)=--RIGHT(A335,1), "OK", "ОШИБКА"), IF(LEN(A335)=12, IF(AND(MOD(MOD(H335,11),10)=--MID(A335,11,1), MOD(MOD(I335,11),10)=--RIGHT(A335,1)), "OK", "ОШИБКА"), "ДЛИНА (10 или 12)")), "НЕ ЦИФРЫ"))</f>
        <v/>
      </c>
      <c r="E335">
        <f>MID(B335,1,1)*9+MID(B335,2,1)*8+MID(B335,3,1)*7+MID(B335,4,1)*6+MID(B335,5,1)*5+MID(B335,6,1)*4+MID(B335,7,1)*3+MID(B335,8,1)*2+MID(B335,9,1)</f>
        <v/>
      </c>
      <c r="F335">
        <f>IF(B335="", " ", IF(LEN(B335)&lt;&gt;11, "ДЛИНА", IF(NOT(ISNUMBER(--B335)), "НЕ ЦИФРЫ", IF(LEFT(B335,9)*1&lt;=1001998, "OK", IF(RIGHT(B335,2)*1=IF(MOD(E335,101)&gt;=100,0,MOD(E335,101)),"OK","ОШИБКА")))))</f>
        <v/>
      </c>
      <c r="G3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5">
        <f>IF(LEN(TRIM(A335))=10, --MID(A335,1,1)*2+--MID(A335,2,1)*4+--MID(A335,3,1)*10+--MID(A335,4,1)*3+--MID(A335,5,1)*5+--MID(A335,6,1)*9+--MID(A335,7,1)*4+--MID(A335,8,1)*6+--MID(A335,9,1)*8, IF(LEN(TRIM(A335))=12, --MID(A335,1,1)*7+--MID(A335,2,1)*2+--MID(A335,3,1)*4+--MID(A335,4,1)*10+--MID(A335,5,1)*3+--MID(A335,6,1)*5+--MID(A335,7,1)*9+--MID(A335,8,1)*4+--MID(A335,9,1)*6+--MID(A335,10,1)*8, ""))</f>
        <v/>
      </c>
      <c r="I335">
        <f>IF(LEN(TRIM(A335))=12, --MID(A335,1,1)*3+--MID(A335,2,1)*7+--MID(A335,3,1)*2+--MID(A335,4,1)*4+--MID(A335,5,1)*10+--MID(A335,6,1)*3+--MID(A335,7,1)*5+--MID(A335,8,1)*9+--MID(A335,9,1)*4+--MID(A335,10,1)*6+--MID(A335,11,1)*8, "")</f>
        <v/>
      </c>
    </row>
    <row r="336">
      <c r="A336">
        <f>SUBSTITUTE(SUBSTITUTE(SUBSTITUTE(SUBSTITUTE(TRIM(INDEX(Реестр!$B:$B,ROW())),CHAR(160),""),CHAR(9),""),CHAR(10),""),CHAR(13),"")</f>
        <v/>
      </c>
      <c r="B336">
        <f>SUBSTITUTE(SUBSTITUTE(SUBSTITUTE(SUBSTITUTE(SUBSTITUTE(SUBSTITUTE(SUBSTITUTE(TRIM(INDEX(Реестр!$D:$D, ROW())), "-", ""), " ", ""), CHAR(160), ""), CHAR(9), ""), CHAR(10), ""), CHAR(13), ""), CHAR(32), "")</f>
        <v/>
      </c>
      <c r="C336">
        <f>INDEX(Реестр!$H:$H, ROW())</f>
        <v/>
      </c>
      <c r="D336">
        <f>IF(OR(ISBLANK(INDEX(Реестр!$B:$B, ROW())), INDEX(Реестр!$B:$B, ROW())=""), " ", IF(IFERROR(ISNUMBER(--A336),FALSE), IF(LEN(A336)=10, IF(MOD(MOD(H336,11),10)=--RIGHT(A336,1), "OK", "ОШИБКА"), IF(LEN(A336)=12, IF(AND(MOD(MOD(H336,11),10)=--MID(A336,11,1), MOD(MOD(I336,11),10)=--RIGHT(A336,1)), "OK", "ОШИБКА"), "ДЛИНА (10 или 12)")), "НЕ ЦИФРЫ"))</f>
        <v/>
      </c>
      <c r="E336">
        <f>MID(B336,1,1)*9+MID(B336,2,1)*8+MID(B336,3,1)*7+MID(B336,4,1)*6+MID(B336,5,1)*5+MID(B336,6,1)*4+MID(B336,7,1)*3+MID(B336,8,1)*2+MID(B336,9,1)</f>
        <v/>
      </c>
      <c r="F336">
        <f>IF(B336="", " ", IF(LEN(B336)&lt;&gt;11, "ДЛИНА", IF(NOT(ISNUMBER(--B336)), "НЕ ЦИФРЫ", IF(LEFT(B336,9)*1&lt;=1001998, "OK", IF(RIGHT(B336,2)*1=IF(MOD(E336,101)&gt;=100,0,MOD(E336,101)),"OK","ОШИБКА")))))</f>
        <v/>
      </c>
      <c r="G3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6">
        <f>IF(LEN(TRIM(A336))=10, --MID(A336,1,1)*2+--MID(A336,2,1)*4+--MID(A336,3,1)*10+--MID(A336,4,1)*3+--MID(A336,5,1)*5+--MID(A336,6,1)*9+--MID(A336,7,1)*4+--MID(A336,8,1)*6+--MID(A336,9,1)*8, IF(LEN(TRIM(A336))=12, --MID(A336,1,1)*7+--MID(A336,2,1)*2+--MID(A336,3,1)*4+--MID(A336,4,1)*10+--MID(A336,5,1)*3+--MID(A336,6,1)*5+--MID(A336,7,1)*9+--MID(A336,8,1)*4+--MID(A336,9,1)*6+--MID(A336,10,1)*8, ""))</f>
        <v/>
      </c>
      <c r="I336">
        <f>IF(LEN(TRIM(A336))=12, --MID(A336,1,1)*3+--MID(A336,2,1)*7+--MID(A336,3,1)*2+--MID(A336,4,1)*4+--MID(A336,5,1)*10+--MID(A336,6,1)*3+--MID(A336,7,1)*5+--MID(A336,8,1)*9+--MID(A336,9,1)*4+--MID(A336,10,1)*6+--MID(A336,11,1)*8, "")</f>
        <v/>
      </c>
    </row>
    <row r="337">
      <c r="A337">
        <f>SUBSTITUTE(SUBSTITUTE(SUBSTITUTE(SUBSTITUTE(TRIM(INDEX(Реестр!$B:$B,ROW())),CHAR(160),""),CHAR(9),""),CHAR(10),""),CHAR(13),"")</f>
        <v/>
      </c>
      <c r="B337">
        <f>SUBSTITUTE(SUBSTITUTE(SUBSTITUTE(SUBSTITUTE(SUBSTITUTE(SUBSTITUTE(SUBSTITUTE(TRIM(INDEX(Реестр!$D:$D, ROW())), "-", ""), " ", ""), CHAR(160), ""), CHAR(9), ""), CHAR(10), ""), CHAR(13), ""), CHAR(32), "")</f>
        <v/>
      </c>
      <c r="C337">
        <f>INDEX(Реестр!$H:$H, ROW())</f>
        <v/>
      </c>
      <c r="D337">
        <f>IF(OR(ISBLANK(INDEX(Реестр!$B:$B, ROW())), INDEX(Реестр!$B:$B, ROW())=""), " ", IF(IFERROR(ISNUMBER(--A337),FALSE), IF(LEN(A337)=10, IF(MOD(MOD(H337,11),10)=--RIGHT(A337,1), "OK", "ОШИБКА"), IF(LEN(A337)=12, IF(AND(MOD(MOD(H337,11),10)=--MID(A337,11,1), MOD(MOD(I337,11),10)=--RIGHT(A337,1)), "OK", "ОШИБКА"), "ДЛИНА (10 или 12)")), "НЕ ЦИФРЫ"))</f>
        <v/>
      </c>
      <c r="E337">
        <f>MID(B337,1,1)*9+MID(B337,2,1)*8+MID(B337,3,1)*7+MID(B337,4,1)*6+MID(B337,5,1)*5+MID(B337,6,1)*4+MID(B337,7,1)*3+MID(B337,8,1)*2+MID(B337,9,1)</f>
        <v/>
      </c>
      <c r="F337">
        <f>IF(B337="", " ", IF(LEN(B337)&lt;&gt;11, "ДЛИНА", IF(NOT(ISNUMBER(--B337)), "НЕ ЦИФРЫ", IF(LEFT(B337,9)*1&lt;=1001998, "OK", IF(RIGHT(B337,2)*1=IF(MOD(E337,101)&gt;=100,0,MOD(E337,101)),"OK","ОШИБКА")))))</f>
        <v/>
      </c>
      <c r="G3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7">
        <f>IF(LEN(TRIM(A337))=10, --MID(A337,1,1)*2+--MID(A337,2,1)*4+--MID(A337,3,1)*10+--MID(A337,4,1)*3+--MID(A337,5,1)*5+--MID(A337,6,1)*9+--MID(A337,7,1)*4+--MID(A337,8,1)*6+--MID(A337,9,1)*8, IF(LEN(TRIM(A337))=12, --MID(A337,1,1)*7+--MID(A337,2,1)*2+--MID(A337,3,1)*4+--MID(A337,4,1)*10+--MID(A337,5,1)*3+--MID(A337,6,1)*5+--MID(A337,7,1)*9+--MID(A337,8,1)*4+--MID(A337,9,1)*6+--MID(A337,10,1)*8, ""))</f>
        <v/>
      </c>
      <c r="I337">
        <f>IF(LEN(TRIM(A337))=12, --MID(A337,1,1)*3+--MID(A337,2,1)*7+--MID(A337,3,1)*2+--MID(A337,4,1)*4+--MID(A337,5,1)*10+--MID(A337,6,1)*3+--MID(A337,7,1)*5+--MID(A337,8,1)*9+--MID(A337,9,1)*4+--MID(A337,10,1)*6+--MID(A337,11,1)*8, "")</f>
        <v/>
      </c>
    </row>
    <row r="338">
      <c r="A338">
        <f>SUBSTITUTE(SUBSTITUTE(SUBSTITUTE(SUBSTITUTE(TRIM(INDEX(Реестр!$B:$B,ROW())),CHAR(160),""),CHAR(9),""),CHAR(10),""),CHAR(13),"")</f>
        <v/>
      </c>
      <c r="B338">
        <f>SUBSTITUTE(SUBSTITUTE(SUBSTITUTE(SUBSTITUTE(SUBSTITUTE(SUBSTITUTE(SUBSTITUTE(TRIM(INDEX(Реестр!$D:$D, ROW())), "-", ""), " ", ""), CHAR(160), ""), CHAR(9), ""), CHAR(10), ""), CHAR(13), ""), CHAR(32), "")</f>
        <v/>
      </c>
      <c r="C338">
        <f>INDEX(Реестр!$H:$H, ROW())</f>
        <v/>
      </c>
      <c r="D338">
        <f>IF(OR(ISBLANK(INDEX(Реестр!$B:$B, ROW())), INDEX(Реестр!$B:$B, ROW())=""), " ", IF(IFERROR(ISNUMBER(--A338),FALSE), IF(LEN(A338)=10, IF(MOD(MOD(H338,11),10)=--RIGHT(A338,1), "OK", "ОШИБКА"), IF(LEN(A338)=12, IF(AND(MOD(MOD(H338,11),10)=--MID(A338,11,1), MOD(MOD(I338,11),10)=--RIGHT(A338,1)), "OK", "ОШИБКА"), "ДЛИНА (10 или 12)")), "НЕ ЦИФРЫ"))</f>
        <v/>
      </c>
      <c r="E338">
        <f>MID(B338,1,1)*9+MID(B338,2,1)*8+MID(B338,3,1)*7+MID(B338,4,1)*6+MID(B338,5,1)*5+MID(B338,6,1)*4+MID(B338,7,1)*3+MID(B338,8,1)*2+MID(B338,9,1)</f>
        <v/>
      </c>
      <c r="F338">
        <f>IF(B338="", " ", IF(LEN(B338)&lt;&gt;11, "ДЛИНА", IF(NOT(ISNUMBER(--B338)), "НЕ ЦИФРЫ", IF(LEFT(B338,9)*1&lt;=1001998, "OK", IF(RIGHT(B338,2)*1=IF(MOD(E338,101)&gt;=100,0,MOD(E338,101)),"OK","ОШИБКА")))))</f>
        <v/>
      </c>
      <c r="G3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8">
        <f>IF(LEN(TRIM(A338))=10, --MID(A338,1,1)*2+--MID(A338,2,1)*4+--MID(A338,3,1)*10+--MID(A338,4,1)*3+--MID(A338,5,1)*5+--MID(A338,6,1)*9+--MID(A338,7,1)*4+--MID(A338,8,1)*6+--MID(A338,9,1)*8, IF(LEN(TRIM(A338))=12, --MID(A338,1,1)*7+--MID(A338,2,1)*2+--MID(A338,3,1)*4+--MID(A338,4,1)*10+--MID(A338,5,1)*3+--MID(A338,6,1)*5+--MID(A338,7,1)*9+--MID(A338,8,1)*4+--MID(A338,9,1)*6+--MID(A338,10,1)*8, ""))</f>
        <v/>
      </c>
      <c r="I338">
        <f>IF(LEN(TRIM(A338))=12, --MID(A338,1,1)*3+--MID(A338,2,1)*7+--MID(A338,3,1)*2+--MID(A338,4,1)*4+--MID(A338,5,1)*10+--MID(A338,6,1)*3+--MID(A338,7,1)*5+--MID(A338,8,1)*9+--MID(A338,9,1)*4+--MID(A338,10,1)*6+--MID(A338,11,1)*8, "")</f>
        <v/>
      </c>
    </row>
    <row r="339">
      <c r="A339">
        <f>SUBSTITUTE(SUBSTITUTE(SUBSTITUTE(SUBSTITUTE(TRIM(INDEX(Реестр!$B:$B,ROW())),CHAR(160),""),CHAR(9),""),CHAR(10),""),CHAR(13),"")</f>
        <v/>
      </c>
      <c r="B339">
        <f>SUBSTITUTE(SUBSTITUTE(SUBSTITUTE(SUBSTITUTE(SUBSTITUTE(SUBSTITUTE(SUBSTITUTE(TRIM(INDEX(Реестр!$D:$D, ROW())), "-", ""), " ", ""), CHAR(160), ""), CHAR(9), ""), CHAR(10), ""), CHAR(13), ""), CHAR(32), "")</f>
        <v/>
      </c>
      <c r="C339">
        <f>INDEX(Реестр!$H:$H, ROW())</f>
        <v/>
      </c>
      <c r="D339">
        <f>IF(OR(ISBLANK(INDEX(Реестр!$B:$B, ROW())), INDEX(Реестр!$B:$B, ROW())=""), " ", IF(IFERROR(ISNUMBER(--A339),FALSE), IF(LEN(A339)=10, IF(MOD(MOD(H339,11),10)=--RIGHT(A339,1), "OK", "ОШИБКА"), IF(LEN(A339)=12, IF(AND(MOD(MOD(H339,11),10)=--MID(A339,11,1), MOD(MOD(I339,11),10)=--RIGHT(A339,1)), "OK", "ОШИБКА"), "ДЛИНА (10 или 12)")), "НЕ ЦИФРЫ"))</f>
        <v/>
      </c>
      <c r="E339">
        <f>MID(B339,1,1)*9+MID(B339,2,1)*8+MID(B339,3,1)*7+MID(B339,4,1)*6+MID(B339,5,1)*5+MID(B339,6,1)*4+MID(B339,7,1)*3+MID(B339,8,1)*2+MID(B339,9,1)</f>
        <v/>
      </c>
      <c r="F339">
        <f>IF(B339="", " ", IF(LEN(B339)&lt;&gt;11, "ДЛИНА", IF(NOT(ISNUMBER(--B339)), "НЕ ЦИФРЫ", IF(LEFT(B339,9)*1&lt;=1001998, "OK", IF(RIGHT(B339,2)*1=IF(MOD(E339,101)&gt;=100,0,MOD(E339,101)),"OK","ОШИБКА")))))</f>
        <v/>
      </c>
      <c r="G3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39">
        <f>IF(LEN(TRIM(A339))=10, --MID(A339,1,1)*2+--MID(A339,2,1)*4+--MID(A339,3,1)*10+--MID(A339,4,1)*3+--MID(A339,5,1)*5+--MID(A339,6,1)*9+--MID(A339,7,1)*4+--MID(A339,8,1)*6+--MID(A339,9,1)*8, IF(LEN(TRIM(A339))=12, --MID(A339,1,1)*7+--MID(A339,2,1)*2+--MID(A339,3,1)*4+--MID(A339,4,1)*10+--MID(A339,5,1)*3+--MID(A339,6,1)*5+--MID(A339,7,1)*9+--MID(A339,8,1)*4+--MID(A339,9,1)*6+--MID(A339,10,1)*8, ""))</f>
        <v/>
      </c>
      <c r="I339">
        <f>IF(LEN(TRIM(A339))=12, --MID(A339,1,1)*3+--MID(A339,2,1)*7+--MID(A339,3,1)*2+--MID(A339,4,1)*4+--MID(A339,5,1)*10+--MID(A339,6,1)*3+--MID(A339,7,1)*5+--MID(A339,8,1)*9+--MID(A339,9,1)*4+--MID(A339,10,1)*6+--MID(A339,11,1)*8, "")</f>
        <v/>
      </c>
    </row>
    <row r="340">
      <c r="A340">
        <f>SUBSTITUTE(SUBSTITUTE(SUBSTITUTE(SUBSTITUTE(TRIM(INDEX(Реестр!$B:$B,ROW())),CHAR(160),""),CHAR(9),""),CHAR(10),""),CHAR(13),"")</f>
        <v/>
      </c>
      <c r="B340">
        <f>SUBSTITUTE(SUBSTITUTE(SUBSTITUTE(SUBSTITUTE(SUBSTITUTE(SUBSTITUTE(SUBSTITUTE(TRIM(INDEX(Реестр!$D:$D, ROW())), "-", ""), " ", ""), CHAR(160), ""), CHAR(9), ""), CHAR(10), ""), CHAR(13), ""), CHAR(32), "")</f>
        <v/>
      </c>
      <c r="C340">
        <f>INDEX(Реестр!$H:$H, ROW())</f>
        <v/>
      </c>
      <c r="D340">
        <f>IF(OR(ISBLANK(INDEX(Реестр!$B:$B, ROW())), INDEX(Реестр!$B:$B, ROW())=""), " ", IF(IFERROR(ISNUMBER(--A340),FALSE), IF(LEN(A340)=10, IF(MOD(MOD(H340,11),10)=--RIGHT(A340,1), "OK", "ОШИБКА"), IF(LEN(A340)=12, IF(AND(MOD(MOD(H340,11),10)=--MID(A340,11,1), MOD(MOD(I340,11),10)=--RIGHT(A340,1)), "OK", "ОШИБКА"), "ДЛИНА (10 или 12)")), "НЕ ЦИФРЫ"))</f>
        <v/>
      </c>
      <c r="E340">
        <f>MID(B340,1,1)*9+MID(B340,2,1)*8+MID(B340,3,1)*7+MID(B340,4,1)*6+MID(B340,5,1)*5+MID(B340,6,1)*4+MID(B340,7,1)*3+MID(B340,8,1)*2+MID(B340,9,1)</f>
        <v/>
      </c>
      <c r="F340">
        <f>IF(B340="", " ", IF(LEN(B340)&lt;&gt;11, "ДЛИНА", IF(NOT(ISNUMBER(--B340)), "НЕ ЦИФРЫ", IF(LEFT(B340,9)*1&lt;=1001998, "OK", IF(RIGHT(B340,2)*1=IF(MOD(E340,101)&gt;=100,0,MOD(E340,101)),"OK","ОШИБКА")))))</f>
        <v/>
      </c>
      <c r="G3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0">
        <f>IF(LEN(TRIM(A340))=10, --MID(A340,1,1)*2+--MID(A340,2,1)*4+--MID(A340,3,1)*10+--MID(A340,4,1)*3+--MID(A340,5,1)*5+--MID(A340,6,1)*9+--MID(A340,7,1)*4+--MID(A340,8,1)*6+--MID(A340,9,1)*8, IF(LEN(TRIM(A340))=12, --MID(A340,1,1)*7+--MID(A340,2,1)*2+--MID(A340,3,1)*4+--MID(A340,4,1)*10+--MID(A340,5,1)*3+--MID(A340,6,1)*5+--MID(A340,7,1)*9+--MID(A340,8,1)*4+--MID(A340,9,1)*6+--MID(A340,10,1)*8, ""))</f>
        <v/>
      </c>
      <c r="I340">
        <f>IF(LEN(TRIM(A340))=12, --MID(A340,1,1)*3+--MID(A340,2,1)*7+--MID(A340,3,1)*2+--MID(A340,4,1)*4+--MID(A340,5,1)*10+--MID(A340,6,1)*3+--MID(A340,7,1)*5+--MID(A340,8,1)*9+--MID(A340,9,1)*4+--MID(A340,10,1)*6+--MID(A340,11,1)*8, "")</f>
        <v/>
      </c>
    </row>
    <row r="341">
      <c r="A341">
        <f>SUBSTITUTE(SUBSTITUTE(SUBSTITUTE(SUBSTITUTE(TRIM(INDEX(Реестр!$B:$B,ROW())),CHAR(160),""),CHAR(9),""),CHAR(10),""),CHAR(13),"")</f>
        <v/>
      </c>
      <c r="B341">
        <f>SUBSTITUTE(SUBSTITUTE(SUBSTITUTE(SUBSTITUTE(SUBSTITUTE(SUBSTITUTE(SUBSTITUTE(TRIM(INDEX(Реестр!$D:$D, ROW())), "-", ""), " ", ""), CHAR(160), ""), CHAR(9), ""), CHAR(10), ""), CHAR(13), ""), CHAR(32), "")</f>
        <v/>
      </c>
      <c r="C341">
        <f>INDEX(Реестр!$H:$H, ROW())</f>
        <v/>
      </c>
      <c r="D341">
        <f>IF(OR(ISBLANK(INDEX(Реестр!$B:$B, ROW())), INDEX(Реестр!$B:$B, ROW())=""), " ", IF(IFERROR(ISNUMBER(--A341),FALSE), IF(LEN(A341)=10, IF(MOD(MOD(H341,11),10)=--RIGHT(A341,1), "OK", "ОШИБКА"), IF(LEN(A341)=12, IF(AND(MOD(MOD(H341,11),10)=--MID(A341,11,1), MOD(MOD(I341,11),10)=--RIGHT(A341,1)), "OK", "ОШИБКА"), "ДЛИНА (10 или 12)")), "НЕ ЦИФРЫ"))</f>
        <v/>
      </c>
      <c r="E341">
        <f>MID(B341,1,1)*9+MID(B341,2,1)*8+MID(B341,3,1)*7+MID(B341,4,1)*6+MID(B341,5,1)*5+MID(B341,6,1)*4+MID(B341,7,1)*3+MID(B341,8,1)*2+MID(B341,9,1)</f>
        <v/>
      </c>
      <c r="F341">
        <f>IF(B341="", " ", IF(LEN(B341)&lt;&gt;11, "ДЛИНА", IF(NOT(ISNUMBER(--B341)), "НЕ ЦИФРЫ", IF(LEFT(B341,9)*1&lt;=1001998, "OK", IF(RIGHT(B341,2)*1=IF(MOD(E341,101)&gt;=100,0,MOD(E341,101)),"OK","ОШИБКА")))))</f>
        <v/>
      </c>
      <c r="G3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1">
        <f>IF(LEN(TRIM(A341))=10, --MID(A341,1,1)*2+--MID(A341,2,1)*4+--MID(A341,3,1)*10+--MID(A341,4,1)*3+--MID(A341,5,1)*5+--MID(A341,6,1)*9+--MID(A341,7,1)*4+--MID(A341,8,1)*6+--MID(A341,9,1)*8, IF(LEN(TRIM(A341))=12, --MID(A341,1,1)*7+--MID(A341,2,1)*2+--MID(A341,3,1)*4+--MID(A341,4,1)*10+--MID(A341,5,1)*3+--MID(A341,6,1)*5+--MID(A341,7,1)*9+--MID(A341,8,1)*4+--MID(A341,9,1)*6+--MID(A341,10,1)*8, ""))</f>
        <v/>
      </c>
      <c r="I341">
        <f>IF(LEN(TRIM(A341))=12, --MID(A341,1,1)*3+--MID(A341,2,1)*7+--MID(A341,3,1)*2+--MID(A341,4,1)*4+--MID(A341,5,1)*10+--MID(A341,6,1)*3+--MID(A341,7,1)*5+--MID(A341,8,1)*9+--MID(A341,9,1)*4+--MID(A341,10,1)*6+--MID(A341,11,1)*8, "")</f>
        <v/>
      </c>
    </row>
    <row r="342">
      <c r="A342">
        <f>SUBSTITUTE(SUBSTITUTE(SUBSTITUTE(SUBSTITUTE(TRIM(INDEX(Реестр!$B:$B,ROW())),CHAR(160),""),CHAR(9),""),CHAR(10),""),CHAR(13),"")</f>
        <v/>
      </c>
      <c r="B342">
        <f>SUBSTITUTE(SUBSTITUTE(SUBSTITUTE(SUBSTITUTE(SUBSTITUTE(SUBSTITUTE(SUBSTITUTE(TRIM(INDEX(Реестр!$D:$D, ROW())), "-", ""), " ", ""), CHAR(160), ""), CHAR(9), ""), CHAR(10), ""), CHAR(13), ""), CHAR(32), "")</f>
        <v/>
      </c>
      <c r="C342">
        <f>INDEX(Реестр!$H:$H, ROW())</f>
        <v/>
      </c>
      <c r="D342">
        <f>IF(OR(ISBLANK(INDEX(Реестр!$B:$B, ROW())), INDEX(Реестр!$B:$B, ROW())=""), " ", IF(IFERROR(ISNUMBER(--A342),FALSE), IF(LEN(A342)=10, IF(MOD(MOD(H342,11),10)=--RIGHT(A342,1), "OK", "ОШИБКА"), IF(LEN(A342)=12, IF(AND(MOD(MOD(H342,11),10)=--MID(A342,11,1), MOD(MOD(I342,11),10)=--RIGHT(A342,1)), "OK", "ОШИБКА"), "ДЛИНА (10 или 12)")), "НЕ ЦИФРЫ"))</f>
        <v/>
      </c>
      <c r="E342">
        <f>MID(B342,1,1)*9+MID(B342,2,1)*8+MID(B342,3,1)*7+MID(B342,4,1)*6+MID(B342,5,1)*5+MID(B342,6,1)*4+MID(B342,7,1)*3+MID(B342,8,1)*2+MID(B342,9,1)</f>
        <v/>
      </c>
      <c r="F342">
        <f>IF(B342="", " ", IF(LEN(B342)&lt;&gt;11, "ДЛИНА", IF(NOT(ISNUMBER(--B342)), "НЕ ЦИФРЫ", IF(LEFT(B342,9)*1&lt;=1001998, "OK", IF(RIGHT(B342,2)*1=IF(MOD(E342,101)&gt;=100,0,MOD(E342,101)),"OK","ОШИБКА")))))</f>
        <v/>
      </c>
      <c r="G3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2">
        <f>IF(LEN(TRIM(A342))=10, --MID(A342,1,1)*2+--MID(A342,2,1)*4+--MID(A342,3,1)*10+--MID(A342,4,1)*3+--MID(A342,5,1)*5+--MID(A342,6,1)*9+--MID(A342,7,1)*4+--MID(A342,8,1)*6+--MID(A342,9,1)*8, IF(LEN(TRIM(A342))=12, --MID(A342,1,1)*7+--MID(A342,2,1)*2+--MID(A342,3,1)*4+--MID(A342,4,1)*10+--MID(A342,5,1)*3+--MID(A342,6,1)*5+--MID(A342,7,1)*9+--MID(A342,8,1)*4+--MID(A342,9,1)*6+--MID(A342,10,1)*8, ""))</f>
        <v/>
      </c>
      <c r="I342">
        <f>IF(LEN(TRIM(A342))=12, --MID(A342,1,1)*3+--MID(A342,2,1)*7+--MID(A342,3,1)*2+--MID(A342,4,1)*4+--MID(A342,5,1)*10+--MID(A342,6,1)*3+--MID(A342,7,1)*5+--MID(A342,8,1)*9+--MID(A342,9,1)*4+--MID(A342,10,1)*6+--MID(A342,11,1)*8, "")</f>
        <v/>
      </c>
    </row>
    <row r="343">
      <c r="A343">
        <f>SUBSTITUTE(SUBSTITUTE(SUBSTITUTE(SUBSTITUTE(TRIM(INDEX(Реестр!$B:$B,ROW())),CHAR(160),""),CHAR(9),""),CHAR(10),""),CHAR(13),"")</f>
        <v/>
      </c>
      <c r="B343">
        <f>SUBSTITUTE(SUBSTITUTE(SUBSTITUTE(SUBSTITUTE(SUBSTITUTE(SUBSTITUTE(SUBSTITUTE(TRIM(INDEX(Реестр!$D:$D, ROW())), "-", ""), " ", ""), CHAR(160), ""), CHAR(9), ""), CHAR(10), ""), CHAR(13), ""), CHAR(32), "")</f>
        <v/>
      </c>
      <c r="C343">
        <f>INDEX(Реестр!$H:$H, ROW())</f>
        <v/>
      </c>
      <c r="D343">
        <f>IF(OR(ISBLANK(INDEX(Реестр!$B:$B, ROW())), INDEX(Реестр!$B:$B, ROW())=""), " ", IF(IFERROR(ISNUMBER(--A343),FALSE), IF(LEN(A343)=10, IF(MOD(MOD(H343,11),10)=--RIGHT(A343,1), "OK", "ОШИБКА"), IF(LEN(A343)=12, IF(AND(MOD(MOD(H343,11),10)=--MID(A343,11,1), MOD(MOD(I343,11),10)=--RIGHT(A343,1)), "OK", "ОШИБКА"), "ДЛИНА (10 или 12)")), "НЕ ЦИФРЫ"))</f>
        <v/>
      </c>
      <c r="E343">
        <f>MID(B343,1,1)*9+MID(B343,2,1)*8+MID(B343,3,1)*7+MID(B343,4,1)*6+MID(B343,5,1)*5+MID(B343,6,1)*4+MID(B343,7,1)*3+MID(B343,8,1)*2+MID(B343,9,1)</f>
        <v/>
      </c>
      <c r="F343">
        <f>IF(B343="", " ", IF(LEN(B343)&lt;&gt;11, "ДЛИНА", IF(NOT(ISNUMBER(--B343)), "НЕ ЦИФРЫ", IF(LEFT(B343,9)*1&lt;=1001998, "OK", IF(RIGHT(B343,2)*1=IF(MOD(E343,101)&gt;=100,0,MOD(E343,101)),"OK","ОШИБКА")))))</f>
        <v/>
      </c>
      <c r="G3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3">
        <f>IF(LEN(TRIM(A343))=10, --MID(A343,1,1)*2+--MID(A343,2,1)*4+--MID(A343,3,1)*10+--MID(A343,4,1)*3+--MID(A343,5,1)*5+--MID(A343,6,1)*9+--MID(A343,7,1)*4+--MID(A343,8,1)*6+--MID(A343,9,1)*8, IF(LEN(TRIM(A343))=12, --MID(A343,1,1)*7+--MID(A343,2,1)*2+--MID(A343,3,1)*4+--MID(A343,4,1)*10+--MID(A343,5,1)*3+--MID(A343,6,1)*5+--MID(A343,7,1)*9+--MID(A343,8,1)*4+--MID(A343,9,1)*6+--MID(A343,10,1)*8, ""))</f>
        <v/>
      </c>
      <c r="I343">
        <f>IF(LEN(TRIM(A343))=12, --MID(A343,1,1)*3+--MID(A343,2,1)*7+--MID(A343,3,1)*2+--MID(A343,4,1)*4+--MID(A343,5,1)*10+--MID(A343,6,1)*3+--MID(A343,7,1)*5+--MID(A343,8,1)*9+--MID(A343,9,1)*4+--MID(A343,10,1)*6+--MID(A343,11,1)*8, "")</f>
        <v/>
      </c>
    </row>
    <row r="344">
      <c r="A344">
        <f>SUBSTITUTE(SUBSTITUTE(SUBSTITUTE(SUBSTITUTE(TRIM(INDEX(Реестр!$B:$B,ROW())),CHAR(160),""),CHAR(9),""),CHAR(10),""),CHAR(13),"")</f>
        <v/>
      </c>
      <c r="B344">
        <f>SUBSTITUTE(SUBSTITUTE(SUBSTITUTE(SUBSTITUTE(SUBSTITUTE(SUBSTITUTE(SUBSTITUTE(TRIM(INDEX(Реестр!$D:$D, ROW())), "-", ""), " ", ""), CHAR(160), ""), CHAR(9), ""), CHAR(10), ""), CHAR(13), ""), CHAR(32), "")</f>
        <v/>
      </c>
      <c r="C344">
        <f>INDEX(Реестр!$H:$H, ROW())</f>
        <v/>
      </c>
      <c r="D344">
        <f>IF(OR(ISBLANK(INDEX(Реестр!$B:$B, ROW())), INDEX(Реестр!$B:$B, ROW())=""), " ", IF(IFERROR(ISNUMBER(--A344),FALSE), IF(LEN(A344)=10, IF(MOD(MOD(H344,11),10)=--RIGHT(A344,1), "OK", "ОШИБКА"), IF(LEN(A344)=12, IF(AND(MOD(MOD(H344,11),10)=--MID(A344,11,1), MOD(MOD(I344,11),10)=--RIGHT(A344,1)), "OK", "ОШИБКА"), "ДЛИНА (10 или 12)")), "НЕ ЦИФРЫ"))</f>
        <v/>
      </c>
      <c r="E344">
        <f>MID(B344,1,1)*9+MID(B344,2,1)*8+MID(B344,3,1)*7+MID(B344,4,1)*6+MID(B344,5,1)*5+MID(B344,6,1)*4+MID(B344,7,1)*3+MID(B344,8,1)*2+MID(B344,9,1)</f>
        <v/>
      </c>
      <c r="F344">
        <f>IF(B344="", " ", IF(LEN(B344)&lt;&gt;11, "ДЛИНА", IF(NOT(ISNUMBER(--B344)), "НЕ ЦИФРЫ", IF(LEFT(B344,9)*1&lt;=1001998, "OK", IF(RIGHT(B344,2)*1=IF(MOD(E344,101)&gt;=100,0,MOD(E344,101)),"OK","ОШИБКА")))))</f>
        <v/>
      </c>
      <c r="G3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4">
        <f>IF(LEN(TRIM(A344))=10, --MID(A344,1,1)*2+--MID(A344,2,1)*4+--MID(A344,3,1)*10+--MID(A344,4,1)*3+--MID(A344,5,1)*5+--MID(A344,6,1)*9+--MID(A344,7,1)*4+--MID(A344,8,1)*6+--MID(A344,9,1)*8, IF(LEN(TRIM(A344))=12, --MID(A344,1,1)*7+--MID(A344,2,1)*2+--MID(A344,3,1)*4+--MID(A344,4,1)*10+--MID(A344,5,1)*3+--MID(A344,6,1)*5+--MID(A344,7,1)*9+--MID(A344,8,1)*4+--MID(A344,9,1)*6+--MID(A344,10,1)*8, ""))</f>
        <v/>
      </c>
      <c r="I344">
        <f>IF(LEN(TRIM(A344))=12, --MID(A344,1,1)*3+--MID(A344,2,1)*7+--MID(A344,3,1)*2+--MID(A344,4,1)*4+--MID(A344,5,1)*10+--MID(A344,6,1)*3+--MID(A344,7,1)*5+--MID(A344,8,1)*9+--MID(A344,9,1)*4+--MID(A344,10,1)*6+--MID(A344,11,1)*8, "")</f>
        <v/>
      </c>
    </row>
    <row r="345">
      <c r="A345">
        <f>SUBSTITUTE(SUBSTITUTE(SUBSTITUTE(SUBSTITUTE(TRIM(INDEX(Реестр!$B:$B,ROW())),CHAR(160),""),CHAR(9),""),CHAR(10),""),CHAR(13),"")</f>
        <v/>
      </c>
      <c r="B345">
        <f>SUBSTITUTE(SUBSTITUTE(SUBSTITUTE(SUBSTITUTE(SUBSTITUTE(SUBSTITUTE(SUBSTITUTE(TRIM(INDEX(Реестр!$D:$D, ROW())), "-", ""), " ", ""), CHAR(160), ""), CHAR(9), ""), CHAR(10), ""), CHAR(13), ""), CHAR(32), "")</f>
        <v/>
      </c>
      <c r="C345">
        <f>INDEX(Реестр!$H:$H, ROW())</f>
        <v/>
      </c>
      <c r="D345">
        <f>IF(OR(ISBLANK(INDEX(Реестр!$B:$B, ROW())), INDEX(Реестр!$B:$B, ROW())=""), " ", IF(IFERROR(ISNUMBER(--A345),FALSE), IF(LEN(A345)=10, IF(MOD(MOD(H345,11),10)=--RIGHT(A345,1), "OK", "ОШИБКА"), IF(LEN(A345)=12, IF(AND(MOD(MOD(H345,11),10)=--MID(A345,11,1), MOD(MOD(I345,11),10)=--RIGHT(A345,1)), "OK", "ОШИБКА"), "ДЛИНА (10 или 12)")), "НЕ ЦИФРЫ"))</f>
        <v/>
      </c>
      <c r="E345">
        <f>MID(B345,1,1)*9+MID(B345,2,1)*8+MID(B345,3,1)*7+MID(B345,4,1)*6+MID(B345,5,1)*5+MID(B345,6,1)*4+MID(B345,7,1)*3+MID(B345,8,1)*2+MID(B345,9,1)</f>
        <v/>
      </c>
      <c r="F345">
        <f>IF(B345="", " ", IF(LEN(B345)&lt;&gt;11, "ДЛИНА", IF(NOT(ISNUMBER(--B345)), "НЕ ЦИФРЫ", IF(LEFT(B345,9)*1&lt;=1001998, "OK", IF(RIGHT(B345,2)*1=IF(MOD(E345,101)&gt;=100,0,MOD(E345,101)),"OK","ОШИБКА")))))</f>
        <v/>
      </c>
      <c r="G3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5">
        <f>IF(LEN(TRIM(A345))=10, --MID(A345,1,1)*2+--MID(A345,2,1)*4+--MID(A345,3,1)*10+--MID(A345,4,1)*3+--MID(A345,5,1)*5+--MID(A345,6,1)*9+--MID(A345,7,1)*4+--MID(A345,8,1)*6+--MID(A345,9,1)*8, IF(LEN(TRIM(A345))=12, --MID(A345,1,1)*7+--MID(A345,2,1)*2+--MID(A345,3,1)*4+--MID(A345,4,1)*10+--MID(A345,5,1)*3+--MID(A345,6,1)*5+--MID(A345,7,1)*9+--MID(A345,8,1)*4+--MID(A345,9,1)*6+--MID(A345,10,1)*8, ""))</f>
        <v/>
      </c>
      <c r="I345">
        <f>IF(LEN(TRIM(A345))=12, --MID(A345,1,1)*3+--MID(A345,2,1)*7+--MID(A345,3,1)*2+--MID(A345,4,1)*4+--MID(A345,5,1)*10+--MID(A345,6,1)*3+--MID(A345,7,1)*5+--MID(A345,8,1)*9+--MID(A345,9,1)*4+--MID(A345,10,1)*6+--MID(A345,11,1)*8, "")</f>
        <v/>
      </c>
    </row>
    <row r="346">
      <c r="A346">
        <f>SUBSTITUTE(SUBSTITUTE(SUBSTITUTE(SUBSTITUTE(TRIM(INDEX(Реестр!$B:$B,ROW())),CHAR(160),""),CHAR(9),""),CHAR(10),""),CHAR(13),"")</f>
        <v/>
      </c>
      <c r="B346">
        <f>SUBSTITUTE(SUBSTITUTE(SUBSTITUTE(SUBSTITUTE(SUBSTITUTE(SUBSTITUTE(SUBSTITUTE(TRIM(INDEX(Реестр!$D:$D, ROW())), "-", ""), " ", ""), CHAR(160), ""), CHAR(9), ""), CHAR(10), ""), CHAR(13), ""), CHAR(32), "")</f>
        <v/>
      </c>
      <c r="C346">
        <f>INDEX(Реестр!$H:$H, ROW())</f>
        <v/>
      </c>
      <c r="D346">
        <f>IF(OR(ISBLANK(INDEX(Реестр!$B:$B, ROW())), INDEX(Реестр!$B:$B, ROW())=""), " ", IF(IFERROR(ISNUMBER(--A346),FALSE), IF(LEN(A346)=10, IF(MOD(MOD(H346,11),10)=--RIGHT(A346,1), "OK", "ОШИБКА"), IF(LEN(A346)=12, IF(AND(MOD(MOD(H346,11),10)=--MID(A346,11,1), MOD(MOD(I346,11),10)=--RIGHT(A346,1)), "OK", "ОШИБКА"), "ДЛИНА (10 или 12)")), "НЕ ЦИФРЫ"))</f>
        <v/>
      </c>
      <c r="E346">
        <f>MID(B346,1,1)*9+MID(B346,2,1)*8+MID(B346,3,1)*7+MID(B346,4,1)*6+MID(B346,5,1)*5+MID(B346,6,1)*4+MID(B346,7,1)*3+MID(B346,8,1)*2+MID(B346,9,1)</f>
        <v/>
      </c>
      <c r="F346">
        <f>IF(B346="", " ", IF(LEN(B346)&lt;&gt;11, "ДЛИНА", IF(NOT(ISNUMBER(--B346)), "НЕ ЦИФРЫ", IF(LEFT(B346,9)*1&lt;=1001998, "OK", IF(RIGHT(B346,2)*1=IF(MOD(E346,101)&gt;=100,0,MOD(E346,101)),"OK","ОШИБКА")))))</f>
        <v/>
      </c>
      <c r="G3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6">
        <f>IF(LEN(TRIM(A346))=10, --MID(A346,1,1)*2+--MID(A346,2,1)*4+--MID(A346,3,1)*10+--MID(A346,4,1)*3+--MID(A346,5,1)*5+--MID(A346,6,1)*9+--MID(A346,7,1)*4+--MID(A346,8,1)*6+--MID(A346,9,1)*8, IF(LEN(TRIM(A346))=12, --MID(A346,1,1)*7+--MID(A346,2,1)*2+--MID(A346,3,1)*4+--MID(A346,4,1)*10+--MID(A346,5,1)*3+--MID(A346,6,1)*5+--MID(A346,7,1)*9+--MID(A346,8,1)*4+--MID(A346,9,1)*6+--MID(A346,10,1)*8, ""))</f>
        <v/>
      </c>
      <c r="I346">
        <f>IF(LEN(TRIM(A346))=12, --MID(A346,1,1)*3+--MID(A346,2,1)*7+--MID(A346,3,1)*2+--MID(A346,4,1)*4+--MID(A346,5,1)*10+--MID(A346,6,1)*3+--MID(A346,7,1)*5+--MID(A346,8,1)*9+--MID(A346,9,1)*4+--MID(A346,10,1)*6+--MID(A346,11,1)*8, "")</f>
        <v/>
      </c>
    </row>
    <row r="347">
      <c r="A347">
        <f>SUBSTITUTE(SUBSTITUTE(SUBSTITUTE(SUBSTITUTE(TRIM(INDEX(Реестр!$B:$B,ROW())),CHAR(160),""),CHAR(9),""),CHAR(10),""),CHAR(13),"")</f>
        <v/>
      </c>
      <c r="B347">
        <f>SUBSTITUTE(SUBSTITUTE(SUBSTITUTE(SUBSTITUTE(SUBSTITUTE(SUBSTITUTE(SUBSTITUTE(TRIM(INDEX(Реестр!$D:$D, ROW())), "-", ""), " ", ""), CHAR(160), ""), CHAR(9), ""), CHAR(10), ""), CHAR(13), ""), CHAR(32), "")</f>
        <v/>
      </c>
      <c r="C347">
        <f>INDEX(Реестр!$H:$H, ROW())</f>
        <v/>
      </c>
      <c r="D347">
        <f>IF(OR(ISBLANK(INDEX(Реестр!$B:$B, ROW())), INDEX(Реестр!$B:$B, ROW())=""), " ", IF(IFERROR(ISNUMBER(--A347),FALSE), IF(LEN(A347)=10, IF(MOD(MOD(H347,11),10)=--RIGHT(A347,1), "OK", "ОШИБКА"), IF(LEN(A347)=12, IF(AND(MOD(MOD(H347,11),10)=--MID(A347,11,1), MOD(MOD(I347,11),10)=--RIGHT(A347,1)), "OK", "ОШИБКА"), "ДЛИНА (10 или 12)")), "НЕ ЦИФРЫ"))</f>
        <v/>
      </c>
      <c r="E347">
        <f>MID(B347,1,1)*9+MID(B347,2,1)*8+MID(B347,3,1)*7+MID(B347,4,1)*6+MID(B347,5,1)*5+MID(B347,6,1)*4+MID(B347,7,1)*3+MID(B347,8,1)*2+MID(B347,9,1)</f>
        <v/>
      </c>
      <c r="F347">
        <f>IF(B347="", " ", IF(LEN(B347)&lt;&gt;11, "ДЛИНА", IF(NOT(ISNUMBER(--B347)), "НЕ ЦИФРЫ", IF(LEFT(B347,9)*1&lt;=1001998, "OK", IF(RIGHT(B347,2)*1=IF(MOD(E347,101)&gt;=100,0,MOD(E347,101)),"OK","ОШИБКА")))))</f>
        <v/>
      </c>
      <c r="G3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7">
        <f>IF(LEN(TRIM(A347))=10, --MID(A347,1,1)*2+--MID(A347,2,1)*4+--MID(A347,3,1)*10+--MID(A347,4,1)*3+--MID(A347,5,1)*5+--MID(A347,6,1)*9+--MID(A347,7,1)*4+--MID(A347,8,1)*6+--MID(A347,9,1)*8, IF(LEN(TRIM(A347))=12, --MID(A347,1,1)*7+--MID(A347,2,1)*2+--MID(A347,3,1)*4+--MID(A347,4,1)*10+--MID(A347,5,1)*3+--MID(A347,6,1)*5+--MID(A347,7,1)*9+--MID(A347,8,1)*4+--MID(A347,9,1)*6+--MID(A347,10,1)*8, ""))</f>
        <v/>
      </c>
      <c r="I347">
        <f>IF(LEN(TRIM(A347))=12, --MID(A347,1,1)*3+--MID(A347,2,1)*7+--MID(A347,3,1)*2+--MID(A347,4,1)*4+--MID(A347,5,1)*10+--MID(A347,6,1)*3+--MID(A347,7,1)*5+--MID(A347,8,1)*9+--MID(A347,9,1)*4+--MID(A347,10,1)*6+--MID(A347,11,1)*8, "")</f>
        <v/>
      </c>
    </row>
    <row r="348">
      <c r="A348">
        <f>SUBSTITUTE(SUBSTITUTE(SUBSTITUTE(SUBSTITUTE(TRIM(INDEX(Реестр!$B:$B,ROW())),CHAR(160),""),CHAR(9),""),CHAR(10),""),CHAR(13),"")</f>
        <v/>
      </c>
      <c r="B348">
        <f>SUBSTITUTE(SUBSTITUTE(SUBSTITUTE(SUBSTITUTE(SUBSTITUTE(SUBSTITUTE(SUBSTITUTE(TRIM(INDEX(Реестр!$D:$D, ROW())), "-", ""), " ", ""), CHAR(160), ""), CHAR(9), ""), CHAR(10), ""), CHAR(13), ""), CHAR(32), "")</f>
        <v/>
      </c>
      <c r="C348">
        <f>INDEX(Реестр!$H:$H, ROW())</f>
        <v/>
      </c>
      <c r="D348">
        <f>IF(OR(ISBLANK(INDEX(Реестр!$B:$B, ROW())), INDEX(Реестр!$B:$B, ROW())=""), " ", IF(IFERROR(ISNUMBER(--A348),FALSE), IF(LEN(A348)=10, IF(MOD(MOD(H348,11),10)=--RIGHT(A348,1), "OK", "ОШИБКА"), IF(LEN(A348)=12, IF(AND(MOD(MOD(H348,11),10)=--MID(A348,11,1), MOD(MOD(I348,11),10)=--RIGHT(A348,1)), "OK", "ОШИБКА"), "ДЛИНА (10 или 12)")), "НЕ ЦИФРЫ"))</f>
        <v/>
      </c>
      <c r="E348">
        <f>MID(B348,1,1)*9+MID(B348,2,1)*8+MID(B348,3,1)*7+MID(B348,4,1)*6+MID(B348,5,1)*5+MID(B348,6,1)*4+MID(B348,7,1)*3+MID(B348,8,1)*2+MID(B348,9,1)</f>
        <v/>
      </c>
      <c r="F348">
        <f>IF(B348="", " ", IF(LEN(B348)&lt;&gt;11, "ДЛИНА", IF(NOT(ISNUMBER(--B348)), "НЕ ЦИФРЫ", IF(LEFT(B348,9)*1&lt;=1001998, "OK", IF(RIGHT(B348,2)*1=IF(MOD(E348,101)&gt;=100,0,MOD(E348,101)),"OK","ОШИБКА")))))</f>
        <v/>
      </c>
      <c r="G3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8">
        <f>IF(LEN(TRIM(A348))=10, --MID(A348,1,1)*2+--MID(A348,2,1)*4+--MID(A348,3,1)*10+--MID(A348,4,1)*3+--MID(A348,5,1)*5+--MID(A348,6,1)*9+--MID(A348,7,1)*4+--MID(A348,8,1)*6+--MID(A348,9,1)*8, IF(LEN(TRIM(A348))=12, --MID(A348,1,1)*7+--MID(A348,2,1)*2+--MID(A348,3,1)*4+--MID(A348,4,1)*10+--MID(A348,5,1)*3+--MID(A348,6,1)*5+--MID(A348,7,1)*9+--MID(A348,8,1)*4+--MID(A348,9,1)*6+--MID(A348,10,1)*8, ""))</f>
        <v/>
      </c>
      <c r="I348">
        <f>IF(LEN(TRIM(A348))=12, --MID(A348,1,1)*3+--MID(A348,2,1)*7+--MID(A348,3,1)*2+--MID(A348,4,1)*4+--MID(A348,5,1)*10+--MID(A348,6,1)*3+--MID(A348,7,1)*5+--MID(A348,8,1)*9+--MID(A348,9,1)*4+--MID(A348,10,1)*6+--MID(A348,11,1)*8, "")</f>
        <v/>
      </c>
    </row>
    <row r="349">
      <c r="A349">
        <f>SUBSTITUTE(SUBSTITUTE(SUBSTITUTE(SUBSTITUTE(TRIM(INDEX(Реестр!$B:$B,ROW())),CHAR(160),""),CHAR(9),""),CHAR(10),""),CHAR(13),"")</f>
        <v/>
      </c>
      <c r="B349">
        <f>SUBSTITUTE(SUBSTITUTE(SUBSTITUTE(SUBSTITUTE(SUBSTITUTE(SUBSTITUTE(SUBSTITUTE(TRIM(INDEX(Реестр!$D:$D, ROW())), "-", ""), " ", ""), CHAR(160), ""), CHAR(9), ""), CHAR(10), ""), CHAR(13), ""), CHAR(32), "")</f>
        <v/>
      </c>
      <c r="C349">
        <f>INDEX(Реестр!$H:$H, ROW())</f>
        <v/>
      </c>
      <c r="D349">
        <f>IF(OR(ISBLANK(INDEX(Реестр!$B:$B, ROW())), INDEX(Реестр!$B:$B, ROW())=""), " ", IF(IFERROR(ISNUMBER(--A349),FALSE), IF(LEN(A349)=10, IF(MOD(MOD(H349,11),10)=--RIGHT(A349,1), "OK", "ОШИБКА"), IF(LEN(A349)=12, IF(AND(MOD(MOD(H349,11),10)=--MID(A349,11,1), MOD(MOD(I349,11),10)=--RIGHT(A349,1)), "OK", "ОШИБКА"), "ДЛИНА (10 или 12)")), "НЕ ЦИФРЫ"))</f>
        <v/>
      </c>
      <c r="E349">
        <f>MID(B349,1,1)*9+MID(B349,2,1)*8+MID(B349,3,1)*7+MID(B349,4,1)*6+MID(B349,5,1)*5+MID(B349,6,1)*4+MID(B349,7,1)*3+MID(B349,8,1)*2+MID(B349,9,1)</f>
        <v/>
      </c>
      <c r="F349">
        <f>IF(B349="", " ", IF(LEN(B349)&lt;&gt;11, "ДЛИНА", IF(NOT(ISNUMBER(--B349)), "НЕ ЦИФРЫ", IF(LEFT(B349,9)*1&lt;=1001998, "OK", IF(RIGHT(B349,2)*1=IF(MOD(E349,101)&gt;=100,0,MOD(E349,101)),"OK","ОШИБКА")))))</f>
        <v/>
      </c>
      <c r="G3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49">
        <f>IF(LEN(TRIM(A349))=10, --MID(A349,1,1)*2+--MID(A349,2,1)*4+--MID(A349,3,1)*10+--MID(A349,4,1)*3+--MID(A349,5,1)*5+--MID(A349,6,1)*9+--MID(A349,7,1)*4+--MID(A349,8,1)*6+--MID(A349,9,1)*8, IF(LEN(TRIM(A349))=12, --MID(A349,1,1)*7+--MID(A349,2,1)*2+--MID(A349,3,1)*4+--MID(A349,4,1)*10+--MID(A349,5,1)*3+--MID(A349,6,1)*5+--MID(A349,7,1)*9+--MID(A349,8,1)*4+--MID(A349,9,1)*6+--MID(A349,10,1)*8, ""))</f>
        <v/>
      </c>
      <c r="I349">
        <f>IF(LEN(TRIM(A349))=12, --MID(A349,1,1)*3+--MID(A349,2,1)*7+--MID(A349,3,1)*2+--MID(A349,4,1)*4+--MID(A349,5,1)*10+--MID(A349,6,1)*3+--MID(A349,7,1)*5+--MID(A349,8,1)*9+--MID(A349,9,1)*4+--MID(A349,10,1)*6+--MID(A349,11,1)*8, "")</f>
        <v/>
      </c>
    </row>
    <row r="350">
      <c r="A350">
        <f>SUBSTITUTE(SUBSTITUTE(SUBSTITUTE(SUBSTITUTE(TRIM(INDEX(Реестр!$B:$B,ROW())),CHAR(160),""),CHAR(9),""),CHAR(10),""),CHAR(13),"")</f>
        <v/>
      </c>
      <c r="B350">
        <f>SUBSTITUTE(SUBSTITUTE(SUBSTITUTE(SUBSTITUTE(SUBSTITUTE(SUBSTITUTE(SUBSTITUTE(TRIM(INDEX(Реестр!$D:$D, ROW())), "-", ""), " ", ""), CHAR(160), ""), CHAR(9), ""), CHAR(10), ""), CHAR(13), ""), CHAR(32), "")</f>
        <v/>
      </c>
      <c r="C350">
        <f>INDEX(Реестр!$H:$H, ROW())</f>
        <v/>
      </c>
      <c r="D350">
        <f>IF(OR(ISBLANK(INDEX(Реестр!$B:$B, ROW())), INDEX(Реестр!$B:$B, ROW())=""), " ", IF(IFERROR(ISNUMBER(--A350),FALSE), IF(LEN(A350)=10, IF(MOD(MOD(H350,11),10)=--RIGHT(A350,1), "OK", "ОШИБКА"), IF(LEN(A350)=12, IF(AND(MOD(MOD(H350,11),10)=--MID(A350,11,1), MOD(MOD(I350,11),10)=--RIGHT(A350,1)), "OK", "ОШИБКА"), "ДЛИНА (10 или 12)")), "НЕ ЦИФРЫ"))</f>
        <v/>
      </c>
      <c r="E350">
        <f>MID(B350,1,1)*9+MID(B350,2,1)*8+MID(B350,3,1)*7+MID(B350,4,1)*6+MID(B350,5,1)*5+MID(B350,6,1)*4+MID(B350,7,1)*3+MID(B350,8,1)*2+MID(B350,9,1)</f>
        <v/>
      </c>
      <c r="F350">
        <f>IF(B350="", " ", IF(LEN(B350)&lt;&gt;11, "ДЛИНА", IF(NOT(ISNUMBER(--B350)), "НЕ ЦИФРЫ", IF(LEFT(B350,9)*1&lt;=1001998, "OK", IF(RIGHT(B350,2)*1=IF(MOD(E350,101)&gt;=100,0,MOD(E350,101)),"OK","ОШИБКА")))))</f>
        <v/>
      </c>
      <c r="G3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0">
        <f>IF(LEN(TRIM(A350))=10, --MID(A350,1,1)*2+--MID(A350,2,1)*4+--MID(A350,3,1)*10+--MID(A350,4,1)*3+--MID(A350,5,1)*5+--MID(A350,6,1)*9+--MID(A350,7,1)*4+--MID(A350,8,1)*6+--MID(A350,9,1)*8, IF(LEN(TRIM(A350))=12, --MID(A350,1,1)*7+--MID(A350,2,1)*2+--MID(A350,3,1)*4+--MID(A350,4,1)*10+--MID(A350,5,1)*3+--MID(A350,6,1)*5+--MID(A350,7,1)*9+--MID(A350,8,1)*4+--MID(A350,9,1)*6+--MID(A350,10,1)*8, ""))</f>
        <v/>
      </c>
      <c r="I350">
        <f>IF(LEN(TRIM(A350))=12, --MID(A350,1,1)*3+--MID(A350,2,1)*7+--MID(A350,3,1)*2+--MID(A350,4,1)*4+--MID(A350,5,1)*10+--MID(A350,6,1)*3+--MID(A350,7,1)*5+--MID(A350,8,1)*9+--MID(A350,9,1)*4+--MID(A350,10,1)*6+--MID(A350,11,1)*8, "")</f>
        <v/>
      </c>
    </row>
    <row r="351">
      <c r="A351">
        <f>SUBSTITUTE(SUBSTITUTE(SUBSTITUTE(SUBSTITUTE(TRIM(INDEX(Реестр!$B:$B,ROW())),CHAR(160),""),CHAR(9),""),CHAR(10),""),CHAR(13),"")</f>
        <v/>
      </c>
      <c r="B351">
        <f>SUBSTITUTE(SUBSTITUTE(SUBSTITUTE(SUBSTITUTE(SUBSTITUTE(SUBSTITUTE(SUBSTITUTE(TRIM(INDEX(Реестр!$D:$D, ROW())), "-", ""), " ", ""), CHAR(160), ""), CHAR(9), ""), CHAR(10), ""), CHAR(13), ""), CHAR(32), "")</f>
        <v/>
      </c>
      <c r="C351">
        <f>INDEX(Реестр!$H:$H, ROW())</f>
        <v/>
      </c>
      <c r="D351">
        <f>IF(OR(ISBLANK(INDEX(Реестр!$B:$B, ROW())), INDEX(Реестр!$B:$B, ROW())=""), " ", IF(IFERROR(ISNUMBER(--A351),FALSE), IF(LEN(A351)=10, IF(MOD(MOD(H351,11),10)=--RIGHT(A351,1), "OK", "ОШИБКА"), IF(LEN(A351)=12, IF(AND(MOD(MOD(H351,11),10)=--MID(A351,11,1), MOD(MOD(I351,11),10)=--RIGHT(A351,1)), "OK", "ОШИБКА"), "ДЛИНА (10 или 12)")), "НЕ ЦИФРЫ"))</f>
        <v/>
      </c>
      <c r="E351">
        <f>MID(B351,1,1)*9+MID(B351,2,1)*8+MID(B351,3,1)*7+MID(B351,4,1)*6+MID(B351,5,1)*5+MID(B351,6,1)*4+MID(B351,7,1)*3+MID(B351,8,1)*2+MID(B351,9,1)</f>
        <v/>
      </c>
      <c r="F351">
        <f>IF(B351="", " ", IF(LEN(B351)&lt;&gt;11, "ДЛИНА", IF(NOT(ISNUMBER(--B351)), "НЕ ЦИФРЫ", IF(LEFT(B351,9)*1&lt;=1001998, "OK", IF(RIGHT(B351,2)*1=IF(MOD(E351,101)&gt;=100,0,MOD(E351,101)),"OK","ОШИБКА")))))</f>
        <v/>
      </c>
      <c r="G3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1">
        <f>IF(LEN(TRIM(A351))=10, --MID(A351,1,1)*2+--MID(A351,2,1)*4+--MID(A351,3,1)*10+--MID(A351,4,1)*3+--MID(A351,5,1)*5+--MID(A351,6,1)*9+--MID(A351,7,1)*4+--MID(A351,8,1)*6+--MID(A351,9,1)*8, IF(LEN(TRIM(A351))=12, --MID(A351,1,1)*7+--MID(A351,2,1)*2+--MID(A351,3,1)*4+--MID(A351,4,1)*10+--MID(A351,5,1)*3+--MID(A351,6,1)*5+--MID(A351,7,1)*9+--MID(A351,8,1)*4+--MID(A351,9,1)*6+--MID(A351,10,1)*8, ""))</f>
        <v/>
      </c>
      <c r="I351">
        <f>IF(LEN(TRIM(A351))=12, --MID(A351,1,1)*3+--MID(A351,2,1)*7+--MID(A351,3,1)*2+--MID(A351,4,1)*4+--MID(A351,5,1)*10+--MID(A351,6,1)*3+--MID(A351,7,1)*5+--MID(A351,8,1)*9+--MID(A351,9,1)*4+--MID(A351,10,1)*6+--MID(A351,11,1)*8, "")</f>
        <v/>
      </c>
    </row>
    <row r="352">
      <c r="A352">
        <f>SUBSTITUTE(SUBSTITUTE(SUBSTITUTE(SUBSTITUTE(TRIM(INDEX(Реестр!$B:$B,ROW())),CHAR(160),""),CHAR(9),""),CHAR(10),""),CHAR(13),"")</f>
        <v/>
      </c>
      <c r="B352">
        <f>SUBSTITUTE(SUBSTITUTE(SUBSTITUTE(SUBSTITUTE(SUBSTITUTE(SUBSTITUTE(SUBSTITUTE(TRIM(INDEX(Реестр!$D:$D, ROW())), "-", ""), " ", ""), CHAR(160), ""), CHAR(9), ""), CHAR(10), ""), CHAR(13), ""), CHAR(32), "")</f>
        <v/>
      </c>
      <c r="C352">
        <f>INDEX(Реестр!$H:$H, ROW())</f>
        <v/>
      </c>
      <c r="D352">
        <f>IF(OR(ISBLANK(INDEX(Реестр!$B:$B, ROW())), INDEX(Реестр!$B:$B, ROW())=""), " ", IF(IFERROR(ISNUMBER(--A352),FALSE), IF(LEN(A352)=10, IF(MOD(MOD(H352,11),10)=--RIGHT(A352,1), "OK", "ОШИБКА"), IF(LEN(A352)=12, IF(AND(MOD(MOD(H352,11),10)=--MID(A352,11,1), MOD(MOD(I352,11),10)=--RIGHT(A352,1)), "OK", "ОШИБКА"), "ДЛИНА (10 или 12)")), "НЕ ЦИФРЫ"))</f>
        <v/>
      </c>
      <c r="E352">
        <f>MID(B352,1,1)*9+MID(B352,2,1)*8+MID(B352,3,1)*7+MID(B352,4,1)*6+MID(B352,5,1)*5+MID(B352,6,1)*4+MID(B352,7,1)*3+MID(B352,8,1)*2+MID(B352,9,1)</f>
        <v/>
      </c>
      <c r="F352">
        <f>IF(B352="", " ", IF(LEN(B352)&lt;&gt;11, "ДЛИНА", IF(NOT(ISNUMBER(--B352)), "НЕ ЦИФРЫ", IF(LEFT(B352,9)*1&lt;=1001998, "OK", IF(RIGHT(B352,2)*1=IF(MOD(E352,101)&gt;=100,0,MOD(E352,101)),"OK","ОШИБКА")))))</f>
        <v/>
      </c>
      <c r="G3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2">
        <f>IF(LEN(TRIM(A352))=10, --MID(A352,1,1)*2+--MID(A352,2,1)*4+--MID(A352,3,1)*10+--MID(A352,4,1)*3+--MID(A352,5,1)*5+--MID(A352,6,1)*9+--MID(A352,7,1)*4+--MID(A352,8,1)*6+--MID(A352,9,1)*8, IF(LEN(TRIM(A352))=12, --MID(A352,1,1)*7+--MID(A352,2,1)*2+--MID(A352,3,1)*4+--MID(A352,4,1)*10+--MID(A352,5,1)*3+--MID(A352,6,1)*5+--MID(A352,7,1)*9+--MID(A352,8,1)*4+--MID(A352,9,1)*6+--MID(A352,10,1)*8, ""))</f>
        <v/>
      </c>
      <c r="I352">
        <f>IF(LEN(TRIM(A352))=12, --MID(A352,1,1)*3+--MID(A352,2,1)*7+--MID(A352,3,1)*2+--MID(A352,4,1)*4+--MID(A352,5,1)*10+--MID(A352,6,1)*3+--MID(A352,7,1)*5+--MID(A352,8,1)*9+--MID(A352,9,1)*4+--MID(A352,10,1)*6+--MID(A352,11,1)*8, "")</f>
        <v/>
      </c>
    </row>
    <row r="353">
      <c r="A353">
        <f>SUBSTITUTE(SUBSTITUTE(SUBSTITUTE(SUBSTITUTE(TRIM(INDEX(Реестр!$B:$B,ROW())),CHAR(160),""),CHAR(9),""),CHAR(10),""),CHAR(13),"")</f>
        <v/>
      </c>
      <c r="B353">
        <f>SUBSTITUTE(SUBSTITUTE(SUBSTITUTE(SUBSTITUTE(SUBSTITUTE(SUBSTITUTE(SUBSTITUTE(TRIM(INDEX(Реестр!$D:$D, ROW())), "-", ""), " ", ""), CHAR(160), ""), CHAR(9), ""), CHAR(10), ""), CHAR(13), ""), CHAR(32), "")</f>
        <v/>
      </c>
      <c r="C353">
        <f>INDEX(Реестр!$H:$H, ROW())</f>
        <v/>
      </c>
      <c r="D353">
        <f>IF(OR(ISBLANK(INDEX(Реестр!$B:$B, ROW())), INDEX(Реестр!$B:$B, ROW())=""), " ", IF(IFERROR(ISNUMBER(--A353),FALSE), IF(LEN(A353)=10, IF(MOD(MOD(H353,11),10)=--RIGHT(A353,1), "OK", "ОШИБКА"), IF(LEN(A353)=12, IF(AND(MOD(MOD(H353,11),10)=--MID(A353,11,1), MOD(MOD(I353,11),10)=--RIGHT(A353,1)), "OK", "ОШИБКА"), "ДЛИНА (10 или 12)")), "НЕ ЦИФРЫ"))</f>
        <v/>
      </c>
      <c r="E353">
        <f>MID(B353,1,1)*9+MID(B353,2,1)*8+MID(B353,3,1)*7+MID(B353,4,1)*6+MID(B353,5,1)*5+MID(B353,6,1)*4+MID(B353,7,1)*3+MID(B353,8,1)*2+MID(B353,9,1)</f>
        <v/>
      </c>
      <c r="F353">
        <f>IF(B353="", " ", IF(LEN(B353)&lt;&gt;11, "ДЛИНА", IF(NOT(ISNUMBER(--B353)), "НЕ ЦИФРЫ", IF(LEFT(B353,9)*1&lt;=1001998, "OK", IF(RIGHT(B353,2)*1=IF(MOD(E353,101)&gt;=100,0,MOD(E353,101)),"OK","ОШИБКА")))))</f>
        <v/>
      </c>
      <c r="G3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3">
        <f>IF(LEN(TRIM(A353))=10, --MID(A353,1,1)*2+--MID(A353,2,1)*4+--MID(A353,3,1)*10+--MID(A353,4,1)*3+--MID(A353,5,1)*5+--MID(A353,6,1)*9+--MID(A353,7,1)*4+--MID(A353,8,1)*6+--MID(A353,9,1)*8, IF(LEN(TRIM(A353))=12, --MID(A353,1,1)*7+--MID(A353,2,1)*2+--MID(A353,3,1)*4+--MID(A353,4,1)*10+--MID(A353,5,1)*3+--MID(A353,6,1)*5+--MID(A353,7,1)*9+--MID(A353,8,1)*4+--MID(A353,9,1)*6+--MID(A353,10,1)*8, ""))</f>
        <v/>
      </c>
      <c r="I353">
        <f>IF(LEN(TRIM(A353))=12, --MID(A353,1,1)*3+--MID(A353,2,1)*7+--MID(A353,3,1)*2+--MID(A353,4,1)*4+--MID(A353,5,1)*10+--MID(A353,6,1)*3+--MID(A353,7,1)*5+--MID(A353,8,1)*9+--MID(A353,9,1)*4+--MID(A353,10,1)*6+--MID(A353,11,1)*8, "")</f>
        <v/>
      </c>
    </row>
    <row r="354">
      <c r="A354">
        <f>SUBSTITUTE(SUBSTITUTE(SUBSTITUTE(SUBSTITUTE(TRIM(INDEX(Реестр!$B:$B,ROW())),CHAR(160),""),CHAR(9),""),CHAR(10),""),CHAR(13),"")</f>
        <v/>
      </c>
      <c r="B354">
        <f>SUBSTITUTE(SUBSTITUTE(SUBSTITUTE(SUBSTITUTE(SUBSTITUTE(SUBSTITUTE(SUBSTITUTE(TRIM(INDEX(Реестр!$D:$D, ROW())), "-", ""), " ", ""), CHAR(160), ""), CHAR(9), ""), CHAR(10), ""), CHAR(13), ""), CHAR(32), "")</f>
        <v/>
      </c>
      <c r="C354">
        <f>INDEX(Реестр!$H:$H, ROW())</f>
        <v/>
      </c>
      <c r="D354">
        <f>IF(OR(ISBLANK(INDEX(Реестр!$B:$B, ROW())), INDEX(Реестр!$B:$B, ROW())=""), " ", IF(IFERROR(ISNUMBER(--A354),FALSE), IF(LEN(A354)=10, IF(MOD(MOD(H354,11),10)=--RIGHT(A354,1), "OK", "ОШИБКА"), IF(LEN(A354)=12, IF(AND(MOD(MOD(H354,11),10)=--MID(A354,11,1), MOD(MOD(I354,11),10)=--RIGHT(A354,1)), "OK", "ОШИБКА"), "ДЛИНА (10 или 12)")), "НЕ ЦИФРЫ"))</f>
        <v/>
      </c>
      <c r="E354">
        <f>MID(B354,1,1)*9+MID(B354,2,1)*8+MID(B354,3,1)*7+MID(B354,4,1)*6+MID(B354,5,1)*5+MID(B354,6,1)*4+MID(B354,7,1)*3+MID(B354,8,1)*2+MID(B354,9,1)</f>
        <v/>
      </c>
      <c r="F354">
        <f>IF(B354="", " ", IF(LEN(B354)&lt;&gt;11, "ДЛИНА", IF(NOT(ISNUMBER(--B354)), "НЕ ЦИФРЫ", IF(LEFT(B354,9)*1&lt;=1001998, "OK", IF(RIGHT(B354,2)*1=IF(MOD(E354,101)&gt;=100,0,MOD(E354,101)),"OK","ОШИБКА")))))</f>
        <v/>
      </c>
      <c r="G3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4">
        <f>IF(LEN(TRIM(A354))=10, --MID(A354,1,1)*2+--MID(A354,2,1)*4+--MID(A354,3,1)*10+--MID(A354,4,1)*3+--MID(A354,5,1)*5+--MID(A354,6,1)*9+--MID(A354,7,1)*4+--MID(A354,8,1)*6+--MID(A354,9,1)*8, IF(LEN(TRIM(A354))=12, --MID(A354,1,1)*7+--MID(A354,2,1)*2+--MID(A354,3,1)*4+--MID(A354,4,1)*10+--MID(A354,5,1)*3+--MID(A354,6,1)*5+--MID(A354,7,1)*9+--MID(A354,8,1)*4+--MID(A354,9,1)*6+--MID(A354,10,1)*8, ""))</f>
        <v/>
      </c>
      <c r="I354">
        <f>IF(LEN(TRIM(A354))=12, --MID(A354,1,1)*3+--MID(A354,2,1)*7+--MID(A354,3,1)*2+--MID(A354,4,1)*4+--MID(A354,5,1)*10+--MID(A354,6,1)*3+--MID(A354,7,1)*5+--MID(A354,8,1)*9+--MID(A354,9,1)*4+--MID(A354,10,1)*6+--MID(A354,11,1)*8, "")</f>
        <v/>
      </c>
    </row>
    <row r="355">
      <c r="A355">
        <f>SUBSTITUTE(SUBSTITUTE(SUBSTITUTE(SUBSTITUTE(TRIM(INDEX(Реестр!$B:$B,ROW())),CHAR(160),""),CHAR(9),""),CHAR(10),""),CHAR(13),"")</f>
        <v/>
      </c>
      <c r="B355">
        <f>SUBSTITUTE(SUBSTITUTE(SUBSTITUTE(SUBSTITUTE(SUBSTITUTE(SUBSTITUTE(SUBSTITUTE(TRIM(INDEX(Реестр!$D:$D, ROW())), "-", ""), " ", ""), CHAR(160), ""), CHAR(9), ""), CHAR(10), ""), CHAR(13), ""), CHAR(32), "")</f>
        <v/>
      </c>
      <c r="C355">
        <f>INDEX(Реестр!$H:$H, ROW())</f>
        <v/>
      </c>
      <c r="D355">
        <f>IF(OR(ISBLANK(INDEX(Реестр!$B:$B, ROW())), INDEX(Реестр!$B:$B, ROW())=""), " ", IF(IFERROR(ISNUMBER(--A355),FALSE), IF(LEN(A355)=10, IF(MOD(MOD(H355,11),10)=--RIGHT(A355,1), "OK", "ОШИБКА"), IF(LEN(A355)=12, IF(AND(MOD(MOD(H355,11),10)=--MID(A355,11,1), MOD(MOD(I355,11),10)=--RIGHT(A355,1)), "OK", "ОШИБКА"), "ДЛИНА (10 или 12)")), "НЕ ЦИФРЫ"))</f>
        <v/>
      </c>
      <c r="E355">
        <f>MID(B355,1,1)*9+MID(B355,2,1)*8+MID(B355,3,1)*7+MID(B355,4,1)*6+MID(B355,5,1)*5+MID(B355,6,1)*4+MID(B355,7,1)*3+MID(B355,8,1)*2+MID(B355,9,1)</f>
        <v/>
      </c>
      <c r="F355">
        <f>IF(B355="", " ", IF(LEN(B355)&lt;&gt;11, "ДЛИНА", IF(NOT(ISNUMBER(--B355)), "НЕ ЦИФРЫ", IF(LEFT(B355,9)*1&lt;=1001998, "OK", IF(RIGHT(B355,2)*1=IF(MOD(E355,101)&gt;=100,0,MOD(E355,101)),"OK","ОШИБКА")))))</f>
        <v/>
      </c>
      <c r="G3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5">
        <f>IF(LEN(TRIM(A355))=10, --MID(A355,1,1)*2+--MID(A355,2,1)*4+--MID(A355,3,1)*10+--MID(A355,4,1)*3+--MID(A355,5,1)*5+--MID(A355,6,1)*9+--MID(A355,7,1)*4+--MID(A355,8,1)*6+--MID(A355,9,1)*8, IF(LEN(TRIM(A355))=12, --MID(A355,1,1)*7+--MID(A355,2,1)*2+--MID(A355,3,1)*4+--MID(A355,4,1)*10+--MID(A355,5,1)*3+--MID(A355,6,1)*5+--MID(A355,7,1)*9+--MID(A355,8,1)*4+--MID(A355,9,1)*6+--MID(A355,10,1)*8, ""))</f>
        <v/>
      </c>
      <c r="I355">
        <f>IF(LEN(TRIM(A355))=12, --MID(A355,1,1)*3+--MID(A355,2,1)*7+--MID(A355,3,1)*2+--MID(A355,4,1)*4+--MID(A355,5,1)*10+--MID(A355,6,1)*3+--MID(A355,7,1)*5+--MID(A355,8,1)*9+--MID(A355,9,1)*4+--MID(A355,10,1)*6+--MID(A355,11,1)*8, "")</f>
        <v/>
      </c>
    </row>
    <row r="356">
      <c r="A356">
        <f>SUBSTITUTE(SUBSTITUTE(SUBSTITUTE(SUBSTITUTE(TRIM(INDEX(Реестр!$B:$B,ROW())),CHAR(160),""),CHAR(9),""),CHAR(10),""),CHAR(13),"")</f>
        <v/>
      </c>
      <c r="B356">
        <f>SUBSTITUTE(SUBSTITUTE(SUBSTITUTE(SUBSTITUTE(SUBSTITUTE(SUBSTITUTE(SUBSTITUTE(TRIM(INDEX(Реестр!$D:$D, ROW())), "-", ""), " ", ""), CHAR(160), ""), CHAR(9), ""), CHAR(10), ""), CHAR(13), ""), CHAR(32), "")</f>
        <v/>
      </c>
      <c r="C356">
        <f>INDEX(Реестр!$H:$H, ROW())</f>
        <v/>
      </c>
      <c r="D356">
        <f>IF(OR(ISBLANK(INDEX(Реестр!$B:$B, ROW())), INDEX(Реестр!$B:$B, ROW())=""), " ", IF(IFERROR(ISNUMBER(--A356),FALSE), IF(LEN(A356)=10, IF(MOD(MOD(H356,11),10)=--RIGHT(A356,1), "OK", "ОШИБКА"), IF(LEN(A356)=12, IF(AND(MOD(MOD(H356,11),10)=--MID(A356,11,1), MOD(MOD(I356,11),10)=--RIGHT(A356,1)), "OK", "ОШИБКА"), "ДЛИНА (10 или 12)")), "НЕ ЦИФРЫ"))</f>
        <v/>
      </c>
      <c r="E356">
        <f>MID(B356,1,1)*9+MID(B356,2,1)*8+MID(B356,3,1)*7+MID(B356,4,1)*6+MID(B356,5,1)*5+MID(B356,6,1)*4+MID(B356,7,1)*3+MID(B356,8,1)*2+MID(B356,9,1)</f>
        <v/>
      </c>
      <c r="F356">
        <f>IF(B356="", " ", IF(LEN(B356)&lt;&gt;11, "ДЛИНА", IF(NOT(ISNUMBER(--B356)), "НЕ ЦИФРЫ", IF(LEFT(B356,9)*1&lt;=1001998, "OK", IF(RIGHT(B356,2)*1=IF(MOD(E356,101)&gt;=100,0,MOD(E356,101)),"OK","ОШИБКА")))))</f>
        <v/>
      </c>
      <c r="G3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6">
        <f>IF(LEN(TRIM(A356))=10, --MID(A356,1,1)*2+--MID(A356,2,1)*4+--MID(A356,3,1)*10+--MID(A356,4,1)*3+--MID(A356,5,1)*5+--MID(A356,6,1)*9+--MID(A356,7,1)*4+--MID(A356,8,1)*6+--MID(A356,9,1)*8, IF(LEN(TRIM(A356))=12, --MID(A356,1,1)*7+--MID(A356,2,1)*2+--MID(A356,3,1)*4+--MID(A356,4,1)*10+--MID(A356,5,1)*3+--MID(A356,6,1)*5+--MID(A356,7,1)*9+--MID(A356,8,1)*4+--MID(A356,9,1)*6+--MID(A356,10,1)*8, ""))</f>
        <v/>
      </c>
      <c r="I356">
        <f>IF(LEN(TRIM(A356))=12, --MID(A356,1,1)*3+--MID(A356,2,1)*7+--MID(A356,3,1)*2+--MID(A356,4,1)*4+--MID(A356,5,1)*10+--MID(A356,6,1)*3+--MID(A356,7,1)*5+--MID(A356,8,1)*9+--MID(A356,9,1)*4+--MID(A356,10,1)*6+--MID(A356,11,1)*8, "")</f>
        <v/>
      </c>
    </row>
    <row r="357">
      <c r="A357">
        <f>SUBSTITUTE(SUBSTITUTE(SUBSTITUTE(SUBSTITUTE(TRIM(INDEX(Реестр!$B:$B,ROW())),CHAR(160),""),CHAR(9),""),CHAR(10),""),CHAR(13),"")</f>
        <v/>
      </c>
      <c r="B357">
        <f>SUBSTITUTE(SUBSTITUTE(SUBSTITUTE(SUBSTITUTE(SUBSTITUTE(SUBSTITUTE(SUBSTITUTE(TRIM(INDEX(Реестр!$D:$D, ROW())), "-", ""), " ", ""), CHAR(160), ""), CHAR(9), ""), CHAR(10), ""), CHAR(13), ""), CHAR(32), "")</f>
        <v/>
      </c>
      <c r="C357">
        <f>INDEX(Реестр!$H:$H, ROW())</f>
        <v/>
      </c>
      <c r="D357">
        <f>IF(OR(ISBLANK(INDEX(Реестр!$B:$B, ROW())), INDEX(Реестр!$B:$B, ROW())=""), " ", IF(IFERROR(ISNUMBER(--A357),FALSE), IF(LEN(A357)=10, IF(MOD(MOD(H357,11),10)=--RIGHT(A357,1), "OK", "ОШИБКА"), IF(LEN(A357)=12, IF(AND(MOD(MOD(H357,11),10)=--MID(A357,11,1), MOD(MOD(I357,11),10)=--RIGHT(A357,1)), "OK", "ОШИБКА"), "ДЛИНА (10 или 12)")), "НЕ ЦИФРЫ"))</f>
        <v/>
      </c>
      <c r="E357">
        <f>MID(B357,1,1)*9+MID(B357,2,1)*8+MID(B357,3,1)*7+MID(B357,4,1)*6+MID(B357,5,1)*5+MID(B357,6,1)*4+MID(B357,7,1)*3+MID(B357,8,1)*2+MID(B357,9,1)</f>
        <v/>
      </c>
      <c r="F357">
        <f>IF(B357="", " ", IF(LEN(B357)&lt;&gt;11, "ДЛИНА", IF(NOT(ISNUMBER(--B357)), "НЕ ЦИФРЫ", IF(LEFT(B357,9)*1&lt;=1001998, "OK", IF(RIGHT(B357,2)*1=IF(MOD(E357,101)&gt;=100,0,MOD(E357,101)),"OK","ОШИБКА")))))</f>
        <v/>
      </c>
      <c r="G3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7">
        <f>IF(LEN(TRIM(A357))=10, --MID(A357,1,1)*2+--MID(A357,2,1)*4+--MID(A357,3,1)*10+--MID(A357,4,1)*3+--MID(A357,5,1)*5+--MID(A357,6,1)*9+--MID(A357,7,1)*4+--MID(A357,8,1)*6+--MID(A357,9,1)*8, IF(LEN(TRIM(A357))=12, --MID(A357,1,1)*7+--MID(A357,2,1)*2+--MID(A357,3,1)*4+--MID(A357,4,1)*10+--MID(A357,5,1)*3+--MID(A357,6,1)*5+--MID(A357,7,1)*9+--MID(A357,8,1)*4+--MID(A357,9,1)*6+--MID(A357,10,1)*8, ""))</f>
        <v/>
      </c>
      <c r="I357">
        <f>IF(LEN(TRIM(A357))=12, --MID(A357,1,1)*3+--MID(A357,2,1)*7+--MID(A357,3,1)*2+--MID(A357,4,1)*4+--MID(A357,5,1)*10+--MID(A357,6,1)*3+--MID(A357,7,1)*5+--MID(A357,8,1)*9+--MID(A357,9,1)*4+--MID(A357,10,1)*6+--MID(A357,11,1)*8, "")</f>
        <v/>
      </c>
    </row>
    <row r="358">
      <c r="A358">
        <f>SUBSTITUTE(SUBSTITUTE(SUBSTITUTE(SUBSTITUTE(TRIM(INDEX(Реестр!$B:$B,ROW())),CHAR(160),""),CHAR(9),""),CHAR(10),""),CHAR(13),"")</f>
        <v/>
      </c>
      <c r="B358">
        <f>SUBSTITUTE(SUBSTITUTE(SUBSTITUTE(SUBSTITUTE(SUBSTITUTE(SUBSTITUTE(SUBSTITUTE(TRIM(INDEX(Реестр!$D:$D, ROW())), "-", ""), " ", ""), CHAR(160), ""), CHAR(9), ""), CHAR(10), ""), CHAR(13), ""), CHAR(32), "")</f>
        <v/>
      </c>
      <c r="C358">
        <f>INDEX(Реестр!$H:$H, ROW())</f>
        <v/>
      </c>
      <c r="D358">
        <f>IF(OR(ISBLANK(INDEX(Реестр!$B:$B, ROW())), INDEX(Реестр!$B:$B, ROW())=""), " ", IF(IFERROR(ISNUMBER(--A358),FALSE), IF(LEN(A358)=10, IF(MOD(MOD(H358,11),10)=--RIGHT(A358,1), "OK", "ОШИБКА"), IF(LEN(A358)=12, IF(AND(MOD(MOD(H358,11),10)=--MID(A358,11,1), MOD(MOD(I358,11),10)=--RIGHT(A358,1)), "OK", "ОШИБКА"), "ДЛИНА (10 или 12)")), "НЕ ЦИФРЫ"))</f>
        <v/>
      </c>
      <c r="E358">
        <f>MID(B358,1,1)*9+MID(B358,2,1)*8+MID(B358,3,1)*7+MID(B358,4,1)*6+MID(B358,5,1)*5+MID(B358,6,1)*4+MID(B358,7,1)*3+MID(B358,8,1)*2+MID(B358,9,1)</f>
        <v/>
      </c>
      <c r="F358">
        <f>IF(B358="", " ", IF(LEN(B358)&lt;&gt;11, "ДЛИНА", IF(NOT(ISNUMBER(--B358)), "НЕ ЦИФРЫ", IF(LEFT(B358,9)*1&lt;=1001998, "OK", IF(RIGHT(B358,2)*1=IF(MOD(E358,101)&gt;=100,0,MOD(E358,101)),"OK","ОШИБКА")))))</f>
        <v/>
      </c>
      <c r="G3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8">
        <f>IF(LEN(TRIM(A358))=10, --MID(A358,1,1)*2+--MID(A358,2,1)*4+--MID(A358,3,1)*10+--MID(A358,4,1)*3+--MID(A358,5,1)*5+--MID(A358,6,1)*9+--MID(A358,7,1)*4+--MID(A358,8,1)*6+--MID(A358,9,1)*8, IF(LEN(TRIM(A358))=12, --MID(A358,1,1)*7+--MID(A358,2,1)*2+--MID(A358,3,1)*4+--MID(A358,4,1)*10+--MID(A358,5,1)*3+--MID(A358,6,1)*5+--MID(A358,7,1)*9+--MID(A358,8,1)*4+--MID(A358,9,1)*6+--MID(A358,10,1)*8, ""))</f>
        <v/>
      </c>
      <c r="I358">
        <f>IF(LEN(TRIM(A358))=12, --MID(A358,1,1)*3+--MID(A358,2,1)*7+--MID(A358,3,1)*2+--MID(A358,4,1)*4+--MID(A358,5,1)*10+--MID(A358,6,1)*3+--MID(A358,7,1)*5+--MID(A358,8,1)*9+--MID(A358,9,1)*4+--MID(A358,10,1)*6+--MID(A358,11,1)*8, "")</f>
        <v/>
      </c>
    </row>
    <row r="359">
      <c r="A359">
        <f>SUBSTITUTE(SUBSTITUTE(SUBSTITUTE(SUBSTITUTE(TRIM(INDEX(Реестр!$B:$B,ROW())),CHAR(160),""),CHAR(9),""),CHAR(10),""),CHAR(13),"")</f>
        <v/>
      </c>
      <c r="B359">
        <f>SUBSTITUTE(SUBSTITUTE(SUBSTITUTE(SUBSTITUTE(SUBSTITUTE(SUBSTITUTE(SUBSTITUTE(TRIM(INDEX(Реестр!$D:$D, ROW())), "-", ""), " ", ""), CHAR(160), ""), CHAR(9), ""), CHAR(10), ""), CHAR(13), ""), CHAR(32), "")</f>
        <v/>
      </c>
      <c r="C359">
        <f>INDEX(Реестр!$H:$H, ROW())</f>
        <v/>
      </c>
      <c r="D359">
        <f>IF(OR(ISBLANK(INDEX(Реестр!$B:$B, ROW())), INDEX(Реестр!$B:$B, ROW())=""), " ", IF(IFERROR(ISNUMBER(--A359),FALSE), IF(LEN(A359)=10, IF(MOD(MOD(H359,11),10)=--RIGHT(A359,1), "OK", "ОШИБКА"), IF(LEN(A359)=12, IF(AND(MOD(MOD(H359,11),10)=--MID(A359,11,1), MOD(MOD(I359,11),10)=--RIGHT(A359,1)), "OK", "ОШИБКА"), "ДЛИНА (10 или 12)")), "НЕ ЦИФРЫ"))</f>
        <v/>
      </c>
      <c r="E359">
        <f>MID(B359,1,1)*9+MID(B359,2,1)*8+MID(B359,3,1)*7+MID(B359,4,1)*6+MID(B359,5,1)*5+MID(B359,6,1)*4+MID(B359,7,1)*3+MID(B359,8,1)*2+MID(B359,9,1)</f>
        <v/>
      </c>
      <c r="F359">
        <f>IF(B359="", " ", IF(LEN(B359)&lt;&gt;11, "ДЛИНА", IF(NOT(ISNUMBER(--B359)), "НЕ ЦИФРЫ", IF(LEFT(B359,9)*1&lt;=1001998, "OK", IF(RIGHT(B359,2)*1=IF(MOD(E359,101)&gt;=100,0,MOD(E359,101)),"OK","ОШИБКА")))))</f>
        <v/>
      </c>
      <c r="G3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59">
        <f>IF(LEN(TRIM(A359))=10, --MID(A359,1,1)*2+--MID(A359,2,1)*4+--MID(A359,3,1)*10+--MID(A359,4,1)*3+--MID(A359,5,1)*5+--MID(A359,6,1)*9+--MID(A359,7,1)*4+--MID(A359,8,1)*6+--MID(A359,9,1)*8, IF(LEN(TRIM(A359))=12, --MID(A359,1,1)*7+--MID(A359,2,1)*2+--MID(A359,3,1)*4+--MID(A359,4,1)*10+--MID(A359,5,1)*3+--MID(A359,6,1)*5+--MID(A359,7,1)*9+--MID(A359,8,1)*4+--MID(A359,9,1)*6+--MID(A359,10,1)*8, ""))</f>
        <v/>
      </c>
      <c r="I359">
        <f>IF(LEN(TRIM(A359))=12, --MID(A359,1,1)*3+--MID(A359,2,1)*7+--MID(A359,3,1)*2+--MID(A359,4,1)*4+--MID(A359,5,1)*10+--MID(A359,6,1)*3+--MID(A359,7,1)*5+--MID(A359,8,1)*9+--MID(A359,9,1)*4+--MID(A359,10,1)*6+--MID(A359,11,1)*8, "")</f>
        <v/>
      </c>
    </row>
    <row r="360">
      <c r="A360">
        <f>SUBSTITUTE(SUBSTITUTE(SUBSTITUTE(SUBSTITUTE(TRIM(INDEX(Реестр!$B:$B,ROW())),CHAR(160),""),CHAR(9),""),CHAR(10),""),CHAR(13),"")</f>
        <v/>
      </c>
      <c r="B360">
        <f>SUBSTITUTE(SUBSTITUTE(SUBSTITUTE(SUBSTITUTE(SUBSTITUTE(SUBSTITUTE(SUBSTITUTE(TRIM(INDEX(Реестр!$D:$D, ROW())), "-", ""), " ", ""), CHAR(160), ""), CHAR(9), ""), CHAR(10), ""), CHAR(13), ""), CHAR(32), "")</f>
        <v/>
      </c>
      <c r="C360">
        <f>INDEX(Реестр!$H:$H, ROW())</f>
        <v/>
      </c>
      <c r="D360">
        <f>IF(OR(ISBLANK(INDEX(Реестр!$B:$B, ROW())), INDEX(Реестр!$B:$B, ROW())=""), " ", IF(IFERROR(ISNUMBER(--A360),FALSE), IF(LEN(A360)=10, IF(MOD(MOD(H360,11),10)=--RIGHT(A360,1), "OK", "ОШИБКА"), IF(LEN(A360)=12, IF(AND(MOD(MOD(H360,11),10)=--MID(A360,11,1), MOD(MOD(I360,11),10)=--RIGHT(A360,1)), "OK", "ОШИБКА"), "ДЛИНА (10 или 12)")), "НЕ ЦИФРЫ"))</f>
        <v/>
      </c>
      <c r="E360">
        <f>MID(B360,1,1)*9+MID(B360,2,1)*8+MID(B360,3,1)*7+MID(B360,4,1)*6+MID(B360,5,1)*5+MID(B360,6,1)*4+MID(B360,7,1)*3+MID(B360,8,1)*2+MID(B360,9,1)</f>
        <v/>
      </c>
      <c r="F360">
        <f>IF(B360="", " ", IF(LEN(B360)&lt;&gt;11, "ДЛИНА", IF(NOT(ISNUMBER(--B360)), "НЕ ЦИФРЫ", IF(LEFT(B360,9)*1&lt;=1001998, "OK", IF(RIGHT(B360,2)*1=IF(MOD(E360,101)&gt;=100,0,MOD(E360,101)),"OK","ОШИБКА")))))</f>
        <v/>
      </c>
      <c r="G3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0">
        <f>IF(LEN(TRIM(A360))=10, --MID(A360,1,1)*2+--MID(A360,2,1)*4+--MID(A360,3,1)*10+--MID(A360,4,1)*3+--MID(A360,5,1)*5+--MID(A360,6,1)*9+--MID(A360,7,1)*4+--MID(A360,8,1)*6+--MID(A360,9,1)*8, IF(LEN(TRIM(A360))=12, --MID(A360,1,1)*7+--MID(A360,2,1)*2+--MID(A360,3,1)*4+--MID(A360,4,1)*10+--MID(A360,5,1)*3+--MID(A360,6,1)*5+--MID(A360,7,1)*9+--MID(A360,8,1)*4+--MID(A360,9,1)*6+--MID(A360,10,1)*8, ""))</f>
        <v/>
      </c>
      <c r="I360">
        <f>IF(LEN(TRIM(A360))=12, --MID(A360,1,1)*3+--MID(A360,2,1)*7+--MID(A360,3,1)*2+--MID(A360,4,1)*4+--MID(A360,5,1)*10+--MID(A360,6,1)*3+--MID(A360,7,1)*5+--MID(A360,8,1)*9+--MID(A360,9,1)*4+--MID(A360,10,1)*6+--MID(A360,11,1)*8, "")</f>
        <v/>
      </c>
    </row>
    <row r="361">
      <c r="A361">
        <f>SUBSTITUTE(SUBSTITUTE(SUBSTITUTE(SUBSTITUTE(TRIM(INDEX(Реестр!$B:$B,ROW())),CHAR(160),""),CHAR(9),""),CHAR(10),""),CHAR(13),"")</f>
        <v/>
      </c>
      <c r="B361">
        <f>SUBSTITUTE(SUBSTITUTE(SUBSTITUTE(SUBSTITUTE(SUBSTITUTE(SUBSTITUTE(SUBSTITUTE(TRIM(INDEX(Реестр!$D:$D, ROW())), "-", ""), " ", ""), CHAR(160), ""), CHAR(9), ""), CHAR(10), ""), CHAR(13), ""), CHAR(32), "")</f>
        <v/>
      </c>
      <c r="C361">
        <f>INDEX(Реестр!$H:$H, ROW())</f>
        <v/>
      </c>
      <c r="D361">
        <f>IF(OR(ISBLANK(INDEX(Реестр!$B:$B, ROW())), INDEX(Реестр!$B:$B, ROW())=""), " ", IF(IFERROR(ISNUMBER(--A361),FALSE), IF(LEN(A361)=10, IF(MOD(MOD(H361,11),10)=--RIGHT(A361,1), "OK", "ОШИБКА"), IF(LEN(A361)=12, IF(AND(MOD(MOD(H361,11),10)=--MID(A361,11,1), MOD(MOD(I361,11),10)=--RIGHT(A361,1)), "OK", "ОШИБКА"), "ДЛИНА (10 или 12)")), "НЕ ЦИФРЫ"))</f>
        <v/>
      </c>
      <c r="E361">
        <f>MID(B361,1,1)*9+MID(B361,2,1)*8+MID(B361,3,1)*7+MID(B361,4,1)*6+MID(B361,5,1)*5+MID(B361,6,1)*4+MID(B361,7,1)*3+MID(B361,8,1)*2+MID(B361,9,1)</f>
        <v/>
      </c>
      <c r="F361">
        <f>IF(B361="", " ", IF(LEN(B361)&lt;&gt;11, "ДЛИНА", IF(NOT(ISNUMBER(--B361)), "НЕ ЦИФРЫ", IF(LEFT(B361,9)*1&lt;=1001998, "OK", IF(RIGHT(B361,2)*1=IF(MOD(E361,101)&gt;=100,0,MOD(E361,101)),"OK","ОШИБКА")))))</f>
        <v/>
      </c>
      <c r="G3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1">
        <f>IF(LEN(TRIM(A361))=10, --MID(A361,1,1)*2+--MID(A361,2,1)*4+--MID(A361,3,1)*10+--MID(A361,4,1)*3+--MID(A361,5,1)*5+--MID(A361,6,1)*9+--MID(A361,7,1)*4+--MID(A361,8,1)*6+--MID(A361,9,1)*8, IF(LEN(TRIM(A361))=12, --MID(A361,1,1)*7+--MID(A361,2,1)*2+--MID(A361,3,1)*4+--MID(A361,4,1)*10+--MID(A361,5,1)*3+--MID(A361,6,1)*5+--MID(A361,7,1)*9+--MID(A361,8,1)*4+--MID(A361,9,1)*6+--MID(A361,10,1)*8, ""))</f>
        <v/>
      </c>
      <c r="I361">
        <f>IF(LEN(TRIM(A361))=12, --MID(A361,1,1)*3+--MID(A361,2,1)*7+--MID(A361,3,1)*2+--MID(A361,4,1)*4+--MID(A361,5,1)*10+--MID(A361,6,1)*3+--MID(A361,7,1)*5+--MID(A361,8,1)*9+--MID(A361,9,1)*4+--MID(A361,10,1)*6+--MID(A361,11,1)*8, "")</f>
        <v/>
      </c>
    </row>
    <row r="362">
      <c r="A362">
        <f>SUBSTITUTE(SUBSTITUTE(SUBSTITUTE(SUBSTITUTE(TRIM(INDEX(Реестр!$B:$B,ROW())),CHAR(160),""),CHAR(9),""),CHAR(10),""),CHAR(13),"")</f>
        <v/>
      </c>
      <c r="B362">
        <f>SUBSTITUTE(SUBSTITUTE(SUBSTITUTE(SUBSTITUTE(SUBSTITUTE(SUBSTITUTE(SUBSTITUTE(TRIM(INDEX(Реестр!$D:$D, ROW())), "-", ""), " ", ""), CHAR(160), ""), CHAR(9), ""), CHAR(10), ""), CHAR(13), ""), CHAR(32), "")</f>
        <v/>
      </c>
      <c r="C362">
        <f>INDEX(Реестр!$H:$H, ROW())</f>
        <v/>
      </c>
      <c r="D362">
        <f>IF(OR(ISBLANK(INDEX(Реестр!$B:$B, ROW())), INDEX(Реестр!$B:$B, ROW())=""), " ", IF(IFERROR(ISNUMBER(--A362),FALSE), IF(LEN(A362)=10, IF(MOD(MOD(H362,11),10)=--RIGHT(A362,1), "OK", "ОШИБКА"), IF(LEN(A362)=12, IF(AND(MOD(MOD(H362,11),10)=--MID(A362,11,1), MOD(MOD(I362,11),10)=--RIGHT(A362,1)), "OK", "ОШИБКА"), "ДЛИНА (10 или 12)")), "НЕ ЦИФРЫ"))</f>
        <v/>
      </c>
      <c r="E362">
        <f>MID(B362,1,1)*9+MID(B362,2,1)*8+MID(B362,3,1)*7+MID(B362,4,1)*6+MID(B362,5,1)*5+MID(B362,6,1)*4+MID(B362,7,1)*3+MID(B362,8,1)*2+MID(B362,9,1)</f>
        <v/>
      </c>
      <c r="F362">
        <f>IF(B362="", " ", IF(LEN(B362)&lt;&gt;11, "ДЛИНА", IF(NOT(ISNUMBER(--B362)), "НЕ ЦИФРЫ", IF(LEFT(B362,9)*1&lt;=1001998, "OK", IF(RIGHT(B362,2)*1=IF(MOD(E362,101)&gt;=100,0,MOD(E362,101)),"OK","ОШИБКА")))))</f>
        <v/>
      </c>
      <c r="G3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2">
        <f>IF(LEN(TRIM(A362))=10, --MID(A362,1,1)*2+--MID(A362,2,1)*4+--MID(A362,3,1)*10+--MID(A362,4,1)*3+--MID(A362,5,1)*5+--MID(A362,6,1)*9+--MID(A362,7,1)*4+--MID(A362,8,1)*6+--MID(A362,9,1)*8, IF(LEN(TRIM(A362))=12, --MID(A362,1,1)*7+--MID(A362,2,1)*2+--MID(A362,3,1)*4+--MID(A362,4,1)*10+--MID(A362,5,1)*3+--MID(A362,6,1)*5+--MID(A362,7,1)*9+--MID(A362,8,1)*4+--MID(A362,9,1)*6+--MID(A362,10,1)*8, ""))</f>
        <v/>
      </c>
      <c r="I362">
        <f>IF(LEN(TRIM(A362))=12, --MID(A362,1,1)*3+--MID(A362,2,1)*7+--MID(A362,3,1)*2+--MID(A362,4,1)*4+--MID(A362,5,1)*10+--MID(A362,6,1)*3+--MID(A362,7,1)*5+--MID(A362,8,1)*9+--MID(A362,9,1)*4+--MID(A362,10,1)*6+--MID(A362,11,1)*8, "")</f>
        <v/>
      </c>
    </row>
    <row r="363">
      <c r="A363">
        <f>SUBSTITUTE(SUBSTITUTE(SUBSTITUTE(SUBSTITUTE(TRIM(INDEX(Реестр!$B:$B,ROW())),CHAR(160),""),CHAR(9),""),CHAR(10),""),CHAR(13),"")</f>
        <v/>
      </c>
      <c r="B363">
        <f>SUBSTITUTE(SUBSTITUTE(SUBSTITUTE(SUBSTITUTE(SUBSTITUTE(SUBSTITUTE(SUBSTITUTE(TRIM(INDEX(Реестр!$D:$D, ROW())), "-", ""), " ", ""), CHAR(160), ""), CHAR(9), ""), CHAR(10), ""), CHAR(13), ""), CHAR(32), "")</f>
        <v/>
      </c>
      <c r="C363">
        <f>INDEX(Реестр!$H:$H, ROW())</f>
        <v/>
      </c>
      <c r="D363">
        <f>IF(OR(ISBLANK(INDEX(Реестр!$B:$B, ROW())), INDEX(Реестр!$B:$B, ROW())=""), " ", IF(IFERROR(ISNUMBER(--A363),FALSE), IF(LEN(A363)=10, IF(MOD(MOD(H363,11),10)=--RIGHT(A363,1), "OK", "ОШИБКА"), IF(LEN(A363)=12, IF(AND(MOD(MOD(H363,11),10)=--MID(A363,11,1), MOD(MOD(I363,11),10)=--RIGHT(A363,1)), "OK", "ОШИБКА"), "ДЛИНА (10 или 12)")), "НЕ ЦИФРЫ"))</f>
        <v/>
      </c>
      <c r="E363">
        <f>MID(B363,1,1)*9+MID(B363,2,1)*8+MID(B363,3,1)*7+MID(B363,4,1)*6+MID(B363,5,1)*5+MID(B363,6,1)*4+MID(B363,7,1)*3+MID(B363,8,1)*2+MID(B363,9,1)</f>
        <v/>
      </c>
      <c r="F363">
        <f>IF(B363="", " ", IF(LEN(B363)&lt;&gt;11, "ДЛИНА", IF(NOT(ISNUMBER(--B363)), "НЕ ЦИФРЫ", IF(LEFT(B363,9)*1&lt;=1001998, "OK", IF(RIGHT(B363,2)*1=IF(MOD(E363,101)&gt;=100,0,MOD(E363,101)),"OK","ОШИБКА")))))</f>
        <v/>
      </c>
      <c r="G3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3">
        <f>IF(LEN(TRIM(A363))=10, --MID(A363,1,1)*2+--MID(A363,2,1)*4+--MID(A363,3,1)*10+--MID(A363,4,1)*3+--MID(A363,5,1)*5+--MID(A363,6,1)*9+--MID(A363,7,1)*4+--MID(A363,8,1)*6+--MID(A363,9,1)*8, IF(LEN(TRIM(A363))=12, --MID(A363,1,1)*7+--MID(A363,2,1)*2+--MID(A363,3,1)*4+--MID(A363,4,1)*10+--MID(A363,5,1)*3+--MID(A363,6,1)*5+--MID(A363,7,1)*9+--MID(A363,8,1)*4+--MID(A363,9,1)*6+--MID(A363,10,1)*8, ""))</f>
        <v/>
      </c>
      <c r="I363">
        <f>IF(LEN(TRIM(A363))=12, --MID(A363,1,1)*3+--MID(A363,2,1)*7+--MID(A363,3,1)*2+--MID(A363,4,1)*4+--MID(A363,5,1)*10+--MID(A363,6,1)*3+--MID(A363,7,1)*5+--MID(A363,8,1)*9+--MID(A363,9,1)*4+--MID(A363,10,1)*6+--MID(A363,11,1)*8, "")</f>
        <v/>
      </c>
    </row>
    <row r="364">
      <c r="A364">
        <f>SUBSTITUTE(SUBSTITUTE(SUBSTITUTE(SUBSTITUTE(TRIM(INDEX(Реестр!$B:$B,ROW())),CHAR(160),""),CHAR(9),""),CHAR(10),""),CHAR(13),"")</f>
        <v/>
      </c>
      <c r="B364">
        <f>SUBSTITUTE(SUBSTITUTE(SUBSTITUTE(SUBSTITUTE(SUBSTITUTE(SUBSTITUTE(SUBSTITUTE(TRIM(INDEX(Реестр!$D:$D, ROW())), "-", ""), " ", ""), CHAR(160), ""), CHAR(9), ""), CHAR(10), ""), CHAR(13), ""), CHAR(32), "")</f>
        <v/>
      </c>
      <c r="C364">
        <f>INDEX(Реестр!$H:$H, ROW())</f>
        <v/>
      </c>
      <c r="D364">
        <f>IF(OR(ISBLANK(INDEX(Реестр!$B:$B, ROW())), INDEX(Реестр!$B:$B, ROW())=""), " ", IF(IFERROR(ISNUMBER(--A364),FALSE), IF(LEN(A364)=10, IF(MOD(MOD(H364,11),10)=--RIGHT(A364,1), "OK", "ОШИБКА"), IF(LEN(A364)=12, IF(AND(MOD(MOD(H364,11),10)=--MID(A364,11,1), MOD(MOD(I364,11),10)=--RIGHT(A364,1)), "OK", "ОШИБКА"), "ДЛИНА (10 или 12)")), "НЕ ЦИФРЫ"))</f>
        <v/>
      </c>
      <c r="E364">
        <f>MID(B364,1,1)*9+MID(B364,2,1)*8+MID(B364,3,1)*7+MID(B364,4,1)*6+MID(B364,5,1)*5+MID(B364,6,1)*4+MID(B364,7,1)*3+MID(B364,8,1)*2+MID(B364,9,1)</f>
        <v/>
      </c>
      <c r="F364">
        <f>IF(B364="", " ", IF(LEN(B364)&lt;&gt;11, "ДЛИНА", IF(NOT(ISNUMBER(--B364)), "НЕ ЦИФРЫ", IF(LEFT(B364,9)*1&lt;=1001998, "OK", IF(RIGHT(B364,2)*1=IF(MOD(E364,101)&gt;=100,0,MOD(E364,101)),"OK","ОШИБКА")))))</f>
        <v/>
      </c>
      <c r="G3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4">
        <f>IF(LEN(TRIM(A364))=10, --MID(A364,1,1)*2+--MID(A364,2,1)*4+--MID(A364,3,1)*10+--MID(A364,4,1)*3+--MID(A364,5,1)*5+--MID(A364,6,1)*9+--MID(A364,7,1)*4+--MID(A364,8,1)*6+--MID(A364,9,1)*8, IF(LEN(TRIM(A364))=12, --MID(A364,1,1)*7+--MID(A364,2,1)*2+--MID(A364,3,1)*4+--MID(A364,4,1)*10+--MID(A364,5,1)*3+--MID(A364,6,1)*5+--MID(A364,7,1)*9+--MID(A364,8,1)*4+--MID(A364,9,1)*6+--MID(A364,10,1)*8, ""))</f>
        <v/>
      </c>
      <c r="I364">
        <f>IF(LEN(TRIM(A364))=12, --MID(A364,1,1)*3+--MID(A364,2,1)*7+--MID(A364,3,1)*2+--MID(A364,4,1)*4+--MID(A364,5,1)*10+--MID(A364,6,1)*3+--MID(A364,7,1)*5+--MID(A364,8,1)*9+--MID(A364,9,1)*4+--MID(A364,10,1)*6+--MID(A364,11,1)*8, "")</f>
        <v/>
      </c>
    </row>
    <row r="365">
      <c r="A365">
        <f>SUBSTITUTE(SUBSTITUTE(SUBSTITUTE(SUBSTITUTE(TRIM(INDEX(Реестр!$B:$B,ROW())),CHAR(160),""),CHAR(9),""),CHAR(10),""),CHAR(13),"")</f>
        <v/>
      </c>
      <c r="B365">
        <f>SUBSTITUTE(SUBSTITUTE(SUBSTITUTE(SUBSTITUTE(SUBSTITUTE(SUBSTITUTE(SUBSTITUTE(TRIM(INDEX(Реестр!$D:$D, ROW())), "-", ""), " ", ""), CHAR(160), ""), CHAR(9), ""), CHAR(10), ""), CHAR(13), ""), CHAR(32), "")</f>
        <v/>
      </c>
      <c r="C365">
        <f>INDEX(Реестр!$H:$H, ROW())</f>
        <v/>
      </c>
      <c r="D365">
        <f>IF(OR(ISBLANK(INDEX(Реестр!$B:$B, ROW())), INDEX(Реестр!$B:$B, ROW())=""), " ", IF(IFERROR(ISNUMBER(--A365),FALSE), IF(LEN(A365)=10, IF(MOD(MOD(H365,11),10)=--RIGHT(A365,1), "OK", "ОШИБКА"), IF(LEN(A365)=12, IF(AND(MOD(MOD(H365,11),10)=--MID(A365,11,1), MOD(MOD(I365,11),10)=--RIGHT(A365,1)), "OK", "ОШИБКА"), "ДЛИНА (10 или 12)")), "НЕ ЦИФРЫ"))</f>
        <v/>
      </c>
      <c r="E365">
        <f>MID(B365,1,1)*9+MID(B365,2,1)*8+MID(B365,3,1)*7+MID(B365,4,1)*6+MID(B365,5,1)*5+MID(B365,6,1)*4+MID(B365,7,1)*3+MID(B365,8,1)*2+MID(B365,9,1)</f>
        <v/>
      </c>
      <c r="F365">
        <f>IF(B365="", " ", IF(LEN(B365)&lt;&gt;11, "ДЛИНА", IF(NOT(ISNUMBER(--B365)), "НЕ ЦИФРЫ", IF(LEFT(B365,9)*1&lt;=1001998, "OK", IF(RIGHT(B365,2)*1=IF(MOD(E365,101)&gt;=100,0,MOD(E365,101)),"OK","ОШИБКА")))))</f>
        <v/>
      </c>
      <c r="G3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5">
        <f>IF(LEN(TRIM(A365))=10, --MID(A365,1,1)*2+--MID(A365,2,1)*4+--MID(A365,3,1)*10+--MID(A365,4,1)*3+--MID(A365,5,1)*5+--MID(A365,6,1)*9+--MID(A365,7,1)*4+--MID(A365,8,1)*6+--MID(A365,9,1)*8, IF(LEN(TRIM(A365))=12, --MID(A365,1,1)*7+--MID(A365,2,1)*2+--MID(A365,3,1)*4+--MID(A365,4,1)*10+--MID(A365,5,1)*3+--MID(A365,6,1)*5+--MID(A365,7,1)*9+--MID(A365,8,1)*4+--MID(A365,9,1)*6+--MID(A365,10,1)*8, ""))</f>
        <v/>
      </c>
      <c r="I365">
        <f>IF(LEN(TRIM(A365))=12, --MID(A365,1,1)*3+--MID(A365,2,1)*7+--MID(A365,3,1)*2+--MID(A365,4,1)*4+--MID(A365,5,1)*10+--MID(A365,6,1)*3+--MID(A365,7,1)*5+--MID(A365,8,1)*9+--MID(A365,9,1)*4+--MID(A365,10,1)*6+--MID(A365,11,1)*8, "")</f>
        <v/>
      </c>
    </row>
    <row r="366">
      <c r="A366">
        <f>SUBSTITUTE(SUBSTITUTE(SUBSTITUTE(SUBSTITUTE(TRIM(INDEX(Реестр!$B:$B,ROW())),CHAR(160),""),CHAR(9),""),CHAR(10),""),CHAR(13),"")</f>
        <v/>
      </c>
      <c r="B366">
        <f>SUBSTITUTE(SUBSTITUTE(SUBSTITUTE(SUBSTITUTE(SUBSTITUTE(SUBSTITUTE(SUBSTITUTE(TRIM(INDEX(Реестр!$D:$D, ROW())), "-", ""), " ", ""), CHAR(160), ""), CHAR(9), ""), CHAR(10), ""), CHAR(13), ""), CHAR(32), "")</f>
        <v/>
      </c>
      <c r="C366">
        <f>INDEX(Реестр!$H:$H, ROW())</f>
        <v/>
      </c>
      <c r="D366">
        <f>IF(OR(ISBLANK(INDEX(Реестр!$B:$B, ROW())), INDEX(Реестр!$B:$B, ROW())=""), " ", IF(IFERROR(ISNUMBER(--A366),FALSE), IF(LEN(A366)=10, IF(MOD(MOD(H366,11),10)=--RIGHT(A366,1), "OK", "ОШИБКА"), IF(LEN(A366)=12, IF(AND(MOD(MOD(H366,11),10)=--MID(A366,11,1), MOD(MOD(I366,11),10)=--RIGHT(A366,1)), "OK", "ОШИБКА"), "ДЛИНА (10 или 12)")), "НЕ ЦИФРЫ"))</f>
        <v/>
      </c>
      <c r="E366">
        <f>MID(B366,1,1)*9+MID(B366,2,1)*8+MID(B366,3,1)*7+MID(B366,4,1)*6+MID(B366,5,1)*5+MID(B366,6,1)*4+MID(B366,7,1)*3+MID(B366,8,1)*2+MID(B366,9,1)</f>
        <v/>
      </c>
      <c r="F366">
        <f>IF(B366="", " ", IF(LEN(B366)&lt;&gt;11, "ДЛИНА", IF(NOT(ISNUMBER(--B366)), "НЕ ЦИФРЫ", IF(LEFT(B366,9)*1&lt;=1001998, "OK", IF(RIGHT(B366,2)*1=IF(MOD(E366,101)&gt;=100,0,MOD(E366,101)),"OK","ОШИБКА")))))</f>
        <v/>
      </c>
      <c r="G3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6">
        <f>IF(LEN(TRIM(A366))=10, --MID(A366,1,1)*2+--MID(A366,2,1)*4+--MID(A366,3,1)*10+--MID(A366,4,1)*3+--MID(A366,5,1)*5+--MID(A366,6,1)*9+--MID(A366,7,1)*4+--MID(A366,8,1)*6+--MID(A366,9,1)*8, IF(LEN(TRIM(A366))=12, --MID(A366,1,1)*7+--MID(A366,2,1)*2+--MID(A366,3,1)*4+--MID(A366,4,1)*10+--MID(A366,5,1)*3+--MID(A366,6,1)*5+--MID(A366,7,1)*9+--MID(A366,8,1)*4+--MID(A366,9,1)*6+--MID(A366,10,1)*8, ""))</f>
        <v/>
      </c>
      <c r="I366">
        <f>IF(LEN(TRIM(A366))=12, --MID(A366,1,1)*3+--MID(A366,2,1)*7+--MID(A366,3,1)*2+--MID(A366,4,1)*4+--MID(A366,5,1)*10+--MID(A366,6,1)*3+--MID(A366,7,1)*5+--MID(A366,8,1)*9+--MID(A366,9,1)*4+--MID(A366,10,1)*6+--MID(A366,11,1)*8, "")</f>
        <v/>
      </c>
    </row>
    <row r="367">
      <c r="A367">
        <f>SUBSTITUTE(SUBSTITUTE(SUBSTITUTE(SUBSTITUTE(TRIM(INDEX(Реестр!$B:$B,ROW())),CHAR(160),""),CHAR(9),""),CHAR(10),""),CHAR(13),"")</f>
        <v/>
      </c>
      <c r="B367">
        <f>SUBSTITUTE(SUBSTITUTE(SUBSTITUTE(SUBSTITUTE(SUBSTITUTE(SUBSTITUTE(SUBSTITUTE(TRIM(INDEX(Реестр!$D:$D, ROW())), "-", ""), " ", ""), CHAR(160), ""), CHAR(9), ""), CHAR(10), ""), CHAR(13), ""), CHAR(32), "")</f>
        <v/>
      </c>
      <c r="C367">
        <f>INDEX(Реестр!$H:$H, ROW())</f>
        <v/>
      </c>
      <c r="D367">
        <f>IF(OR(ISBLANK(INDEX(Реестр!$B:$B, ROW())), INDEX(Реестр!$B:$B, ROW())=""), " ", IF(IFERROR(ISNUMBER(--A367),FALSE), IF(LEN(A367)=10, IF(MOD(MOD(H367,11),10)=--RIGHT(A367,1), "OK", "ОШИБКА"), IF(LEN(A367)=12, IF(AND(MOD(MOD(H367,11),10)=--MID(A367,11,1), MOD(MOD(I367,11),10)=--RIGHT(A367,1)), "OK", "ОШИБКА"), "ДЛИНА (10 или 12)")), "НЕ ЦИФРЫ"))</f>
        <v/>
      </c>
      <c r="E367">
        <f>MID(B367,1,1)*9+MID(B367,2,1)*8+MID(B367,3,1)*7+MID(B367,4,1)*6+MID(B367,5,1)*5+MID(B367,6,1)*4+MID(B367,7,1)*3+MID(B367,8,1)*2+MID(B367,9,1)</f>
        <v/>
      </c>
      <c r="F367">
        <f>IF(B367="", " ", IF(LEN(B367)&lt;&gt;11, "ДЛИНА", IF(NOT(ISNUMBER(--B367)), "НЕ ЦИФРЫ", IF(LEFT(B367,9)*1&lt;=1001998, "OK", IF(RIGHT(B367,2)*1=IF(MOD(E367,101)&gt;=100,0,MOD(E367,101)),"OK","ОШИБКА")))))</f>
        <v/>
      </c>
      <c r="G3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7">
        <f>IF(LEN(TRIM(A367))=10, --MID(A367,1,1)*2+--MID(A367,2,1)*4+--MID(A367,3,1)*10+--MID(A367,4,1)*3+--MID(A367,5,1)*5+--MID(A367,6,1)*9+--MID(A367,7,1)*4+--MID(A367,8,1)*6+--MID(A367,9,1)*8, IF(LEN(TRIM(A367))=12, --MID(A367,1,1)*7+--MID(A367,2,1)*2+--MID(A367,3,1)*4+--MID(A367,4,1)*10+--MID(A367,5,1)*3+--MID(A367,6,1)*5+--MID(A367,7,1)*9+--MID(A367,8,1)*4+--MID(A367,9,1)*6+--MID(A367,10,1)*8, ""))</f>
        <v/>
      </c>
      <c r="I367">
        <f>IF(LEN(TRIM(A367))=12, --MID(A367,1,1)*3+--MID(A367,2,1)*7+--MID(A367,3,1)*2+--MID(A367,4,1)*4+--MID(A367,5,1)*10+--MID(A367,6,1)*3+--MID(A367,7,1)*5+--MID(A367,8,1)*9+--MID(A367,9,1)*4+--MID(A367,10,1)*6+--MID(A367,11,1)*8, "")</f>
        <v/>
      </c>
    </row>
    <row r="368">
      <c r="A368">
        <f>SUBSTITUTE(SUBSTITUTE(SUBSTITUTE(SUBSTITUTE(TRIM(INDEX(Реестр!$B:$B,ROW())),CHAR(160),""),CHAR(9),""),CHAR(10),""),CHAR(13),"")</f>
        <v/>
      </c>
      <c r="B368">
        <f>SUBSTITUTE(SUBSTITUTE(SUBSTITUTE(SUBSTITUTE(SUBSTITUTE(SUBSTITUTE(SUBSTITUTE(TRIM(INDEX(Реестр!$D:$D, ROW())), "-", ""), " ", ""), CHAR(160), ""), CHAR(9), ""), CHAR(10), ""), CHAR(13), ""), CHAR(32), "")</f>
        <v/>
      </c>
      <c r="C368">
        <f>INDEX(Реестр!$H:$H, ROW())</f>
        <v/>
      </c>
      <c r="D368">
        <f>IF(OR(ISBLANK(INDEX(Реестр!$B:$B, ROW())), INDEX(Реестр!$B:$B, ROW())=""), " ", IF(IFERROR(ISNUMBER(--A368),FALSE), IF(LEN(A368)=10, IF(MOD(MOD(H368,11),10)=--RIGHT(A368,1), "OK", "ОШИБКА"), IF(LEN(A368)=12, IF(AND(MOD(MOD(H368,11),10)=--MID(A368,11,1), MOD(MOD(I368,11),10)=--RIGHT(A368,1)), "OK", "ОШИБКА"), "ДЛИНА (10 или 12)")), "НЕ ЦИФРЫ"))</f>
        <v/>
      </c>
      <c r="E368">
        <f>MID(B368,1,1)*9+MID(B368,2,1)*8+MID(B368,3,1)*7+MID(B368,4,1)*6+MID(B368,5,1)*5+MID(B368,6,1)*4+MID(B368,7,1)*3+MID(B368,8,1)*2+MID(B368,9,1)</f>
        <v/>
      </c>
      <c r="F368">
        <f>IF(B368="", " ", IF(LEN(B368)&lt;&gt;11, "ДЛИНА", IF(NOT(ISNUMBER(--B368)), "НЕ ЦИФРЫ", IF(LEFT(B368,9)*1&lt;=1001998, "OK", IF(RIGHT(B368,2)*1=IF(MOD(E368,101)&gt;=100,0,MOD(E368,101)),"OK","ОШИБКА")))))</f>
        <v/>
      </c>
      <c r="G3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8">
        <f>IF(LEN(TRIM(A368))=10, --MID(A368,1,1)*2+--MID(A368,2,1)*4+--MID(A368,3,1)*10+--MID(A368,4,1)*3+--MID(A368,5,1)*5+--MID(A368,6,1)*9+--MID(A368,7,1)*4+--MID(A368,8,1)*6+--MID(A368,9,1)*8, IF(LEN(TRIM(A368))=12, --MID(A368,1,1)*7+--MID(A368,2,1)*2+--MID(A368,3,1)*4+--MID(A368,4,1)*10+--MID(A368,5,1)*3+--MID(A368,6,1)*5+--MID(A368,7,1)*9+--MID(A368,8,1)*4+--MID(A368,9,1)*6+--MID(A368,10,1)*8, ""))</f>
        <v/>
      </c>
      <c r="I368">
        <f>IF(LEN(TRIM(A368))=12, --MID(A368,1,1)*3+--MID(A368,2,1)*7+--MID(A368,3,1)*2+--MID(A368,4,1)*4+--MID(A368,5,1)*10+--MID(A368,6,1)*3+--MID(A368,7,1)*5+--MID(A368,8,1)*9+--MID(A368,9,1)*4+--MID(A368,10,1)*6+--MID(A368,11,1)*8, "")</f>
        <v/>
      </c>
    </row>
    <row r="369">
      <c r="A369">
        <f>SUBSTITUTE(SUBSTITUTE(SUBSTITUTE(SUBSTITUTE(TRIM(INDEX(Реестр!$B:$B,ROW())),CHAR(160),""),CHAR(9),""),CHAR(10),""),CHAR(13),"")</f>
        <v/>
      </c>
      <c r="B369">
        <f>SUBSTITUTE(SUBSTITUTE(SUBSTITUTE(SUBSTITUTE(SUBSTITUTE(SUBSTITUTE(SUBSTITUTE(TRIM(INDEX(Реестр!$D:$D, ROW())), "-", ""), " ", ""), CHAR(160), ""), CHAR(9), ""), CHAR(10), ""), CHAR(13), ""), CHAR(32), "")</f>
        <v/>
      </c>
      <c r="C369">
        <f>INDEX(Реестр!$H:$H, ROW())</f>
        <v/>
      </c>
      <c r="D369">
        <f>IF(OR(ISBLANK(INDEX(Реестр!$B:$B, ROW())), INDEX(Реестр!$B:$B, ROW())=""), " ", IF(IFERROR(ISNUMBER(--A369),FALSE), IF(LEN(A369)=10, IF(MOD(MOD(H369,11),10)=--RIGHT(A369,1), "OK", "ОШИБКА"), IF(LEN(A369)=12, IF(AND(MOD(MOD(H369,11),10)=--MID(A369,11,1), MOD(MOD(I369,11),10)=--RIGHT(A369,1)), "OK", "ОШИБКА"), "ДЛИНА (10 или 12)")), "НЕ ЦИФРЫ"))</f>
        <v/>
      </c>
      <c r="E369">
        <f>MID(B369,1,1)*9+MID(B369,2,1)*8+MID(B369,3,1)*7+MID(B369,4,1)*6+MID(B369,5,1)*5+MID(B369,6,1)*4+MID(B369,7,1)*3+MID(B369,8,1)*2+MID(B369,9,1)</f>
        <v/>
      </c>
      <c r="F369">
        <f>IF(B369="", " ", IF(LEN(B369)&lt;&gt;11, "ДЛИНА", IF(NOT(ISNUMBER(--B369)), "НЕ ЦИФРЫ", IF(LEFT(B369,9)*1&lt;=1001998, "OK", IF(RIGHT(B369,2)*1=IF(MOD(E369,101)&gt;=100,0,MOD(E369,101)),"OK","ОШИБКА")))))</f>
        <v/>
      </c>
      <c r="G3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69">
        <f>IF(LEN(TRIM(A369))=10, --MID(A369,1,1)*2+--MID(A369,2,1)*4+--MID(A369,3,1)*10+--MID(A369,4,1)*3+--MID(A369,5,1)*5+--MID(A369,6,1)*9+--MID(A369,7,1)*4+--MID(A369,8,1)*6+--MID(A369,9,1)*8, IF(LEN(TRIM(A369))=12, --MID(A369,1,1)*7+--MID(A369,2,1)*2+--MID(A369,3,1)*4+--MID(A369,4,1)*10+--MID(A369,5,1)*3+--MID(A369,6,1)*5+--MID(A369,7,1)*9+--MID(A369,8,1)*4+--MID(A369,9,1)*6+--MID(A369,10,1)*8, ""))</f>
        <v/>
      </c>
      <c r="I369">
        <f>IF(LEN(TRIM(A369))=12, --MID(A369,1,1)*3+--MID(A369,2,1)*7+--MID(A369,3,1)*2+--MID(A369,4,1)*4+--MID(A369,5,1)*10+--MID(A369,6,1)*3+--MID(A369,7,1)*5+--MID(A369,8,1)*9+--MID(A369,9,1)*4+--MID(A369,10,1)*6+--MID(A369,11,1)*8, "")</f>
        <v/>
      </c>
    </row>
    <row r="370">
      <c r="A370">
        <f>SUBSTITUTE(SUBSTITUTE(SUBSTITUTE(SUBSTITUTE(TRIM(INDEX(Реестр!$B:$B,ROW())),CHAR(160),""),CHAR(9),""),CHAR(10),""),CHAR(13),"")</f>
        <v/>
      </c>
      <c r="B370">
        <f>SUBSTITUTE(SUBSTITUTE(SUBSTITUTE(SUBSTITUTE(SUBSTITUTE(SUBSTITUTE(SUBSTITUTE(TRIM(INDEX(Реестр!$D:$D, ROW())), "-", ""), " ", ""), CHAR(160), ""), CHAR(9), ""), CHAR(10), ""), CHAR(13), ""), CHAR(32), "")</f>
        <v/>
      </c>
      <c r="C370">
        <f>INDEX(Реестр!$H:$H, ROW())</f>
        <v/>
      </c>
      <c r="D370">
        <f>IF(OR(ISBLANK(INDEX(Реестр!$B:$B, ROW())), INDEX(Реестр!$B:$B, ROW())=""), " ", IF(IFERROR(ISNUMBER(--A370),FALSE), IF(LEN(A370)=10, IF(MOD(MOD(H370,11),10)=--RIGHT(A370,1), "OK", "ОШИБКА"), IF(LEN(A370)=12, IF(AND(MOD(MOD(H370,11),10)=--MID(A370,11,1), MOD(MOD(I370,11),10)=--RIGHT(A370,1)), "OK", "ОШИБКА"), "ДЛИНА (10 или 12)")), "НЕ ЦИФРЫ"))</f>
        <v/>
      </c>
      <c r="E370">
        <f>MID(B370,1,1)*9+MID(B370,2,1)*8+MID(B370,3,1)*7+MID(B370,4,1)*6+MID(B370,5,1)*5+MID(B370,6,1)*4+MID(B370,7,1)*3+MID(B370,8,1)*2+MID(B370,9,1)</f>
        <v/>
      </c>
      <c r="F370">
        <f>IF(B370="", " ", IF(LEN(B370)&lt;&gt;11, "ДЛИНА", IF(NOT(ISNUMBER(--B370)), "НЕ ЦИФРЫ", IF(LEFT(B370,9)*1&lt;=1001998, "OK", IF(RIGHT(B370,2)*1=IF(MOD(E370,101)&gt;=100,0,MOD(E370,101)),"OK","ОШИБКА")))))</f>
        <v/>
      </c>
      <c r="G3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0">
        <f>IF(LEN(TRIM(A370))=10, --MID(A370,1,1)*2+--MID(A370,2,1)*4+--MID(A370,3,1)*10+--MID(A370,4,1)*3+--MID(A370,5,1)*5+--MID(A370,6,1)*9+--MID(A370,7,1)*4+--MID(A370,8,1)*6+--MID(A370,9,1)*8, IF(LEN(TRIM(A370))=12, --MID(A370,1,1)*7+--MID(A370,2,1)*2+--MID(A370,3,1)*4+--MID(A370,4,1)*10+--MID(A370,5,1)*3+--MID(A370,6,1)*5+--MID(A370,7,1)*9+--MID(A370,8,1)*4+--MID(A370,9,1)*6+--MID(A370,10,1)*8, ""))</f>
        <v/>
      </c>
      <c r="I370">
        <f>IF(LEN(TRIM(A370))=12, --MID(A370,1,1)*3+--MID(A370,2,1)*7+--MID(A370,3,1)*2+--MID(A370,4,1)*4+--MID(A370,5,1)*10+--MID(A370,6,1)*3+--MID(A370,7,1)*5+--MID(A370,8,1)*9+--MID(A370,9,1)*4+--MID(A370,10,1)*6+--MID(A370,11,1)*8, "")</f>
        <v/>
      </c>
    </row>
    <row r="371">
      <c r="A371">
        <f>SUBSTITUTE(SUBSTITUTE(SUBSTITUTE(SUBSTITUTE(TRIM(INDEX(Реестр!$B:$B,ROW())),CHAR(160),""),CHAR(9),""),CHAR(10),""),CHAR(13),"")</f>
        <v/>
      </c>
      <c r="B371">
        <f>SUBSTITUTE(SUBSTITUTE(SUBSTITUTE(SUBSTITUTE(SUBSTITUTE(SUBSTITUTE(SUBSTITUTE(TRIM(INDEX(Реестр!$D:$D, ROW())), "-", ""), " ", ""), CHAR(160), ""), CHAR(9), ""), CHAR(10), ""), CHAR(13), ""), CHAR(32), "")</f>
        <v/>
      </c>
      <c r="C371">
        <f>INDEX(Реестр!$H:$H, ROW())</f>
        <v/>
      </c>
      <c r="D371">
        <f>IF(OR(ISBLANK(INDEX(Реестр!$B:$B, ROW())), INDEX(Реестр!$B:$B, ROW())=""), " ", IF(IFERROR(ISNUMBER(--A371),FALSE), IF(LEN(A371)=10, IF(MOD(MOD(H371,11),10)=--RIGHT(A371,1), "OK", "ОШИБКА"), IF(LEN(A371)=12, IF(AND(MOD(MOD(H371,11),10)=--MID(A371,11,1), MOD(MOD(I371,11),10)=--RIGHT(A371,1)), "OK", "ОШИБКА"), "ДЛИНА (10 или 12)")), "НЕ ЦИФРЫ"))</f>
        <v/>
      </c>
      <c r="E371">
        <f>MID(B371,1,1)*9+MID(B371,2,1)*8+MID(B371,3,1)*7+MID(B371,4,1)*6+MID(B371,5,1)*5+MID(B371,6,1)*4+MID(B371,7,1)*3+MID(B371,8,1)*2+MID(B371,9,1)</f>
        <v/>
      </c>
      <c r="F371">
        <f>IF(B371="", " ", IF(LEN(B371)&lt;&gt;11, "ДЛИНА", IF(NOT(ISNUMBER(--B371)), "НЕ ЦИФРЫ", IF(LEFT(B371,9)*1&lt;=1001998, "OK", IF(RIGHT(B371,2)*1=IF(MOD(E371,101)&gt;=100,0,MOD(E371,101)),"OK","ОШИБКА")))))</f>
        <v/>
      </c>
      <c r="G3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1">
        <f>IF(LEN(TRIM(A371))=10, --MID(A371,1,1)*2+--MID(A371,2,1)*4+--MID(A371,3,1)*10+--MID(A371,4,1)*3+--MID(A371,5,1)*5+--MID(A371,6,1)*9+--MID(A371,7,1)*4+--MID(A371,8,1)*6+--MID(A371,9,1)*8, IF(LEN(TRIM(A371))=12, --MID(A371,1,1)*7+--MID(A371,2,1)*2+--MID(A371,3,1)*4+--MID(A371,4,1)*10+--MID(A371,5,1)*3+--MID(A371,6,1)*5+--MID(A371,7,1)*9+--MID(A371,8,1)*4+--MID(A371,9,1)*6+--MID(A371,10,1)*8, ""))</f>
        <v/>
      </c>
      <c r="I371">
        <f>IF(LEN(TRIM(A371))=12, --MID(A371,1,1)*3+--MID(A371,2,1)*7+--MID(A371,3,1)*2+--MID(A371,4,1)*4+--MID(A371,5,1)*10+--MID(A371,6,1)*3+--MID(A371,7,1)*5+--MID(A371,8,1)*9+--MID(A371,9,1)*4+--MID(A371,10,1)*6+--MID(A371,11,1)*8, "")</f>
        <v/>
      </c>
    </row>
    <row r="372">
      <c r="A372">
        <f>SUBSTITUTE(SUBSTITUTE(SUBSTITUTE(SUBSTITUTE(TRIM(INDEX(Реестр!$B:$B,ROW())),CHAR(160),""),CHAR(9),""),CHAR(10),""),CHAR(13),"")</f>
        <v/>
      </c>
      <c r="B372">
        <f>SUBSTITUTE(SUBSTITUTE(SUBSTITUTE(SUBSTITUTE(SUBSTITUTE(SUBSTITUTE(SUBSTITUTE(TRIM(INDEX(Реестр!$D:$D, ROW())), "-", ""), " ", ""), CHAR(160), ""), CHAR(9), ""), CHAR(10), ""), CHAR(13), ""), CHAR(32), "")</f>
        <v/>
      </c>
      <c r="C372">
        <f>INDEX(Реестр!$H:$H, ROW())</f>
        <v/>
      </c>
      <c r="D372">
        <f>IF(OR(ISBLANK(INDEX(Реестр!$B:$B, ROW())), INDEX(Реестр!$B:$B, ROW())=""), " ", IF(IFERROR(ISNUMBER(--A372),FALSE), IF(LEN(A372)=10, IF(MOD(MOD(H372,11),10)=--RIGHT(A372,1), "OK", "ОШИБКА"), IF(LEN(A372)=12, IF(AND(MOD(MOD(H372,11),10)=--MID(A372,11,1), MOD(MOD(I372,11),10)=--RIGHT(A372,1)), "OK", "ОШИБКА"), "ДЛИНА (10 или 12)")), "НЕ ЦИФРЫ"))</f>
        <v/>
      </c>
      <c r="E372">
        <f>MID(B372,1,1)*9+MID(B372,2,1)*8+MID(B372,3,1)*7+MID(B372,4,1)*6+MID(B372,5,1)*5+MID(B372,6,1)*4+MID(B372,7,1)*3+MID(B372,8,1)*2+MID(B372,9,1)</f>
        <v/>
      </c>
      <c r="F372">
        <f>IF(B372="", " ", IF(LEN(B372)&lt;&gt;11, "ДЛИНА", IF(NOT(ISNUMBER(--B372)), "НЕ ЦИФРЫ", IF(LEFT(B372,9)*1&lt;=1001998, "OK", IF(RIGHT(B372,2)*1=IF(MOD(E372,101)&gt;=100,0,MOD(E372,101)),"OK","ОШИБКА")))))</f>
        <v/>
      </c>
      <c r="G3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2">
        <f>IF(LEN(TRIM(A372))=10, --MID(A372,1,1)*2+--MID(A372,2,1)*4+--MID(A372,3,1)*10+--MID(A372,4,1)*3+--MID(A372,5,1)*5+--MID(A372,6,1)*9+--MID(A372,7,1)*4+--MID(A372,8,1)*6+--MID(A372,9,1)*8, IF(LEN(TRIM(A372))=12, --MID(A372,1,1)*7+--MID(A372,2,1)*2+--MID(A372,3,1)*4+--MID(A372,4,1)*10+--MID(A372,5,1)*3+--MID(A372,6,1)*5+--MID(A372,7,1)*9+--MID(A372,8,1)*4+--MID(A372,9,1)*6+--MID(A372,10,1)*8, ""))</f>
        <v/>
      </c>
      <c r="I372">
        <f>IF(LEN(TRIM(A372))=12, --MID(A372,1,1)*3+--MID(A372,2,1)*7+--MID(A372,3,1)*2+--MID(A372,4,1)*4+--MID(A372,5,1)*10+--MID(A372,6,1)*3+--MID(A372,7,1)*5+--MID(A372,8,1)*9+--MID(A372,9,1)*4+--MID(A372,10,1)*6+--MID(A372,11,1)*8, "")</f>
        <v/>
      </c>
    </row>
    <row r="373">
      <c r="A373">
        <f>SUBSTITUTE(SUBSTITUTE(SUBSTITUTE(SUBSTITUTE(TRIM(INDEX(Реестр!$B:$B,ROW())),CHAR(160),""),CHAR(9),""),CHAR(10),""),CHAR(13),"")</f>
        <v/>
      </c>
      <c r="B373">
        <f>SUBSTITUTE(SUBSTITUTE(SUBSTITUTE(SUBSTITUTE(SUBSTITUTE(SUBSTITUTE(SUBSTITUTE(TRIM(INDEX(Реестр!$D:$D, ROW())), "-", ""), " ", ""), CHAR(160), ""), CHAR(9), ""), CHAR(10), ""), CHAR(13), ""), CHAR(32), "")</f>
        <v/>
      </c>
      <c r="C373">
        <f>INDEX(Реестр!$H:$H, ROW())</f>
        <v/>
      </c>
      <c r="D373">
        <f>IF(OR(ISBLANK(INDEX(Реестр!$B:$B, ROW())), INDEX(Реестр!$B:$B, ROW())=""), " ", IF(IFERROR(ISNUMBER(--A373),FALSE), IF(LEN(A373)=10, IF(MOD(MOD(H373,11),10)=--RIGHT(A373,1), "OK", "ОШИБКА"), IF(LEN(A373)=12, IF(AND(MOD(MOD(H373,11),10)=--MID(A373,11,1), MOD(MOD(I373,11),10)=--RIGHT(A373,1)), "OK", "ОШИБКА"), "ДЛИНА (10 или 12)")), "НЕ ЦИФРЫ"))</f>
        <v/>
      </c>
      <c r="E373">
        <f>MID(B373,1,1)*9+MID(B373,2,1)*8+MID(B373,3,1)*7+MID(B373,4,1)*6+MID(B373,5,1)*5+MID(B373,6,1)*4+MID(B373,7,1)*3+MID(B373,8,1)*2+MID(B373,9,1)</f>
        <v/>
      </c>
      <c r="F373">
        <f>IF(B373="", " ", IF(LEN(B373)&lt;&gt;11, "ДЛИНА", IF(NOT(ISNUMBER(--B373)), "НЕ ЦИФРЫ", IF(LEFT(B373,9)*1&lt;=1001998, "OK", IF(RIGHT(B373,2)*1=IF(MOD(E373,101)&gt;=100,0,MOD(E373,101)),"OK","ОШИБКА")))))</f>
        <v/>
      </c>
      <c r="G3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3">
        <f>IF(LEN(TRIM(A373))=10, --MID(A373,1,1)*2+--MID(A373,2,1)*4+--MID(A373,3,1)*10+--MID(A373,4,1)*3+--MID(A373,5,1)*5+--MID(A373,6,1)*9+--MID(A373,7,1)*4+--MID(A373,8,1)*6+--MID(A373,9,1)*8, IF(LEN(TRIM(A373))=12, --MID(A373,1,1)*7+--MID(A373,2,1)*2+--MID(A373,3,1)*4+--MID(A373,4,1)*10+--MID(A373,5,1)*3+--MID(A373,6,1)*5+--MID(A373,7,1)*9+--MID(A373,8,1)*4+--MID(A373,9,1)*6+--MID(A373,10,1)*8, ""))</f>
        <v/>
      </c>
      <c r="I373">
        <f>IF(LEN(TRIM(A373))=12, --MID(A373,1,1)*3+--MID(A373,2,1)*7+--MID(A373,3,1)*2+--MID(A373,4,1)*4+--MID(A373,5,1)*10+--MID(A373,6,1)*3+--MID(A373,7,1)*5+--MID(A373,8,1)*9+--MID(A373,9,1)*4+--MID(A373,10,1)*6+--MID(A373,11,1)*8, "")</f>
        <v/>
      </c>
    </row>
    <row r="374">
      <c r="A374">
        <f>SUBSTITUTE(SUBSTITUTE(SUBSTITUTE(SUBSTITUTE(TRIM(INDEX(Реестр!$B:$B,ROW())),CHAR(160),""),CHAR(9),""),CHAR(10),""),CHAR(13),"")</f>
        <v/>
      </c>
      <c r="B374">
        <f>SUBSTITUTE(SUBSTITUTE(SUBSTITUTE(SUBSTITUTE(SUBSTITUTE(SUBSTITUTE(SUBSTITUTE(TRIM(INDEX(Реестр!$D:$D, ROW())), "-", ""), " ", ""), CHAR(160), ""), CHAR(9), ""), CHAR(10), ""), CHAR(13), ""), CHAR(32), "")</f>
        <v/>
      </c>
      <c r="C374">
        <f>INDEX(Реестр!$H:$H, ROW())</f>
        <v/>
      </c>
      <c r="D374">
        <f>IF(OR(ISBLANK(INDEX(Реестр!$B:$B, ROW())), INDEX(Реестр!$B:$B, ROW())=""), " ", IF(IFERROR(ISNUMBER(--A374),FALSE), IF(LEN(A374)=10, IF(MOD(MOD(H374,11),10)=--RIGHT(A374,1), "OK", "ОШИБКА"), IF(LEN(A374)=12, IF(AND(MOD(MOD(H374,11),10)=--MID(A374,11,1), MOD(MOD(I374,11),10)=--RIGHT(A374,1)), "OK", "ОШИБКА"), "ДЛИНА (10 или 12)")), "НЕ ЦИФРЫ"))</f>
        <v/>
      </c>
      <c r="E374">
        <f>MID(B374,1,1)*9+MID(B374,2,1)*8+MID(B374,3,1)*7+MID(B374,4,1)*6+MID(B374,5,1)*5+MID(B374,6,1)*4+MID(B374,7,1)*3+MID(B374,8,1)*2+MID(B374,9,1)</f>
        <v/>
      </c>
      <c r="F374">
        <f>IF(B374="", " ", IF(LEN(B374)&lt;&gt;11, "ДЛИНА", IF(NOT(ISNUMBER(--B374)), "НЕ ЦИФРЫ", IF(LEFT(B374,9)*1&lt;=1001998, "OK", IF(RIGHT(B374,2)*1=IF(MOD(E374,101)&gt;=100,0,MOD(E374,101)),"OK","ОШИБКА")))))</f>
        <v/>
      </c>
      <c r="G3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4">
        <f>IF(LEN(TRIM(A374))=10, --MID(A374,1,1)*2+--MID(A374,2,1)*4+--MID(A374,3,1)*10+--MID(A374,4,1)*3+--MID(A374,5,1)*5+--MID(A374,6,1)*9+--MID(A374,7,1)*4+--MID(A374,8,1)*6+--MID(A374,9,1)*8, IF(LEN(TRIM(A374))=12, --MID(A374,1,1)*7+--MID(A374,2,1)*2+--MID(A374,3,1)*4+--MID(A374,4,1)*10+--MID(A374,5,1)*3+--MID(A374,6,1)*5+--MID(A374,7,1)*9+--MID(A374,8,1)*4+--MID(A374,9,1)*6+--MID(A374,10,1)*8, ""))</f>
        <v/>
      </c>
      <c r="I374">
        <f>IF(LEN(TRIM(A374))=12, --MID(A374,1,1)*3+--MID(A374,2,1)*7+--MID(A374,3,1)*2+--MID(A374,4,1)*4+--MID(A374,5,1)*10+--MID(A374,6,1)*3+--MID(A374,7,1)*5+--MID(A374,8,1)*9+--MID(A374,9,1)*4+--MID(A374,10,1)*6+--MID(A374,11,1)*8, "")</f>
        <v/>
      </c>
    </row>
    <row r="375">
      <c r="A375">
        <f>SUBSTITUTE(SUBSTITUTE(SUBSTITUTE(SUBSTITUTE(TRIM(INDEX(Реестр!$B:$B,ROW())),CHAR(160),""),CHAR(9),""),CHAR(10),""),CHAR(13),"")</f>
        <v/>
      </c>
      <c r="B375">
        <f>SUBSTITUTE(SUBSTITUTE(SUBSTITUTE(SUBSTITUTE(SUBSTITUTE(SUBSTITUTE(SUBSTITUTE(TRIM(INDEX(Реестр!$D:$D, ROW())), "-", ""), " ", ""), CHAR(160), ""), CHAR(9), ""), CHAR(10), ""), CHAR(13), ""), CHAR(32), "")</f>
        <v/>
      </c>
      <c r="C375">
        <f>INDEX(Реестр!$H:$H, ROW())</f>
        <v/>
      </c>
      <c r="D375">
        <f>IF(OR(ISBLANK(INDEX(Реестр!$B:$B, ROW())), INDEX(Реестр!$B:$B, ROW())=""), " ", IF(IFERROR(ISNUMBER(--A375),FALSE), IF(LEN(A375)=10, IF(MOD(MOD(H375,11),10)=--RIGHT(A375,1), "OK", "ОШИБКА"), IF(LEN(A375)=12, IF(AND(MOD(MOD(H375,11),10)=--MID(A375,11,1), MOD(MOD(I375,11),10)=--RIGHT(A375,1)), "OK", "ОШИБКА"), "ДЛИНА (10 или 12)")), "НЕ ЦИФРЫ"))</f>
        <v/>
      </c>
      <c r="E375">
        <f>MID(B375,1,1)*9+MID(B375,2,1)*8+MID(B375,3,1)*7+MID(B375,4,1)*6+MID(B375,5,1)*5+MID(B375,6,1)*4+MID(B375,7,1)*3+MID(B375,8,1)*2+MID(B375,9,1)</f>
        <v/>
      </c>
      <c r="F375">
        <f>IF(B375="", " ", IF(LEN(B375)&lt;&gt;11, "ДЛИНА", IF(NOT(ISNUMBER(--B375)), "НЕ ЦИФРЫ", IF(LEFT(B375,9)*1&lt;=1001998, "OK", IF(RIGHT(B375,2)*1=IF(MOD(E375,101)&gt;=100,0,MOD(E375,101)),"OK","ОШИБКА")))))</f>
        <v/>
      </c>
      <c r="G3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5">
        <f>IF(LEN(TRIM(A375))=10, --MID(A375,1,1)*2+--MID(A375,2,1)*4+--MID(A375,3,1)*10+--MID(A375,4,1)*3+--MID(A375,5,1)*5+--MID(A375,6,1)*9+--MID(A375,7,1)*4+--MID(A375,8,1)*6+--MID(A375,9,1)*8, IF(LEN(TRIM(A375))=12, --MID(A375,1,1)*7+--MID(A375,2,1)*2+--MID(A375,3,1)*4+--MID(A375,4,1)*10+--MID(A375,5,1)*3+--MID(A375,6,1)*5+--MID(A375,7,1)*9+--MID(A375,8,1)*4+--MID(A375,9,1)*6+--MID(A375,10,1)*8, ""))</f>
        <v/>
      </c>
      <c r="I375">
        <f>IF(LEN(TRIM(A375))=12, --MID(A375,1,1)*3+--MID(A375,2,1)*7+--MID(A375,3,1)*2+--MID(A375,4,1)*4+--MID(A375,5,1)*10+--MID(A375,6,1)*3+--MID(A375,7,1)*5+--MID(A375,8,1)*9+--MID(A375,9,1)*4+--MID(A375,10,1)*6+--MID(A375,11,1)*8, "")</f>
        <v/>
      </c>
    </row>
    <row r="376">
      <c r="A376">
        <f>SUBSTITUTE(SUBSTITUTE(SUBSTITUTE(SUBSTITUTE(TRIM(INDEX(Реестр!$B:$B,ROW())),CHAR(160),""),CHAR(9),""),CHAR(10),""),CHAR(13),"")</f>
        <v/>
      </c>
      <c r="B376">
        <f>SUBSTITUTE(SUBSTITUTE(SUBSTITUTE(SUBSTITUTE(SUBSTITUTE(SUBSTITUTE(SUBSTITUTE(TRIM(INDEX(Реестр!$D:$D, ROW())), "-", ""), " ", ""), CHAR(160), ""), CHAR(9), ""), CHAR(10), ""), CHAR(13), ""), CHAR(32), "")</f>
        <v/>
      </c>
      <c r="C376">
        <f>INDEX(Реестр!$H:$H, ROW())</f>
        <v/>
      </c>
      <c r="D376">
        <f>IF(OR(ISBLANK(INDEX(Реестр!$B:$B, ROW())), INDEX(Реестр!$B:$B, ROW())=""), " ", IF(IFERROR(ISNUMBER(--A376),FALSE), IF(LEN(A376)=10, IF(MOD(MOD(H376,11),10)=--RIGHT(A376,1), "OK", "ОШИБКА"), IF(LEN(A376)=12, IF(AND(MOD(MOD(H376,11),10)=--MID(A376,11,1), MOD(MOD(I376,11),10)=--RIGHT(A376,1)), "OK", "ОШИБКА"), "ДЛИНА (10 или 12)")), "НЕ ЦИФРЫ"))</f>
        <v/>
      </c>
      <c r="E376">
        <f>MID(B376,1,1)*9+MID(B376,2,1)*8+MID(B376,3,1)*7+MID(B376,4,1)*6+MID(B376,5,1)*5+MID(B376,6,1)*4+MID(B376,7,1)*3+MID(B376,8,1)*2+MID(B376,9,1)</f>
        <v/>
      </c>
      <c r="F376">
        <f>IF(B376="", " ", IF(LEN(B376)&lt;&gt;11, "ДЛИНА", IF(NOT(ISNUMBER(--B376)), "НЕ ЦИФРЫ", IF(LEFT(B376,9)*1&lt;=1001998, "OK", IF(RIGHT(B376,2)*1=IF(MOD(E376,101)&gt;=100,0,MOD(E376,101)),"OK","ОШИБКА")))))</f>
        <v/>
      </c>
      <c r="G3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6">
        <f>IF(LEN(TRIM(A376))=10, --MID(A376,1,1)*2+--MID(A376,2,1)*4+--MID(A376,3,1)*10+--MID(A376,4,1)*3+--MID(A376,5,1)*5+--MID(A376,6,1)*9+--MID(A376,7,1)*4+--MID(A376,8,1)*6+--MID(A376,9,1)*8, IF(LEN(TRIM(A376))=12, --MID(A376,1,1)*7+--MID(A376,2,1)*2+--MID(A376,3,1)*4+--MID(A376,4,1)*10+--MID(A376,5,1)*3+--MID(A376,6,1)*5+--MID(A376,7,1)*9+--MID(A376,8,1)*4+--MID(A376,9,1)*6+--MID(A376,10,1)*8, ""))</f>
        <v/>
      </c>
      <c r="I376">
        <f>IF(LEN(TRIM(A376))=12, --MID(A376,1,1)*3+--MID(A376,2,1)*7+--MID(A376,3,1)*2+--MID(A376,4,1)*4+--MID(A376,5,1)*10+--MID(A376,6,1)*3+--MID(A376,7,1)*5+--MID(A376,8,1)*9+--MID(A376,9,1)*4+--MID(A376,10,1)*6+--MID(A376,11,1)*8, "")</f>
        <v/>
      </c>
    </row>
    <row r="377">
      <c r="A377">
        <f>SUBSTITUTE(SUBSTITUTE(SUBSTITUTE(SUBSTITUTE(TRIM(INDEX(Реестр!$B:$B,ROW())),CHAR(160),""),CHAR(9),""),CHAR(10),""),CHAR(13),"")</f>
        <v/>
      </c>
      <c r="B377">
        <f>SUBSTITUTE(SUBSTITUTE(SUBSTITUTE(SUBSTITUTE(SUBSTITUTE(SUBSTITUTE(SUBSTITUTE(TRIM(INDEX(Реестр!$D:$D, ROW())), "-", ""), " ", ""), CHAR(160), ""), CHAR(9), ""), CHAR(10), ""), CHAR(13), ""), CHAR(32), "")</f>
        <v/>
      </c>
      <c r="C377">
        <f>INDEX(Реестр!$H:$H, ROW())</f>
        <v/>
      </c>
      <c r="D377">
        <f>IF(OR(ISBLANK(INDEX(Реестр!$B:$B, ROW())), INDEX(Реестр!$B:$B, ROW())=""), " ", IF(IFERROR(ISNUMBER(--A377),FALSE), IF(LEN(A377)=10, IF(MOD(MOD(H377,11),10)=--RIGHT(A377,1), "OK", "ОШИБКА"), IF(LEN(A377)=12, IF(AND(MOD(MOD(H377,11),10)=--MID(A377,11,1), MOD(MOD(I377,11),10)=--RIGHT(A377,1)), "OK", "ОШИБКА"), "ДЛИНА (10 или 12)")), "НЕ ЦИФРЫ"))</f>
        <v/>
      </c>
      <c r="E377">
        <f>MID(B377,1,1)*9+MID(B377,2,1)*8+MID(B377,3,1)*7+MID(B377,4,1)*6+MID(B377,5,1)*5+MID(B377,6,1)*4+MID(B377,7,1)*3+MID(B377,8,1)*2+MID(B377,9,1)</f>
        <v/>
      </c>
      <c r="F377">
        <f>IF(B377="", " ", IF(LEN(B377)&lt;&gt;11, "ДЛИНА", IF(NOT(ISNUMBER(--B377)), "НЕ ЦИФРЫ", IF(LEFT(B377,9)*1&lt;=1001998, "OK", IF(RIGHT(B377,2)*1=IF(MOD(E377,101)&gt;=100,0,MOD(E377,101)),"OK","ОШИБКА")))))</f>
        <v/>
      </c>
      <c r="G3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7">
        <f>IF(LEN(TRIM(A377))=10, --MID(A377,1,1)*2+--MID(A377,2,1)*4+--MID(A377,3,1)*10+--MID(A377,4,1)*3+--MID(A377,5,1)*5+--MID(A377,6,1)*9+--MID(A377,7,1)*4+--MID(A377,8,1)*6+--MID(A377,9,1)*8, IF(LEN(TRIM(A377))=12, --MID(A377,1,1)*7+--MID(A377,2,1)*2+--MID(A377,3,1)*4+--MID(A377,4,1)*10+--MID(A377,5,1)*3+--MID(A377,6,1)*5+--MID(A377,7,1)*9+--MID(A377,8,1)*4+--MID(A377,9,1)*6+--MID(A377,10,1)*8, ""))</f>
        <v/>
      </c>
      <c r="I377">
        <f>IF(LEN(TRIM(A377))=12, --MID(A377,1,1)*3+--MID(A377,2,1)*7+--MID(A377,3,1)*2+--MID(A377,4,1)*4+--MID(A377,5,1)*10+--MID(A377,6,1)*3+--MID(A377,7,1)*5+--MID(A377,8,1)*9+--MID(A377,9,1)*4+--MID(A377,10,1)*6+--MID(A377,11,1)*8, "")</f>
        <v/>
      </c>
    </row>
    <row r="378">
      <c r="A378">
        <f>SUBSTITUTE(SUBSTITUTE(SUBSTITUTE(SUBSTITUTE(TRIM(INDEX(Реестр!$B:$B,ROW())),CHAR(160),""),CHAR(9),""),CHAR(10),""),CHAR(13),"")</f>
        <v/>
      </c>
      <c r="B378">
        <f>SUBSTITUTE(SUBSTITUTE(SUBSTITUTE(SUBSTITUTE(SUBSTITUTE(SUBSTITUTE(SUBSTITUTE(TRIM(INDEX(Реестр!$D:$D, ROW())), "-", ""), " ", ""), CHAR(160), ""), CHAR(9), ""), CHAR(10), ""), CHAR(13), ""), CHAR(32), "")</f>
        <v/>
      </c>
      <c r="C378">
        <f>INDEX(Реестр!$H:$H, ROW())</f>
        <v/>
      </c>
      <c r="D378">
        <f>IF(OR(ISBLANK(INDEX(Реестр!$B:$B, ROW())), INDEX(Реестр!$B:$B, ROW())=""), " ", IF(IFERROR(ISNUMBER(--A378),FALSE), IF(LEN(A378)=10, IF(MOD(MOD(H378,11),10)=--RIGHT(A378,1), "OK", "ОШИБКА"), IF(LEN(A378)=12, IF(AND(MOD(MOD(H378,11),10)=--MID(A378,11,1), MOD(MOD(I378,11),10)=--RIGHT(A378,1)), "OK", "ОШИБКА"), "ДЛИНА (10 или 12)")), "НЕ ЦИФРЫ"))</f>
        <v/>
      </c>
      <c r="E378">
        <f>MID(B378,1,1)*9+MID(B378,2,1)*8+MID(B378,3,1)*7+MID(B378,4,1)*6+MID(B378,5,1)*5+MID(B378,6,1)*4+MID(B378,7,1)*3+MID(B378,8,1)*2+MID(B378,9,1)</f>
        <v/>
      </c>
      <c r="F378">
        <f>IF(B378="", " ", IF(LEN(B378)&lt;&gt;11, "ДЛИНА", IF(NOT(ISNUMBER(--B378)), "НЕ ЦИФРЫ", IF(LEFT(B378,9)*1&lt;=1001998, "OK", IF(RIGHT(B378,2)*1=IF(MOD(E378,101)&gt;=100,0,MOD(E378,101)),"OK","ОШИБКА")))))</f>
        <v/>
      </c>
      <c r="G3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8">
        <f>IF(LEN(TRIM(A378))=10, --MID(A378,1,1)*2+--MID(A378,2,1)*4+--MID(A378,3,1)*10+--MID(A378,4,1)*3+--MID(A378,5,1)*5+--MID(A378,6,1)*9+--MID(A378,7,1)*4+--MID(A378,8,1)*6+--MID(A378,9,1)*8, IF(LEN(TRIM(A378))=12, --MID(A378,1,1)*7+--MID(A378,2,1)*2+--MID(A378,3,1)*4+--MID(A378,4,1)*10+--MID(A378,5,1)*3+--MID(A378,6,1)*5+--MID(A378,7,1)*9+--MID(A378,8,1)*4+--MID(A378,9,1)*6+--MID(A378,10,1)*8, ""))</f>
        <v/>
      </c>
      <c r="I378">
        <f>IF(LEN(TRIM(A378))=12, --MID(A378,1,1)*3+--MID(A378,2,1)*7+--MID(A378,3,1)*2+--MID(A378,4,1)*4+--MID(A378,5,1)*10+--MID(A378,6,1)*3+--MID(A378,7,1)*5+--MID(A378,8,1)*9+--MID(A378,9,1)*4+--MID(A378,10,1)*6+--MID(A378,11,1)*8, "")</f>
        <v/>
      </c>
    </row>
    <row r="379">
      <c r="A379">
        <f>SUBSTITUTE(SUBSTITUTE(SUBSTITUTE(SUBSTITUTE(TRIM(INDEX(Реестр!$B:$B,ROW())),CHAR(160),""),CHAR(9),""),CHAR(10),""),CHAR(13),"")</f>
        <v/>
      </c>
      <c r="B379">
        <f>SUBSTITUTE(SUBSTITUTE(SUBSTITUTE(SUBSTITUTE(SUBSTITUTE(SUBSTITUTE(SUBSTITUTE(TRIM(INDEX(Реестр!$D:$D, ROW())), "-", ""), " ", ""), CHAR(160), ""), CHAR(9), ""), CHAR(10), ""), CHAR(13), ""), CHAR(32), "")</f>
        <v/>
      </c>
      <c r="C379">
        <f>INDEX(Реестр!$H:$H, ROW())</f>
        <v/>
      </c>
      <c r="D379">
        <f>IF(OR(ISBLANK(INDEX(Реестр!$B:$B, ROW())), INDEX(Реестр!$B:$B, ROW())=""), " ", IF(IFERROR(ISNUMBER(--A379),FALSE), IF(LEN(A379)=10, IF(MOD(MOD(H379,11),10)=--RIGHT(A379,1), "OK", "ОШИБКА"), IF(LEN(A379)=12, IF(AND(MOD(MOD(H379,11),10)=--MID(A379,11,1), MOD(MOD(I379,11),10)=--RIGHT(A379,1)), "OK", "ОШИБКА"), "ДЛИНА (10 или 12)")), "НЕ ЦИФРЫ"))</f>
        <v/>
      </c>
      <c r="E379">
        <f>MID(B379,1,1)*9+MID(B379,2,1)*8+MID(B379,3,1)*7+MID(B379,4,1)*6+MID(B379,5,1)*5+MID(B379,6,1)*4+MID(B379,7,1)*3+MID(B379,8,1)*2+MID(B379,9,1)</f>
        <v/>
      </c>
      <c r="F379">
        <f>IF(B379="", " ", IF(LEN(B379)&lt;&gt;11, "ДЛИНА", IF(NOT(ISNUMBER(--B379)), "НЕ ЦИФРЫ", IF(LEFT(B379,9)*1&lt;=1001998, "OK", IF(RIGHT(B379,2)*1=IF(MOD(E379,101)&gt;=100,0,MOD(E379,101)),"OK","ОШИБКА")))))</f>
        <v/>
      </c>
      <c r="G3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79">
        <f>IF(LEN(TRIM(A379))=10, --MID(A379,1,1)*2+--MID(A379,2,1)*4+--MID(A379,3,1)*10+--MID(A379,4,1)*3+--MID(A379,5,1)*5+--MID(A379,6,1)*9+--MID(A379,7,1)*4+--MID(A379,8,1)*6+--MID(A379,9,1)*8, IF(LEN(TRIM(A379))=12, --MID(A379,1,1)*7+--MID(A379,2,1)*2+--MID(A379,3,1)*4+--MID(A379,4,1)*10+--MID(A379,5,1)*3+--MID(A379,6,1)*5+--MID(A379,7,1)*9+--MID(A379,8,1)*4+--MID(A379,9,1)*6+--MID(A379,10,1)*8, ""))</f>
        <v/>
      </c>
      <c r="I379">
        <f>IF(LEN(TRIM(A379))=12, --MID(A379,1,1)*3+--MID(A379,2,1)*7+--MID(A379,3,1)*2+--MID(A379,4,1)*4+--MID(A379,5,1)*10+--MID(A379,6,1)*3+--MID(A379,7,1)*5+--MID(A379,8,1)*9+--MID(A379,9,1)*4+--MID(A379,10,1)*6+--MID(A379,11,1)*8, "")</f>
        <v/>
      </c>
    </row>
    <row r="380">
      <c r="A380">
        <f>SUBSTITUTE(SUBSTITUTE(SUBSTITUTE(SUBSTITUTE(TRIM(INDEX(Реестр!$B:$B,ROW())),CHAR(160),""),CHAR(9),""),CHAR(10),""),CHAR(13),"")</f>
        <v/>
      </c>
      <c r="B380">
        <f>SUBSTITUTE(SUBSTITUTE(SUBSTITUTE(SUBSTITUTE(SUBSTITUTE(SUBSTITUTE(SUBSTITUTE(TRIM(INDEX(Реестр!$D:$D, ROW())), "-", ""), " ", ""), CHAR(160), ""), CHAR(9), ""), CHAR(10), ""), CHAR(13), ""), CHAR(32), "")</f>
        <v/>
      </c>
      <c r="C380">
        <f>INDEX(Реестр!$H:$H, ROW())</f>
        <v/>
      </c>
      <c r="D380">
        <f>IF(OR(ISBLANK(INDEX(Реестр!$B:$B, ROW())), INDEX(Реестр!$B:$B, ROW())=""), " ", IF(IFERROR(ISNUMBER(--A380),FALSE), IF(LEN(A380)=10, IF(MOD(MOD(H380,11),10)=--RIGHT(A380,1), "OK", "ОШИБКА"), IF(LEN(A380)=12, IF(AND(MOD(MOD(H380,11),10)=--MID(A380,11,1), MOD(MOD(I380,11),10)=--RIGHT(A380,1)), "OK", "ОШИБКА"), "ДЛИНА (10 или 12)")), "НЕ ЦИФРЫ"))</f>
        <v/>
      </c>
      <c r="E380">
        <f>MID(B380,1,1)*9+MID(B380,2,1)*8+MID(B380,3,1)*7+MID(B380,4,1)*6+MID(B380,5,1)*5+MID(B380,6,1)*4+MID(B380,7,1)*3+MID(B380,8,1)*2+MID(B380,9,1)</f>
        <v/>
      </c>
      <c r="F380">
        <f>IF(B380="", " ", IF(LEN(B380)&lt;&gt;11, "ДЛИНА", IF(NOT(ISNUMBER(--B380)), "НЕ ЦИФРЫ", IF(LEFT(B380,9)*1&lt;=1001998, "OK", IF(RIGHT(B380,2)*1=IF(MOD(E380,101)&gt;=100,0,MOD(E380,101)),"OK","ОШИБКА")))))</f>
        <v/>
      </c>
      <c r="G3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0">
        <f>IF(LEN(TRIM(A380))=10, --MID(A380,1,1)*2+--MID(A380,2,1)*4+--MID(A380,3,1)*10+--MID(A380,4,1)*3+--MID(A380,5,1)*5+--MID(A380,6,1)*9+--MID(A380,7,1)*4+--MID(A380,8,1)*6+--MID(A380,9,1)*8, IF(LEN(TRIM(A380))=12, --MID(A380,1,1)*7+--MID(A380,2,1)*2+--MID(A380,3,1)*4+--MID(A380,4,1)*10+--MID(A380,5,1)*3+--MID(A380,6,1)*5+--MID(A380,7,1)*9+--MID(A380,8,1)*4+--MID(A380,9,1)*6+--MID(A380,10,1)*8, ""))</f>
        <v/>
      </c>
      <c r="I380">
        <f>IF(LEN(TRIM(A380))=12, --MID(A380,1,1)*3+--MID(A380,2,1)*7+--MID(A380,3,1)*2+--MID(A380,4,1)*4+--MID(A380,5,1)*10+--MID(A380,6,1)*3+--MID(A380,7,1)*5+--MID(A380,8,1)*9+--MID(A380,9,1)*4+--MID(A380,10,1)*6+--MID(A380,11,1)*8, "")</f>
        <v/>
      </c>
    </row>
    <row r="381">
      <c r="A381">
        <f>SUBSTITUTE(SUBSTITUTE(SUBSTITUTE(SUBSTITUTE(TRIM(INDEX(Реестр!$B:$B,ROW())),CHAR(160),""),CHAR(9),""),CHAR(10),""),CHAR(13),"")</f>
        <v/>
      </c>
      <c r="B381">
        <f>SUBSTITUTE(SUBSTITUTE(SUBSTITUTE(SUBSTITUTE(SUBSTITUTE(SUBSTITUTE(SUBSTITUTE(TRIM(INDEX(Реестр!$D:$D, ROW())), "-", ""), " ", ""), CHAR(160), ""), CHAR(9), ""), CHAR(10), ""), CHAR(13), ""), CHAR(32), "")</f>
        <v/>
      </c>
      <c r="C381">
        <f>INDEX(Реестр!$H:$H, ROW())</f>
        <v/>
      </c>
      <c r="D381">
        <f>IF(OR(ISBLANK(INDEX(Реестр!$B:$B, ROW())), INDEX(Реестр!$B:$B, ROW())=""), " ", IF(IFERROR(ISNUMBER(--A381),FALSE), IF(LEN(A381)=10, IF(MOD(MOD(H381,11),10)=--RIGHT(A381,1), "OK", "ОШИБКА"), IF(LEN(A381)=12, IF(AND(MOD(MOD(H381,11),10)=--MID(A381,11,1), MOD(MOD(I381,11),10)=--RIGHT(A381,1)), "OK", "ОШИБКА"), "ДЛИНА (10 или 12)")), "НЕ ЦИФРЫ"))</f>
        <v/>
      </c>
      <c r="E381">
        <f>MID(B381,1,1)*9+MID(B381,2,1)*8+MID(B381,3,1)*7+MID(B381,4,1)*6+MID(B381,5,1)*5+MID(B381,6,1)*4+MID(B381,7,1)*3+MID(B381,8,1)*2+MID(B381,9,1)</f>
        <v/>
      </c>
      <c r="F381">
        <f>IF(B381="", " ", IF(LEN(B381)&lt;&gt;11, "ДЛИНА", IF(NOT(ISNUMBER(--B381)), "НЕ ЦИФРЫ", IF(LEFT(B381,9)*1&lt;=1001998, "OK", IF(RIGHT(B381,2)*1=IF(MOD(E381,101)&gt;=100,0,MOD(E381,101)),"OK","ОШИБКА")))))</f>
        <v/>
      </c>
      <c r="G3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1">
        <f>IF(LEN(TRIM(A381))=10, --MID(A381,1,1)*2+--MID(A381,2,1)*4+--MID(A381,3,1)*10+--MID(A381,4,1)*3+--MID(A381,5,1)*5+--MID(A381,6,1)*9+--MID(A381,7,1)*4+--MID(A381,8,1)*6+--MID(A381,9,1)*8, IF(LEN(TRIM(A381))=12, --MID(A381,1,1)*7+--MID(A381,2,1)*2+--MID(A381,3,1)*4+--MID(A381,4,1)*10+--MID(A381,5,1)*3+--MID(A381,6,1)*5+--MID(A381,7,1)*9+--MID(A381,8,1)*4+--MID(A381,9,1)*6+--MID(A381,10,1)*8, ""))</f>
        <v/>
      </c>
      <c r="I381">
        <f>IF(LEN(TRIM(A381))=12, --MID(A381,1,1)*3+--MID(A381,2,1)*7+--MID(A381,3,1)*2+--MID(A381,4,1)*4+--MID(A381,5,1)*10+--MID(A381,6,1)*3+--MID(A381,7,1)*5+--MID(A381,8,1)*9+--MID(A381,9,1)*4+--MID(A381,10,1)*6+--MID(A381,11,1)*8, "")</f>
        <v/>
      </c>
    </row>
    <row r="382">
      <c r="A382">
        <f>SUBSTITUTE(SUBSTITUTE(SUBSTITUTE(SUBSTITUTE(TRIM(INDEX(Реестр!$B:$B,ROW())),CHAR(160),""),CHAR(9),""),CHAR(10),""),CHAR(13),"")</f>
        <v/>
      </c>
      <c r="B382">
        <f>SUBSTITUTE(SUBSTITUTE(SUBSTITUTE(SUBSTITUTE(SUBSTITUTE(SUBSTITUTE(SUBSTITUTE(TRIM(INDEX(Реестр!$D:$D, ROW())), "-", ""), " ", ""), CHAR(160), ""), CHAR(9), ""), CHAR(10), ""), CHAR(13), ""), CHAR(32), "")</f>
        <v/>
      </c>
      <c r="C382">
        <f>INDEX(Реестр!$H:$H, ROW())</f>
        <v/>
      </c>
      <c r="D382">
        <f>IF(OR(ISBLANK(INDEX(Реестр!$B:$B, ROW())), INDEX(Реестр!$B:$B, ROW())=""), " ", IF(IFERROR(ISNUMBER(--A382),FALSE), IF(LEN(A382)=10, IF(MOD(MOD(H382,11),10)=--RIGHT(A382,1), "OK", "ОШИБКА"), IF(LEN(A382)=12, IF(AND(MOD(MOD(H382,11),10)=--MID(A382,11,1), MOD(MOD(I382,11),10)=--RIGHT(A382,1)), "OK", "ОШИБКА"), "ДЛИНА (10 или 12)")), "НЕ ЦИФРЫ"))</f>
        <v/>
      </c>
      <c r="E382">
        <f>MID(B382,1,1)*9+MID(B382,2,1)*8+MID(B382,3,1)*7+MID(B382,4,1)*6+MID(B382,5,1)*5+MID(B382,6,1)*4+MID(B382,7,1)*3+MID(B382,8,1)*2+MID(B382,9,1)</f>
        <v/>
      </c>
      <c r="F382">
        <f>IF(B382="", " ", IF(LEN(B382)&lt;&gt;11, "ДЛИНА", IF(NOT(ISNUMBER(--B382)), "НЕ ЦИФРЫ", IF(LEFT(B382,9)*1&lt;=1001998, "OK", IF(RIGHT(B382,2)*1=IF(MOD(E382,101)&gt;=100,0,MOD(E382,101)),"OK","ОШИБКА")))))</f>
        <v/>
      </c>
      <c r="G3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2">
        <f>IF(LEN(TRIM(A382))=10, --MID(A382,1,1)*2+--MID(A382,2,1)*4+--MID(A382,3,1)*10+--MID(A382,4,1)*3+--MID(A382,5,1)*5+--MID(A382,6,1)*9+--MID(A382,7,1)*4+--MID(A382,8,1)*6+--MID(A382,9,1)*8, IF(LEN(TRIM(A382))=12, --MID(A382,1,1)*7+--MID(A382,2,1)*2+--MID(A382,3,1)*4+--MID(A382,4,1)*10+--MID(A382,5,1)*3+--MID(A382,6,1)*5+--MID(A382,7,1)*9+--MID(A382,8,1)*4+--MID(A382,9,1)*6+--MID(A382,10,1)*8, ""))</f>
        <v/>
      </c>
      <c r="I382">
        <f>IF(LEN(TRIM(A382))=12, --MID(A382,1,1)*3+--MID(A382,2,1)*7+--MID(A382,3,1)*2+--MID(A382,4,1)*4+--MID(A382,5,1)*10+--MID(A382,6,1)*3+--MID(A382,7,1)*5+--MID(A382,8,1)*9+--MID(A382,9,1)*4+--MID(A382,10,1)*6+--MID(A382,11,1)*8, "")</f>
        <v/>
      </c>
    </row>
    <row r="383">
      <c r="A383">
        <f>SUBSTITUTE(SUBSTITUTE(SUBSTITUTE(SUBSTITUTE(TRIM(INDEX(Реестр!$B:$B,ROW())),CHAR(160),""),CHAR(9),""),CHAR(10),""),CHAR(13),"")</f>
        <v/>
      </c>
      <c r="B383">
        <f>SUBSTITUTE(SUBSTITUTE(SUBSTITUTE(SUBSTITUTE(SUBSTITUTE(SUBSTITUTE(SUBSTITUTE(TRIM(INDEX(Реестр!$D:$D, ROW())), "-", ""), " ", ""), CHAR(160), ""), CHAR(9), ""), CHAR(10), ""), CHAR(13), ""), CHAR(32), "")</f>
        <v/>
      </c>
      <c r="C383">
        <f>INDEX(Реестр!$H:$H, ROW())</f>
        <v/>
      </c>
      <c r="D383">
        <f>IF(OR(ISBLANK(INDEX(Реестр!$B:$B, ROW())), INDEX(Реестр!$B:$B, ROW())=""), " ", IF(IFERROR(ISNUMBER(--A383),FALSE), IF(LEN(A383)=10, IF(MOD(MOD(H383,11),10)=--RIGHT(A383,1), "OK", "ОШИБКА"), IF(LEN(A383)=12, IF(AND(MOD(MOD(H383,11),10)=--MID(A383,11,1), MOD(MOD(I383,11),10)=--RIGHT(A383,1)), "OK", "ОШИБКА"), "ДЛИНА (10 или 12)")), "НЕ ЦИФРЫ"))</f>
        <v/>
      </c>
      <c r="E383">
        <f>MID(B383,1,1)*9+MID(B383,2,1)*8+MID(B383,3,1)*7+MID(B383,4,1)*6+MID(B383,5,1)*5+MID(B383,6,1)*4+MID(B383,7,1)*3+MID(B383,8,1)*2+MID(B383,9,1)</f>
        <v/>
      </c>
      <c r="F383">
        <f>IF(B383="", " ", IF(LEN(B383)&lt;&gt;11, "ДЛИНА", IF(NOT(ISNUMBER(--B383)), "НЕ ЦИФРЫ", IF(LEFT(B383,9)*1&lt;=1001998, "OK", IF(RIGHT(B383,2)*1=IF(MOD(E383,101)&gt;=100,0,MOD(E383,101)),"OK","ОШИБКА")))))</f>
        <v/>
      </c>
      <c r="G3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3">
        <f>IF(LEN(TRIM(A383))=10, --MID(A383,1,1)*2+--MID(A383,2,1)*4+--MID(A383,3,1)*10+--MID(A383,4,1)*3+--MID(A383,5,1)*5+--MID(A383,6,1)*9+--MID(A383,7,1)*4+--MID(A383,8,1)*6+--MID(A383,9,1)*8, IF(LEN(TRIM(A383))=12, --MID(A383,1,1)*7+--MID(A383,2,1)*2+--MID(A383,3,1)*4+--MID(A383,4,1)*10+--MID(A383,5,1)*3+--MID(A383,6,1)*5+--MID(A383,7,1)*9+--MID(A383,8,1)*4+--MID(A383,9,1)*6+--MID(A383,10,1)*8, ""))</f>
        <v/>
      </c>
      <c r="I383">
        <f>IF(LEN(TRIM(A383))=12, --MID(A383,1,1)*3+--MID(A383,2,1)*7+--MID(A383,3,1)*2+--MID(A383,4,1)*4+--MID(A383,5,1)*10+--MID(A383,6,1)*3+--MID(A383,7,1)*5+--MID(A383,8,1)*9+--MID(A383,9,1)*4+--MID(A383,10,1)*6+--MID(A383,11,1)*8, "")</f>
        <v/>
      </c>
    </row>
    <row r="384">
      <c r="A384">
        <f>SUBSTITUTE(SUBSTITUTE(SUBSTITUTE(SUBSTITUTE(TRIM(INDEX(Реестр!$B:$B,ROW())),CHAR(160),""),CHAR(9),""),CHAR(10),""),CHAR(13),"")</f>
        <v/>
      </c>
      <c r="B384">
        <f>SUBSTITUTE(SUBSTITUTE(SUBSTITUTE(SUBSTITUTE(SUBSTITUTE(SUBSTITUTE(SUBSTITUTE(TRIM(INDEX(Реестр!$D:$D, ROW())), "-", ""), " ", ""), CHAR(160), ""), CHAR(9), ""), CHAR(10), ""), CHAR(13), ""), CHAR(32), "")</f>
        <v/>
      </c>
      <c r="C384">
        <f>INDEX(Реестр!$H:$H, ROW())</f>
        <v/>
      </c>
      <c r="D384">
        <f>IF(OR(ISBLANK(INDEX(Реестр!$B:$B, ROW())), INDEX(Реестр!$B:$B, ROW())=""), " ", IF(IFERROR(ISNUMBER(--A384),FALSE), IF(LEN(A384)=10, IF(MOD(MOD(H384,11),10)=--RIGHT(A384,1), "OK", "ОШИБКА"), IF(LEN(A384)=12, IF(AND(MOD(MOD(H384,11),10)=--MID(A384,11,1), MOD(MOD(I384,11),10)=--RIGHT(A384,1)), "OK", "ОШИБКА"), "ДЛИНА (10 или 12)")), "НЕ ЦИФРЫ"))</f>
        <v/>
      </c>
      <c r="E384">
        <f>MID(B384,1,1)*9+MID(B384,2,1)*8+MID(B384,3,1)*7+MID(B384,4,1)*6+MID(B384,5,1)*5+MID(B384,6,1)*4+MID(B384,7,1)*3+MID(B384,8,1)*2+MID(B384,9,1)</f>
        <v/>
      </c>
      <c r="F384">
        <f>IF(B384="", " ", IF(LEN(B384)&lt;&gt;11, "ДЛИНА", IF(NOT(ISNUMBER(--B384)), "НЕ ЦИФРЫ", IF(LEFT(B384,9)*1&lt;=1001998, "OK", IF(RIGHT(B384,2)*1=IF(MOD(E384,101)&gt;=100,0,MOD(E384,101)),"OK","ОШИБКА")))))</f>
        <v/>
      </c>
      <c r="G3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4">
        <f>IF(LEN(TRIM(A384))=10, --MID(A384,1,1)*2+--MID(A384,2,1)*4+--MID(A384,3,1)*10+--MID(A384,4,1)*3+--MID(A384,5,1)*5+--MID(A384,6,1)*9+--MID(A384,7,1)*4+--MID(A384,8,1)*6+--MID(A384,9,1)*8, IF(LEN(TRIM(A384))=12, --MID(A384,1,1)*7+--MID(A384,2,1)*2+--MID(A384,3,1)*4+--MID(A384,4,1)*10+--MID(A384,5,1)*3+--MID(A384,6,1)*5+--MID(A384,7,1)*9+--MID(A384,8,1)*4+--MID(A384,9,1)*6+--MID(A384,10,1)*8, ""))</f>
        <v/>
      </c>
      <c r="I384">
        <f>IF(LEN(TRIM(A384))=12, --MID(A384,1,1)*3+--MID(A384,2,1)*7+--MID(A384,3,1)*2+--MID(A384,4,1)*4+--MID(A384,5,1)*10+--MID(A384,6,1)*3+--MID(A384,7,1)*5+--MID(A384,8,1)*9+--MID(A384,9,1)*4+--MID(A384,10,1)*6+--MID(A384,11,1)*8, "")</f>
        <v/>
      </c>
    </row>
    <row r="385">
      <c r="A385">
        <f>SUBSTITUTE(SUBSTITUTE(SUBSTITUTE(SUBSTITUTE(TRIM(INDEX(Реестр!$B:$B,ROW())),CHAR(160),""),CHAR(9),""),CHAR(10),""),CHAR(13),"")</f>
        <v/>
      </c>
      <c r="B385">
        <f>SUBSTITUTE(SUBSTITUTE(SUBSTITUTE(SUBSTITUTE(SUBSTITUTE(SUBSTITUTE(SUBSTITUTE(TRIM(INDEX(Реестр!$D:$D, ROW())), "-", ""), " ", ""), CHAR(160), ""), CHAR(9), ""), CHAR(10), ""), CHAR(13), ""), CHAR(32), "")</f>
        <v/>
      </c>
      <c r="C385">
        <f>INDEX(Реестр!$H:$H, ROW())</f>
        <v/>
      </c>
      <c r="D385">
        <f>IF(OR(ISBLANK(INDEX(Реестр!$B:$B, ROW())), INDEX(Реестр!$B:$B, ROW())=""), " ", IF(IFERROR(ISNUMBER(--A385),FALSE), IF(LEN(A385)=10, IF(MOD(MOD(H385,11),10)=--RIGHT(A385,1), "OK", "ОШИБКА"), IF(LEN(A385)=12, IF(AND(MOD(MOD(H385,11),10)=--MID(A385,11,1), MOD(MOD(I385,11),10)=--RIGHT(A385,1)), "OK", "ОШИБКА"), "ДЛИНА (10 или 12)")), "НЕ ЦИФРЫ"))</f>
        <v/>
      </c>
      <c r="E385">
        <f>MID(B385,1,1)*9+MID(B385,2,1)*8+MID(B385,3,1)*7+MID(B385,4,1)*6+MID(B385,5,1)*5+MID(B385,6,1)*4+MID(B385,7,1)*3+MID(B385,8,1)*2+MID(B385,9,1)</f>
        <v/>
      </c>
      <c r="F385">
        <f>IF(B385="", " ", IF(LEN(B385)&lt;&gt;11, "ДЛИНА", IF(NOT(ISNUMBER(--B385)), "НЕ ЦИФРЫ", IF(LEFT(B385,9)*1&lt;=1001998, "OK", IF(RIGHT(B385,2)*1=IF(MOD(E385,101)&gt;=100,0,MOD(E385,101)),"OK","ОШИБКА")))))</f>
        <v/>
      </c>
      <c r="G3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5">
        <f>IF(LEN(TRIM(A385))=10, --MID(A385,1,1)*2+--MID(A385,2,1)*4+--MID(A385,3,1)*10+--MID(A385,4,1)*3+--MID(A385,5,1)*5+--MID(A385,6,1)*9+--MID(A385,7,1)*4+--MID(A385,8,1)*6+--MID(A385,9,1)*8, IF(LEN(TRIM(A385))=12, --MID(A385,1,1)*7+--MID(A385,2,1)*2+--MID(A385,3,1)*4+--MID(A385,4,1)*10+--MID(A385,5,1)*3+--MID(A385,6,1)*5+--MID(A385,7,1)*9+--MID(A385,8,1)*4+--MID(A385,9,1)*6+--MID(A385,10,1)*8, ""))</f>
        <v/>
      </c>
      <c r="I385">
        <f>IF(LEN(TRIM(A385))=12, --MID(A385,1,1)*3+--MID(A385,2,1)*7+--MID(A385,3,1)*2+--MID(A385,4,1)*4+--MID(A385,5,1)*10+--MID(A385,6,1)*3+--MID(A385,7,1)*5+--MID(A385,8,1)*9+--MID(A385,9,1)*4+--MID(A385,10,1)*6+--MID(A385,11,1)*8, "")</f>
        <v/>
      </c>
    </row>
    <row r="386">
      <c r="A386">
        <f>SUBSTITUTE(SUBSTITUTE(SUBSTITUTE(SUBSTITUTE(TRIM(INDEX(Реестр!$B:$B,ROW())),CHAR(160),""),CHAR(9),""),CHAR(10),""),CHAR(13),"")</f>
        <v/>
      </c>
      <c r="B386">
        <f>SUBSTITUTE(SUBSTITUTE(SUBSTITUTE(SUBSTITUTE(SUBSTITUTE(SUBSTITUTE(SUBSTITUTE(TRIM(INDEX(Реестр!$D:$D, ROW())), "-", ""), " ", ""), CHAR(160), ""), CHAR(9), ""), CHAR(10), ""), CHAR(13), ""), CHAR(32), "")</f>
        <v/>
      </c>
      <c r="C386">
        <f>INDEX(Реестр!$H:$H, ROW())</f>
        <v/>
      </c>
      <c r="D386">
        <f>IF(OR(ISBLANK(INDEX(Реестр!$B:$B, ROW())), INDEX(Реестр!$B:$B, ROW())=""), " ", IF(IFERROR(ISNUMBER(--A386),FALSE), IF(LEN(A386)=10, IF(MOD(MOD(H386,11),10)=--RIGHT(A386,1), "OK", "ОШИБКА"), IF(LEN(A386)=12, IF(AND(MOD(MOD(H386,11),10)=--MID(A386,11,1), MOD(MOD(I386,11),10)=--RIGHT(A386,1)), "OK", "ОШИБКА"), "ДЛИНА (10 или 12)")), "НЕ ЦИФРЫ"))</f>
        <v/>
      </c>
      <c r="E386">
        <f>MID(B386,1,1)*9+MID(B386,2,1)*8+MID(B386,3,1)*7+MID(B386,4,1)*6+MID(B386,5,1)*5+MID(B386,6,1)*4+MID(B386,7,1)*3+MID(B386,8,1)*2+MID(B386,9,1)</f>
        <v/>
      </c>
      <c r="F386">
        <f>IF(B386="", " ", IF(LEN(B386)&lt;&gt;11, "ДЛИНА", IF(NOT(ISNUMBER(--B386)), "НЕ ЦИФРЫ", IF(LEFT(B386,9)*1&lt;=1001998, "OK", IF(RIGHT(B386,2)*1=IF(MOD(E386,101)&gt;=100,0,MOD(E386,101)),"OK","ОШИБКА")))))</f>
        <v/>
      </c>
      <c r="G3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6">
        <f>IF(LEN(TRIM(A386))=10, --MID(A386,1,1)*2+--MID(A386,2,1)*4+--MID(A386,3,1)*10+--MID(A386,4,1)*3+--MID(A386,5,1)*5+--MID(A386,6,1)*9+--MID(A386,7,1)*4+--MID(A386,8,1)*6+--MID(A386,9,1)*8, IF(LEN(TRIM(A386))=12, --MID(A386,1,1)*7+--MID(A386,2,1)*2+--MID(A386,3,1)*4+--MID(A386,4,1)*10+--MID(A386,5,1)*3+--MID(A386,6,1)*5+--MID(A386,7,1)*9+--MID(A386,8,1)*4+--MID(A386,9,1)*6+--MID(A386,10,1)*8, ""))</f>
        <v/>
      </c>
      <c r="I386">
        <f>IF(LEN(TRIM(A386))=12, --MID(A386,1,1)*3+--MID(A386,2,1)*7+--MID(A386,3,1)*2+--MID(A386,4,1)*4+--MID(A386,5,1)*10+--MID(A386,6,1)*3+--MID(A386,7,1)*5+--MID(A386,8,1)*9+--MID(A386,9,1)*4+--MID(A386,10,1)*6+--MID(A386,11,1)*8, "")</f>
        <v/>
      </c>
    </row>
    <row r="387">
      <c r="A387">
        <f>SUBSTITUTE(SUBSTITUTE(SUBSTITUTE(SUBSTITUTE(TRIM(INDEX(Реестр!$B:$B,ROW())),CHAR(160),""),CHAR(9),""),CHAR(10),""),CHAR(13),"")</f>
        <v/>
      </c>
      <c r="B387">
        <f>SUBSTITUTE(SUBSTITUTE(SUBSTITUTE(SUBSTITUTE(SUBSTITUTE(SUBSTITUTE(SUBSTITUTE(TRIM(INDEX(Реестр!$D:$D, ROW())), "-", ""), " ", ""), CHAR(160), ""), CHAR(9), ""), CHAR(10), ""), CHAR(13), ""), CHAR(32), "")</f>
        <v/>
      </c>
      <c r="C387">
        <f>INDEX(Реестр!$H:$H, ROW())</f>
        <v/>
      </c>
      <c r="D387">
        <f>IF(OR(ISBLANK(INDEX(Реестр!$B:$B, ROW())), INDEX(Реестр!$B:$B, ROW())=""), " ", IF(IFERROR(ISNUMBER(--A387),FALSE), IF(LEN(A387)=10, IF(MOD(MOD(H387,11),10)=--RIGHT(A387,1), "OK", "ОШИБКА"), IF(LEN(A387)=12, IF(AND(MOD(MOD(H387,11),10)=--MID(A387,11,1), MOD(MOD(I387,11),10)=--RIGHT(A387,1)), "OK", "ОШИБКА"), "ДЛИНА (10 или 12)")), "НЕ ЦИФРЫ"))</f>
        <v/>
      </c>
      <c r="E387">
        <f>MID(B387,1,1)*9+MID(B387,2,1)*8+MID(B387,3,1)*7+MID(B387,4,1)*6+MID(B387,5,1)*5+MID(B387,6,1)*4+MID(B387,7,1)*3+MID(B387,8,1)*2+MID(B387,9,1)</f>
        <v/>
      </c>
      <c r="F387">
        <f>IF(B387="", " ", IF(LEN(B387)&lt;&gt;11, "ДЛИНА", IF(NOT(ISNUMBER(--B387)), "НЕ ЦИФРЫ", IF(LEFT(B387,9)*1&lt;=1001998, "OK", IF(RIGHT(B387,2)*1=IF(MOD(E387,101)&gt;=100,0,MOD(E387,101)),"OK","ОШИБКА")))))</f>
        <v/>
      </c>
      <c r="G3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7">
        <f>IF(LEN(TRIM(A387))=10, --MID(A387,1,1)*2+--MID(A387,2,1)*4+--MID(A387,3,1)*10+--MID(A387,4,1)*3+--MID(A387,5,1)*5+--MID(A387,6,1)*9+--MID(A387,7,1)*4+--MID(A387,8,1)*6+--MID(A387,9,1)*8, IF(LEN(TRIM(A387))=12, --MID(A387,1,1)*7+--MID(A387,2,1)*2+--MID(A387,3,1)*4+--MID(A387,4,1)*10+--MID(A387,5,1)*3+--MID(A387,6,1)*5+--MID(A387,7,1)*9+--MID(A387,8,1)*4+--MID(A387,9,1)*6+--MID(A387,10,1)*8, ""))</f>
        <v/>
      </c>
      <c r="I387">
        <f>IF(LEN(TRIM(A387))=12, --MID(A387,1,1)*3+--MID(A387,2,1)*7+--MID(A387,3,1)*2+--MID(A387,4,1)*4+--MID(A387,5,1)*10+--MID(A387,6,1)*3+--MID(A387,7,1)*5+--MID(A387,8,1)*9+--MID(A387,9,1)*4+--MID(A387,10,1)*6+--MID(A387,11,1)*8, "")</f>
        <v/>
      </c>
    </row>
    <row r="388">
      <c r="A388">
        <f>SUBSTITUTE(SUBSTITUTE(SUBSTITUTE(SUBSTITUTE(TRIM(INDEX(Реестр!$B:$B,ROW())),CHAR(160),""),CHAR(9),""),CHAR(10),""),CHAR(13),"")</f>
        <v/>
      </c>
      <c r="B388">
        <f>SUBSTITUTE(SUBSTITUTE(SUBSTITUTE(SUBSTITUTE(SUBSTITUTE(SUBSTITUTE(SUBSTITUTE(TRIM(INDEX(Реестр!$D:$D, ROW())), "-", ""), " ", ""), CHAR(160), ""), CHAR(9), ""), CHAR(10), ""), CHAR(13), ""), CHAR(32), "")</f>
        <v/>
      </c>
      <c r="C388">
        <f>INDEX(Реестр!$H:$H, ROW())</f>
        <v/>
      </c>
      <c r="D388">
        <f>IF(OR(ISBLANK(INDEX(Реестр!$B:$B, ROW())), INDEX(Реестр!$B:$B, ROW())=""), " ", IF(IFERROR(ISNUMBER(--A388),FALSE), IF(LEN(A388)=10, IF(MOD(MOD(H388,11),10)=--RIGHT(A388,1), "OK", "ОШИБКА"), IF(LEN(A388)=12, IF(AND(MOD(MOD(H388,11),10)=--MID(A388,11,1), MOD(MOD(I388,11),10)=--RIGHT(A388,1)), "OK", "ОШИБКА"), "ДЛИНА (10 или 12)")), "НЕ ЦИФРЫ"))</f>
        <v/>
      </c>
      <c r="E388">
        <f>MID(B388,1,1)*9+MID(B388,2,1)*8+MID(B388,3,1)*7+MID(B388,4,1)*6+MID(B388,5,1)*5+MID(B388,6,1)*4+MID(B388,7,1)*3+MID(B388,8,1)*2+MID(B388,9,1)</f>
        <v/>
      </c>
      <c r="F388">
        <f>IF(B388="", " ", IF(LEN(B388)&lt;&gt;11, "ДЛИНА", IF(NOT(ISNUMBER(--B388)), "НЕ ЦИФРЫ", IF(LEFT(B388,9)*1&lt;=1001998, "OK", IF(RIGHT(B388,2)*1=IF(MOD(E388,101)&gt;=100,0,MOD(E388,101)),"OK","ОШИБКА")))))</f>
        <v/>
      </c>
      <c r="G3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8">
        <f>IF(LEN(TRIM(A388))=10, --MID(A388,1,1)*2+--MID(A388,2,1)*4+--MID(A388,3,1)*10+--MID(A388,4,1)*3+--MID(A388,5,1)*5+--MID(A388,6,1)*9+--MID(A388,7,1)*4+--MID(A388,8,1)*6+--MID(A388,9,1)*8, IF(LEN(TRIM(A388))=12, --MID(A388,1,1)*7+--MID(A388,2,1)*2+--MID(A388,3,1)*4+--MID(A388,4,1)*10+--MID(A388,5,1)*3+--MID(A388,6,1)*5+--MID(A388,7,1)*9+--MID(A388,8,1)*4+--MID(A388,9,1)*6+--MID(A388,10,1)*8, ""))</f>
        <v/>
      </c>
      <c r="I388">
        <f>IF(LEN(TRIM(A388))=12, --MID(A388,1,1)*3+--MID(A388,2,1)*7+--MID(A388,3,1)*2+--MID(A388,4,1)*4+--MID(A388,5,1)*10+--MID(A388,6,1)*3+--MID(A388,7,1)*5+--MID(A388,8,1)*9+--MID(A388,9,1)*4+--MID(A388,10,1)*6+--MID(A388,11,1)*8, "")</f>
        <v/>
      </c>
    </row>
    <row r="389">
      <c r="A389">
        <f>SUBSTITUTE(SUBSTITUTE(SUBSTITUTE(SUBSTITUTE(TRIM(INDEX(Реестр!$B:$B,ROW())),CHAR(160),""),CHAR(9),""),CHAR(10),""),CHAR(13),"")</f>
        <v/>
      </c>
      <c r="B389">
        <f>SUBSTITUTE(SUBSTITUTE(SUBSTITUTE(SUBSTITUTE(SUBSTITUTE(SUBSTITUTE(SUBSTITUTE(TRIM(INDEX(Реестр!$D:$D, ROW())), "-", ""), " ", ""), CHAR(160), ""), CHAR(9), ""), CHAR(10), ""), CHAR(13), ""), CHAR(32), "")</f>
        <v/>
      </c>
      <c r="C389">
        <f>INDEX(Реестр!$H:$H, ROW())</f>
        <v/>
      </c>
      <c r="D389">
        <f>IF(OR(ISBLANK(INDEX(Реестр!$B:$B, ROW())), INDEX(Реестр!$B:$B, ROW())=""), " ", IF(IFERROR(ISNUMBER(--A389),FALSE), IF(LEN(A389)=10, IF(MOD(MOD(H389,11),10)=--RIGHT(A389,1), "OK", "ОШИБКА"), IF(LEN(A389)=12, IF(AND(MOD(MOD(H389,11),10)=--MID(A389,11,1), MOD(MOD(I389,11),10)=--RIGHT(A389,1)), "OK", "ОШИБКА"), "ДЛИНА (10 или 12)")), "НЕ ЦИФРЫ"))</f>
        <v/>
      </c>
      <c r="E389">
        <f>MID(B389,1,1)*9+MID(B389,2,1)*8+MID(B389,3,1)*7+MID(B389,4,1)*6+MID(B389,5,1)*5+MID(B389,6,1)*4+MID(B389,7,1)*3+MID(B389,8,1)*2+MID(B389,9,1)</f>
        <v/>
      </c>
      <c r="F389">
        <f>IF(B389="", " ", IF(LEN(B389)&lt;&gt;11, "ДЛИНА", IF(NOT(ISNUMBER(--B389)), "НЕ ЦИФРЫ", IF(LEFT(B389,9)*1&lt;=1001998, "OK", IF(RIGHT(B389,2)*1=IF(MOD(E389,101)&gt;=100,0,MOD(E389,101)),"OK","ОШИБКА")))))</f>
        <v/>
      </c>
      <c r="G3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89">
        <f>IF(LEN(TRIM(A389))=10, --MID(A389,1,1)*2+--MID(A389,2,1)*4+--MID(A389,3,1)*10+--MID(A389,4,1)*3+--MID(A389,5,1)*5+--MID(A389,6,1)*9+--MID(A389,7,1)*4+--MID(A389,8,1)*6+--MID(A389,9,1)*8, IF(LEN(TRIM(A389))=12, --MID(A389,1,1)*7+--MID(A389,2,1)*2+--MID(A389,3,1)*4+--MID(A389,4,1)*10+--MID(A389,5,1)*3+--MID(A389,6,1)*5+--MID(A389,7,1)*9+--MID(A389,8,1)*4+--MID(A389,9,1)*6+--MID(A389,10,1)*8, ""))</f>
        <v/>
      </c>
      <c r="I389">
        <f>IF(LEN(TRIM(A389))=12, --MID(A389,1,1)*3+--MID(A389,2,1)*7+--MID(A389,3,1)*2+--MID(A389,4,1)*4+--MID(A389,5,1)*10+--MID(A389,6,1)*3+--MID(A389,7,1)*5+--MID(A389,8,1)*9+--MID(A389,9,1)*4+--MID(A389,10,1)*6+--MID(A389,11,1)*8, "")</f>
        <v/>
      </c>
    </row>
    <row r="390">
      <c r="A390">
        <f>SUBSTITUTE(SUBSTITUTE(SUBSTITUTE(SUBSTITUTE(TRIM(INDEX(Реестр!$B:$B,ROW())),CHAR(160),""),CHAR(9),""),CHAR(10),""),CHAR(13),"")</f>
        <v/>
      </c>
      <c r="B390">
        <f>SUBSTITUTE(SUBSTITUTE(SUBSTITUTE(SUBSTITUTE(SUBSTITUTE(SUBSTITUTE(SUBSTITUTE(TRIM(INDEX(Реестр!$D:$D, ROW())), "-", ""), " ", ""), CHAR(160), ""), CHAR(9), ""), CHAR(10), ""), CHAR(13), ""), CHAR(32), "")</f>
        <v/>
      </c>
      <c r="C390">
        <f>INDEX(Реестр!$H:$H, ROW())</f>
        <v/>
      </c>
      <c r="D390">
        <f>IF(OR(ISBLANK(INDEX(Реестр!$B:$B, ROW())), INDEX(Реестр!$B:$B, ROW())=""), " ", IF(IFERROR(ISNUMBER(--A390),FALSE), IF(LEN(A390)=10, IF(MOD(MOD(H390,11),10)=--RIGHT(A390,1), "OK", "ОШИБКА"), IF(LEN(A390)=12, IF(AND(MOD(MOD(H390,11),10)=--MID(A390,11,1), MOD(MOD(I390,11),10)=--RIGHT(A390,1)), "OK", "ОШИБКА"), "ДЛИНА (10 или 12)")), "НЕ ЦИФРЫ"))</f>
        <v/>
      </c>
      <c r="E390">
        <f>MID(B390,1,1)*9+MID(B390,2,1)*8+MID(B390,3,1)*7+MID(B390,4,1)*6+MID(B390,5,1)*5+MID(B390,6,1)*4+MID(B390,7,1)*3+MID(B390,8,1)*2+MID(B390,9,1)</f>
        <v/>
      </c>
      <c r="F390">
        <f>IF(B390="", " ", IF(LEN(B390)&lt;&gt;11, "ДЛИНА", IF(NOT(ISNUMBER(--B390)), "НЕ ЦИФРЫ", IF(LEFT(B390,9)*1&lt;=1001998, "OK", IF(RIGHT(B390,2)*1=IF(MOD(E390,101)&gt;=100,0,MOD(E390,101)),"OK","ОШИБКА")))))</f>
        <v/>
      </c>
      <c r="G3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0">
        <f>IF(LEN(TRIM(A390))=10, --MID(A390,1,1)*2+--MID(A390,2,1)*4+--MID(A390,3,1)*10+--MID(A390,4,1)*3+--MID(A390,5,1)*5+--MID(A390,6,1)*9+--MID(A390,7,1)*4+--MID(A390,8,1)*6+--MID(A390,9,1)*8, IF(LEN(TRIM(A390))=12, --MID(A390,1,1)*7+--MID(A390,2,1)*2+--MID(A390,3,1)*4+--MID(A390,4,1)*10+--MID(A390,5,1)*3+--MID(A390,6,1)*5+--MID(A390,7,1)*9+--MID(A390,8,1)*4+--MID(A390,9,1)*6+--MID(A390,10,1)*8, ""))</f>
        <v/>
      </c>
      <c r="I390">
        <f>IF(LEN(TRIM(A390))=12, --MID(A390,1,1)*3+--MID(A390,2,1)*7+--MID(A390,3,1)*2+--MID(A390,4,1)*4+--MID(A390,5,1)*10+--MID(A390,6,1)*3+--MID(A390,7,1)*5+--MID(A390,8,1)*9+--MID(A390,9,1)*4+--MID(A390,10,1)*6+--MID(A390,11,1)*8, "")</f>
        <v/>
      </c>
    </row>
    <row r="391">
      <c r="A391">
        <f>SUBSTITUTE(SUBSTITUTE(SUBSTITUTE(SUBSTITUTE(TRIM(INDEX(Реестр!$B:$B,ROW())),CHAR(160),""),CHAR(9),""),CHAR(10),""),CHAR(13),"")</f>
        <v/>
      </c>
      <c r="B391">
        <f>SUBSTITUTE(SUBSTITUTE(SUBSTITUTE(SUBSTITUTE(SUBSTITUTE(SUBSTITUTE(SUBSTITUTE(TRIM(INDEX(Реестр!$D:$D, ROW())), "-", ""), " ", ""), CHAR(160), ""), CHAR(9), ""), CHAR(10), ""), CHAR(13), ""), CHAR(32), "")</f>
        <v/>
      </c>
      <c r="C391">
        <f>INDEX(Реестр!$H:$H, ROW())</f>
        <v/>
      </c>
      <c r="D391">
        <f>IF(OR(ISBLANK(INDEX(Реестр!$B:$B, ROW())), INDEX(Реестр!$B:$B, ROW())=""), " ", IF(IFERROR(ISNUMBER(--A391),FALSE), IF(LEN(A391)=10, IF(MOD(MOD(H391,11),10)=--RIGHT(A391,1), "OK", "ОШИБКА"), IF(LEN(A391)=12, IF(AND(MOD(MOD(H391,11),10)=--MID(A391,11,1), MOD(MOD(I391,11),10)=--RIGHT(A391,1)), "OK", "ОШИБКА"), "ДЛИНА (10 или 12)")), "НЕ ЦИФРЫ"))</f>
        <v/>
      </c>
      <c r="E391">
        <f>MID(B391,1,1)*9+MID(B391,2,1)*8+MID(B391,3,1)*7+MID(B391,4,1)*6+MID(B391,5,1)*5+MID(B391,6,1)*4+MID(B391,7,1)*3+MID(B391,8,1)*2+MID(B391,9,1)</f>
        <v/>
      </c>
      <c r="F391">
        <f>IF(B391="", " ", IF(LEN(B391)&lt;&gt;11, "ДЛИНА", IF(NOT(ISNUMBER(--B391)), "НЕ ЦИФРЫ", IF(LEFT(B391,9)*1&lt;=1001998, "OK", IF(RIGHT(B391,2)*1=IF(MOD(E391,101)&gt;=100,0,MOD(E391,101)),"OK","ОШИБКА")))))</f>
        <v/>
      </c>
      <c r="G3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1">
        <f>IF(LEN(TRIM(A391))=10, --MID(A391,1,1)*2+--MID(A391,2,1)*4+--MID(A391,3,1)*10+--MID(A391,4,1)*3+--MID(A391,5,1)*5+--MID(A391,6,1)*9+--MID(A391,7,1)*4+--MID(A391,8,1)*6+--MID(A391,9,1)*8, IF(LEN(TRIM(A391))=12, --MID(A391,1,1)*7+--MID(A391,2,1)*2+--MID(A391,3,1)*4+--MID(A391,4,1)*10+--MID(A391,5,1)*3+--MID(A391,6,1)*5+--MID(A391,7,1)*9+--MID(A391,8,1)*4+--MID(A391,9,1)*6+--MID(A391,10,1)*8, ""))</f>
        <v/>
      </c>
      <c r="I391">
        <f>IF(LEN(TRIM(A391))=12, --MID(A391,1,1)*3+--MID(A391,2,1)*7+--MID(A391,3,1)*2+--MID(A391,4,1)*4+--MID(A391,5,1)*10+--MID(A391,6,1)*3+--MID(A391,7,1)*5+--MID(A391,8,1)*9+--MID(A391,9,1)*4+--MID(A391,10,1)*6+--MID(A391,11,1)*8, "")</f>
        <v/>
      </c>
    </row>
    <row r="392">
      <c r="A392">
        <f>SUBSTITUTE(SUBSTITUTE(SUBSTITUTE(SUBSTITUTE(TRIM(INDEX(Реестр!$B:$B,ROW())),CHAR(160),""),CHAR(9),""),CHAR(10),""),CHAR(13),"")</f>
        <v/>
      </c>
      <c r="B392">
        <f>SUBSTITUTE(SUBSTITUTE(SUBSTITUTE(SUBSTITUTE(SUBSTITUTE(SUBSTITUTE(SUBSTITUTE(TRIM(INDEX(Реестр!$D:$D, ROW())), "-", ""), " ", ""), CHAR(160), ""), CHAR(9), ""), CHAR(10), ""), CHAR(13), ""), CHAR(32), "")</f>
        <v/>
      </c>
      <c r="C392">
        <f>INDEX(Реестр!$H:$H, ROW())</f>
        <v/>
      </c>
      <c r="D392">
        <f>IF(OR(ISBLANK(INDEX(Реестр!$B:$B, ROW())), INDEX(Реестр!$B:$B, ROW())=""), " ", IF(IFERROR(ISNUMBER(--A392),FALSE), IF(LEN(A392)=10, IF(MOD(MOD(H392,11),10)=--RIGHT(A392,1), "OK", "ОШИБКА"), IF(LEN(A392)=12, IF(AND(MOD(MOD(H392,11),10)=--MID(A392,11,1), MOD(MOD(I392,11),10)=--RIGHT(A392,1)), "OK", "ОШИБКА"), "ДЛИНА (10 или 12)")), "НЕ ЦИФРЫ"))</f>
        <v/>
      </c>
      <c r="E392">
        <f>MID(B392,1,1)*9+MID(B392,2,1)*8+MID(B392,3,1)*7+MID(B392,4,1)*6+MID(B392,5,1)*5+MID(B392,6,1)*4+MID(B392,7,1)*3+MID(B392,8,1)*2+MID(B392,9,1)</f>
        <v/>
      </c>
      <c r="F392">
        <f>IF(B392="", " ", IF(LEN(B392)&lt;&gt;11, "ДЛИНА", IF(NOT(ISNUMBER(--B392)), "НЕ ЦИФРЫ", IF(LEFT(B392,9)*1&lt;=1001998, "OK", IF(RIGHT(B392,2)*1=IF(MOD(E392,101)&gt;=100,0,MOD(E392,101)),"OK","ОШИБКА")))))</f>
        <v/>
      </c>
      <c r="G3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2">
        <f>IF(LEN(TRIM(A392))=10, --MID(A392,1,1)*2+--MID(A392,2,1)*4+--MID(A392,3,1)*10+--MID(A392,4,1)*3+--MID(A392,5,1)*5+--MID(A392,6,1)*9+--MID(A392,7,1)*4+--MID(A392,8,1)*6+--MID(A392,9,1)*8, IF(LEN(TRIM(A392))=12, --MID(A392,1,1)*7+--MID(A392,2,1)*2+--MID(A392,3,1)*4+--MID(A392,4,1)*10+--MID(A392,5,1)*3+--MID(A392,6,1)*5+--MID(A392,7,1)*9+--MID(A392,8,1)*4+--MID(A392,9,1)*6+--MID(A392,10,1)*8, ""))</f>
        <v/>
      </c>
      <c r="I392">
        <f>IF(LEN(TRIM(A392))=12, --MID(A392,1,1)*3+--MID(A392,2,1)*7+--MID(A392,3,1)*2+--MID(A392,4,1)*4+--MID(A392,5,1)*10+--MID(A392,6,1)*3+--MID(A392,7,1)*5+--MID(A392,8,1)*9+--MID(A392,9,1)*4+--MID(A392,10,1)*6+--MID(A392,11,1)*8, "")</f>
        <v/>
      </c>
    </row>
    <row r="393">
      <c r="A393">
        <f>SUBSTITUTE(SUBSTITUTE(SUBSTITUTE(SUBSTITUTE(TRIM(INDEX(Реестр!$B:$B,ROW())),CHAR(160),""),CHAR(9),""),CHAR(10),""),CHAR(13),"")</f>
        <v/>
      </c>
      <c r="B393">
        <f>SUBSTITUTE(SUBSTITUTE(SUBSTITUTE(SUBSTITUTE(SUBSTITUTE(SUBSTITUTE(SUBSTITUTE(TRIM(INDEX(Реестр!$D:$D, ROW())), "-", ""), " ", ""), CHAR(160), ""), CHAR(9), ""), CHAR(10), ""), CHAR(13), ""), CHAR(32), "")</f>
        <v/>
      </c>
      <c r="C393">
        <f>INDEX(Реестр!$H:$H, ROW())</f>
        <v/>
      </c>
      <c r="D393">
        <f>IF(OR(ISBLANK(INDEX(Реестр!$B:$B, ROW())), INDEX(Реестр!$B:$B, ROW())=""), " ", IF(IFERROR(ISNUMBER(--A393),FALSE), IF(LEN(A393)=10, IF(MOD(MOD(H393,11),10)=--RIGHT(A393,1), "OK", "ОШИБКА"), IF(LEN(A393)=12, IF(AND(MOD(MOD(H393,11),10)=--MID(A393,11,1), MOD(MOD(I393,11),10)=--RIGHT(A393,1)), "OK", "ОШИБКА"), "ДЛИНА (10 или 12)")), "НЕ ЦИФРЫ"))</f>
        <v/>
      </c>
      <c r="E393">
        <f>MID(B393,1,1)*9+MID(B393,2,1)*8+MID(B393,3,1)*7+MID(B393,4,1)*6+MID(B393,5,1)*5+MID(B393,6,1)*4+MID(B393,7,1)*3+MID(B393,8,1)*2+MID(B393,9,1)</f>
        <v/>
      </c>
      <c r="F393">
        <f>IF(B393="", " ", IF(LEN(B393)&lt;&gt;11, "ДЛИНА", IF(NOT(ISNUMBER(--B393)), "НЕ ЦИФРЫ", IF(LEFT(B393,9)*1&lt;=1001998, "OK", IF(RIGHT(B393,2)*1=IF(MOD(E393,101)&gt;=100,0,MOD(E393,101)),"OK","ОШИБКА")))))</f>
        <v/>
      </c>
      <c r="G3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3">
        <f>IF(LEN(TRIM(A393))=10, --MID(A393,1,1)*2+--MID(A393,2,1)*4+--MID(A393,3,1)*10+--MID(A393,4,1)*3+--MID(A393,5,1)*5+--MID(A393,6,1)*9+--MID(A393,7,1)*4+--MID(A393,8,1)*6+--MID(A393,9,1)*8, IF(LEN(TRIM(A393))=12, --MID(A393,1,1)*7+--MID(A393,2,1)*2+--MID(A393,3,1)*4+--MID(A393,4,1)*10+--MID(A393,5,1)*3+--MID(A393,6,1)*5+--MID(A393,7,1)*9+--MID(A393,8,1)*4+--MID(A393,9,1)*6+--MID(A393,10,1)*8, ""))</f>
        <v/>
      </c>
      <c r="I393">
        <f>IF(LEN(TRIM(A393))=12, --MID(A393,1,1)*3+--MID(A393,2,1)*7+--MID(A393,3,1)*2+--MID(A393,4,1)*4+--MID(A393,5,1)*10+--MID(A393,6,1)*3+--MID(A393,7,1)*5+--MID(A393,8,1)*9+--MID(A393,9,1)*4+--MID(A393,10,1)*6+--MID(A393,11,1)*8, "")</f>
        <v/>
      </c>
    </row>
    <row r="394">
      <c r="A394">
        <f>SUBSTITUTE(SUBSTITUTE(SUBSTITUTE(SUBSTITUTE(TRIM(INDEX(Реестр!$B:$B,ROW())),CHAR(160),""),CHAR(9),""),CHAR(10),""),CHAR(13),"")</f>
        <v/>
      </c>
      <c r="B394">
        <f>SUBSTITUTE(SUBSTITUTE(SUBSTITUTE(SUBSTITUTE(SUBSTITUTE(SUBSTITUTE(SUBSTITUTE(TRIM(INDEX(Реестр!$D:$D, ROW())), "-", ""), " ", ""), CHAR(160), ""), CHAR(9), ""), CHAR(10), ""), CHAR(13), ""), CHAR(32), "")</f>
        <v/>
      </c>
      <c r="C394">
        <f>INDEX(Реестр!$H:$H, ROW())</f>
        <v/>
      </c>
      <c r="D394">
        <f>IF(OR(ISBLANK(INDEX(Реестр!$B:$B, ROW())), INDEX(Реестр!$B:$B, ROW())=""), " ", IF(IFERROR(ISNUMBER(--A394),FALSE), IF(LEN(A394)=10, IF(MOD(MOD(H394,11),10)=--RIGHT(A394,1), "OK", "ОШИБКА"), IF(LEN(A394)=12, IF(AND(MOD(MOD(H394,11),10)=--MID(A394,11,1), MOD(MOD(I394,11),10)=--RIGHT(A394,1)), "OK", "ОШИБКА"), "ДЛИНА (10 или 12)")), "НЕ ЦИФРЫ"))</f>
        <v/>
      </c>
      <c r="E394">
        <f>MID(B394,1,1)*9+MID(B394,2,1)*8+MID(B394,3,1)*7+MID(B394,4,1)*6+MID(B394,5,1)*5+MID(B394,6,1)*4+MID(B394,7,1)*3+MID(B394,8,1)*2+MID(B394,9,1)</f>
        <v/>
      </c>
      <c r="F394">
        <f>IF(B394="", " ", IF(LEN(B394)&lt;&gt;11, "ДЛИНА", IF(NOT(ISNUMBER(--B394)), "НЕ ЦИФРЫ", IF(LEFT(B394,9)*1&lt;=1001998, "OK", IF(RIGHT(B394,2)*1=IF(MOD(E394,101)&gt;=100,0,MOD(E394,101)),"OK","ОШИБКА")))))</f>
        <v/>
      </c>
      <c r="G3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4">
        <f>IF(LEN(TRIM(A394))=10, --MID(A394,1,1)*2+--MID(A394,2,1)*4+--MID(A394,3,1)*10+--MID(A394,4,1)*3+--MID(A394,5,1)*5+--MID(A394,6,1)*9+--MID(A394,7,1)*4+--MID(A394,8,1)*6+--MID(A394,9,1)*8, IF(LEN(TRIM(A394))=12, --MID(A394,1,1)*7+--MID(A394,2,1)*2+--MID(A394,3,1)*4+--MID(A394,4,1)*10+--MID(A394,5,1)*3+--MID(A394,6,1)*5+--MID(A394,7,1)*9+--MID(A394,8,1)*4+--MID(A394,9,1)*6+--MID(A394,10,1)*8, ""))</f>
        <v/>
      </c>
      <c r="I394">
        <f>IF(LEN(TRIM(A394))=12, --MID(A394,1,1)*3+--MID(A394,2,1)*7+--MID(A394,3,1)*2+--MID(A394,4,1)*4+--MID(A394,5,1)*10+--MID(A394,6,1)*3+--MID(A394,7,1)*5+--MID(A394,8,1)*9+--MID(A394,9,1)*4+--MID(A394,10,1)*6+--MID(A394,11,1)*8, "")</f>
        <v/>
      </c>
    </row>
    <row r="395">
      <c r="A395">
        <f>SUBSTITUTE(SUBSTITUTE(SUBSTITUTE(SUBSTITUTE(TRIM(INDEX(Реестр!$B:$B,ROW())),CHAR(160),""),CHAR(9),""),CHAR(10),""),CHAR(13),"")</f>
        <v/>
      </c>
      <c r="B395">
        <f>SUBSTITUTE(SUBSTITUTE(SUBSTITUTE(SUBSTITUTE(SUBSTITUTE(SUBSTITUTE(SUBSTITUTE(TRIM(INDEX(Реестр!$D:$D, ROW())), "-", ""), " ", ""), CHAR(160), ""), CHAR(9), ""), CHAR(10), ""), CHAR(13), ""), CHAR(32), "")</f>
        <v/>
      </c>
      <c r="C395">
        <f>INDEX(Реестр!$H:$H, ROW())</f>
        <v/>
      </c>
      <c r="D395">
        <f>IF(OR(ISBLANK(INDEX(Реестр!$B:$B, ROW())), INDEX(Реестр!$B:$B, ROW())=""), " ", IF(IFERROR(ISNUMBER(--A395),FALSE), IF(LEN(A395)=10, IF(MOD(MOD(H395,11),10)=--RIGHT(A395,1), "OK", "ОШИБКА"), IF(LEN(A395)=12, IF(AND(MOD(MOD(H395,11),10)=--MID(A395,11,1), MOD(MOD(I395,11),10)=--RIGHT(A395,1)), "OK", "ОШИБКА"), "ДЛИНА (10 или 12)")), "НЕ ЦИФРЫ"))</f>
        <v/>
      </c>
      <c r="E395">
        <f>MID(B395,1,1)*9+MID(B395,2,1)*8+MID(B395,3,1)*7+MID(B395,4,1)*6+MID(B395,5,1)*5+MID(B395,6,1)*4+MID(B395,7,1)*3+MID(B395,8,1)*2+MID(B395,9,1)</f>
        <v/>
      </c>
      <c r="F395">
        <f>IF(B395="", " ", IF(LEN(B395)&lt;&gt;11, "ДЛИНА", IF(NOT(ISNUMBER(--B395)), "НЕ ЦИФРЫ", IF(LEFT(B395,9)*1&lt;=1001998, "OK", IF(RIGHT(B395,2)*1=IF(MOD(E395,101)&gt;=100,0,MOD(E395,101)),"OK","ОШИБКА")))))</f>
        <v/>
      </c>
      <c r="G3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5">
        <f>IF(LEN(TRIM(A395))=10, --MID(A395,1,1)*2+--MID(A395,2,1)*4+--MID(A395,3,1)*10+--MID(A395,4,1)*3+--MID(A395,5,1)*5+--MID(A395,6,1)*9+--MID(A395,7,1)*4+--MID(A395,8,1)*6+--MID(A395,9,1)*8, IF(LEN(TRIM(A395))=12, --MID(A395,1,1)*7+--MID(A395,2,1)*2+--MID(A395,3,1)*4+--MID(A395,4,1)*10+--MID(A395,5,1)*3+--MID(A395,6,1)*5+--MID(A395,7,1)*9+--MID(A395,8,1)*4+--MID(A395,9,1)*6+--MID(A395,10,1)*8, ""))</f>
        <v/>
      </c>
      <c r="I395">
        <f>IF(LEN(TRIM(A395))=12, --MID(A395,1,1)*3+--MID(A395,2,1)*7+--MID(A395,3,1)*2+--MID(A395,4,1)*4+--MID(A395,5,1)*10+--MID(A395,6,1)*3+--MID(A395,7,1)*5+--MID(A395,8,1)*9+--MID(A395,9,1)*4+--MID(A395,10,1)*6+--MID(A395,11,1)*8, "")</f>
        <v/>
      </c>
    </row>
    <row r="396">
      <c r="A396">
        <f>SUBSTITUTE(SUBSTITUTE(SUBSTITUTE(SUBSTITUTE(TRIM(INDEX(Реестр!$B:$B,ROW())),CHAR(160),""),CHAR(9),""),CHAR(10),""),CHAR(13),"")</f>
        <v/>
      </c>
      <c r="B396">
        <f>SUBSTITUTE(SUBSTITUTE(SUBSTITUTE(SUBSTITUTE(SUBSTITUTE(SUBSTITUTE(SUBSTITUTE(TRIM(INDEX(Реестр!$D:$D, ROW())), "-", ""), " ", ""), CHAR(160), ""), CHAR(9), ""), CHAR(10), ""), CHAR(13), ""), CHAR(32), "")</f>
        <v/>
      </c>
      <c r="C396">
        <f>INDEX(Реестр!$H:$H, ROW())</f>
        <v/>
      </c>
      <c r="D396">
        <f>IF(OR(ISBLANK(INDEX(Реестр!$B:$B, ROW())), INDEX(Реестр!$B:$B, ROW())=""), " ", IF(IFERROR(ISNUMBER(--A396),FALSE), IF(LEN(A396)=10, IF(MOD(MOD(H396,11),10)=--RIGHT(A396,1), "OK", "ОШИБКА"), IF(LEN(A396)=12, IF(AND(MOD(MOD(H396,11),10)=--MID(A396,11,1), MOD(MOD(I396,11),10)=--RIGHT(A396,1)), "OK", "ОШИБКА"), "ДЛИНА (10 или 12)")), "НЕ ЦИФРЫ"))</f>
        <v/>
      </c>
      <c r="E396">
        <f>MID(B396,1,1)*9+MID(B396,2,1)*8+MID(B396,3,1)*7+MID(B396,4,1)*6+MID(B396,5,1)*5+MID(B396,6,1)*4+MID(B396,7,1)*3+MID(B396,8,1)*2+MID(B396,9,1)</f>
        <v/>
      </c>
      <c r="F396">
        <f>IF(B396="", " ", IF(LEN(B396)&lt;&gt;11, "ДЛИНА", IF(NOT(ISNUMBER(--B396)), "НЕ ЦИФРЫ", IF(LEFT(B396,9)*1&lt;=1001998, "OK", IF(RIGHT(B396,2)*1=IF(MOD(E396,101)&gt;=100,0,MOD(E396,101)),"OK","ОШИБКА")))))</f>
        <v/>
      </c>
      <c r="G3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6">
        <f>IF(LEN(TRIM(A396))=10, --MID(A396,1,1)*2+--MID(A396,2,1)*4+--MID(A396,3,1)*10+--MID(A396,4,1)*3+--MID(A396,5,1)*5+--MID(A396,6,1)*9+--MID(A396,7,1)*4+--MID(A396,8,1)*6+--MID(A396,9,1)*8, IF(LEN(TRIM(A396))=12, --MID(A396,1,1)*7+--MID(A396,2,1)*2+--MID(A396,3,1)*4+--MID(A396,4,1)*10+--MID(A396,5,1)*3+--MID(A396,6,1)*5+--MID(A396,7,1)*9+--MID(A396,8,1)*4+--MID(A396,9,1)*6+--MID(A396,10,1)*8, ""))</f>
        <v/>
      </c>
      <c r="I396">
        <f>IF(LEN(TRIM(A396))=12, --MID(A396,1,1)*3+--MID(A396,2,1)*7+--MID(A396,3,1)*2+--MID(A396,4,1)*4+--MID(A396,5,1)*10+--MID(A396,6,1)*3+--MID(A396,7,1)*5+--MID(A396,8,1)*9+--MID(A396,9,1)*4+--MID(A396,10,1)*6+--MID(A396,11,1)*8, "")</f>
        <v/>
      </c>
    </row>
    <row r="397">
      <c r="A397">
        <f>SUBSTITUTE(SUBSTITUTE(SUBSTITUTE(SUBSTITUTE(TRIM(INDEX(Реестр!$B:$B,ROW())),CHAR(160),""),CHAR(9),""),CHAR(10),""),CHAR(13),"")</f>
        <v/>
      </c>
      <c r="B397">
        <f>SUBSTITUTE(SUBSTITUTE(SUBSTITUTE(SUBSTITUTE(SUBSTITUTE(SUBSTITUTE(SUBSTITUTE(TRIM(INDEX(Реестр!$D:$D, ROW())), "-", ""), " ", ""), CHAR(160), ""), CHAR(9), ""), CHAR(10), ""), CHAR(13), ""), CHAR(32), "")</f>
        <v/>
      </c>
      <c r="C397">
        <f>INDEX(Реестр!$H:$H, ROW())</f>
        <v/>
      </c>
      <c r="D397">
        <f>IF(OR(ISBLANK(INDEX(Реестр!$B:$B, ROW())), INDEX(Реестр!$B:$B, ROW())=""), " ", IF(IFERROR(ISNUMBER(--A397),FALSE), IF(LEN(A397)=10, IF(MOD(MOD(H397,11),10)=--RIGHT(A397,1), "OK", "ОШИБКА"), IF(LEN(A397)=12, IF(AND(MOD(MOD(H397,11),10)=--MID(A397,11,1), MOD(MOD(I397,11),10)=--RIGHT(A397,1)), "OK", "ОШИБКА"), "ДЛИНА (10 или 12)")), "НЕ ЦИФРЫ"))</f>
        <v/>
      </c>
      <c r="E397">
        <f>MID(B397,1,1)*9+MID(B397,2,1)*8+MID(B397,3,1)*7+MID(B397,4,1)*6+MID(B397,5,1)*5+MID(B397,6,1)*4+MID(B397,7,1)*3+MID(B397,8,1)*2+MID(B397,9,1)</f>
        <v/>
      </c>
      <c r="F397">
        <f>IF(B397="", " ", IF(LEN(B397)&lt;&gt;11, "ДЛИНА", IF(NOT(ISNUMBER(--B397)), "НЕ ЦИФРЫ", IF(LEFT(B397,9)*1&lt;=1001998, "OK", IF(RIGHT(B397,2)*1=IF(MOD(E397,101)&gt;=100,0,MOD(E397,101)),"OK","ОШИБКА")))))</f>
        <v/>
      </c>
      <c r="G3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7">
        <f>IF(LEN(TRIM(A397))=10, --MID(A397,1,1)*2+--MID(A397,2,1)*4+--MID(A397,3,1)*10+--MID(A397,4,1)*3+--MID(A397,5,1)*5+--MID(A397,6,1)*9+--MID(A397,7,1)*4+--MID(A397,8,1)*6+--MID(A397,9,1)*8, IF(LEN(TRIM(A397))=12, --MID(A397,1,1)*7+--MID(A397,2,1)*2+--MID(A397,3,1)*4+--MID(A397,4,1)*10+--MID(A397,5,1)*3+--MID(A397,6,1)*5+--MID(A397,7,1)*9+--MID(A397,8,1)*4+--MID(A397,9,1)*6+--MID(A397,10,1)*8, ""))</f>
        <v/>
      </c>
      <c r="I397">
        <f>IF(LEN(TRIM(A397))=12, --MID(A397,1,1)*3+--MID(A397,2,1)*7+--MID(A397,3,1)*2+--MID(A397,4,1)*4+--MID(A397,5,1)*10+--MID(A397,6,1)*3+--MID(A397,7,1)*5+--MID(A397,8,1)*9+--MID(A397,9,1)*4+--MID(A397,10,1)*6+--MID(A397,11,1)*8, "")</f>
        <v/>
      </c>
    </row>
    <row r="398">
      <c r="A398">
        <f>SUBSTITUTE(SUBSTITUTE(SUBSTITUTE(SUBSTITUTE(TRIM(INDEX(Реестр!$B:$B,ROW())),CHAR(160),""),CHAR(9),""),CHAR(10),""),CHAR(13),"")</f>
        <v/>
      </c>
      <c r="B398">
        <f>SUBSTITUTE(SUBSTITUTE(SUBSTITUTE(SUBSTITUTE(SUBSTITUTE(SUBSTITUTE(SUBSTITUTE(TRIM(INDEX(Реестр!$D:$D, ROW())), "-", ""), " ", ""), CHAR(160), ""), CHAR(9), ""), CHAR(10), ""), CHAR(13), ""), CHAR(32), "")</f>
        <v/>
      </c>
      <c r="C398">
        <f>INDEX(Реестр!$H:$H, ROW())</f>
        <v/>
      </c>
      <c r="D398">
        <f>IF(OR(ISBLANK(INDEX(Реестр!$B:$B, ROW())), INDEX(Реестр!$B:$B, ROW())=""), " ", IF(IFERROR(ISNUMBER(--A398),FALSE), IF(LEN(A398)=10, IF(MOD(MOD(H398,11),10)=--RIGHT(A398,1), "OK", "ОШИБКА"), IF(LEN(A398)=12, IF(AND(MOD(MOD(H398,11),10)=--MID(A398,11,1), MOD(MOD(I398,11),10)=--RIGHT(A398,1)), "OK", "ОШИБКА"), "ДЛИНА (10 или 12)")), "НЕ ЦИФРЫ"))</f>
        <v/>
      </c>
      <c r="E398">
        <f>MID(B398,1,1)*9+MID(B398,2,1)*8+MID(B398,3,1)*7+MID(B398,4,1)*6+MID(B398,5,1)*5+MID(B398,6,1)*4+MID(B398,7,1)*3+MID(B398,8,1)*2+MID(B398,9,1)</f>
        <v/>
      </c>
      <c r="F398">
        <f>IF(B398="", " ", IF(LEN(B398)&lt;&gt;11, "ДЛИНА", IF(NOT(ISNUMBER(--B398)), "НЕ ЦИФРЫ", IF(LEFT(B398,9)*1&lt;=1001998, "OK", IF(RIGHT(B398,2)*1=IF(MOD(E398,101)&gt;=100,0,MOD(E398,101)),"OK","ОШИБКА")))))</f>
        <v/>
      </c>
      <c r="G3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8">
        <f>IF(LEN(TRIM(A398))=10, --MID(A398,1,1)*2+--MID(A398,2,1)*4+--MID(A398,3,1)*10+--MID(A398,4,1)*3+--MID(A398,5,1)*5+--MID(A398,6,1)*9+--MID(A398,7,1)*4+--MID(A398,8,1)*6+--MID(A398,9,1)*8, IF(LEN(TRIM(A398))=12, --MID(A398,1,1)*7+--MID(A398,2,1)*2+--MID(A398,3,1)*4+--MID(A398,4,1)*10+--MID(A398,5,1)*3+--MID(A398,6,1)*5+--MID(A398,7,1)*9+--MID(A398,8,1)*4+--MID(A398,9,1)*6+--MID(A398,10,1)*8, ""))</f>
        <v/>
      </c>
      <c r="I398">
        <f>IF(LEN(TRIM(A398))=12, --MID(A398,1,1)*3+--MID(A398,2,1)*7+--MID(A398,3,1)*2+--MID(A398,4,1)*4+--MID(A398,5,1)*10+--MID(A398,6,1)*3+--MID(A398,7,1)*5+--MID(A398,8,1)*9+--MID(A398,9,1)*4+--MID(A398,10,1)*6+--MID(A398,11,1)*8, "")</f>
        <v/>
      </c>
    </row>
    <row r="399">
      <c r="A399">
        <f>SUBSTITUTE(SUBSTITUTE(SUBSTITUTE(SUBSTITUTE(TRIM(INDEX(Реестр!$B:$B,ROW())),CHAR(160),""),CHAR(9),""),CHAR(10),""),CHAR(13),"")</f>
        <v/>
      </c>
      <c r="B399">
        <f>SUBSTITUTE(SUBSTITUTE(SUBSTITUTE(SUBSTITUTE(SUBSTITUTE(SUBSTITUTE(SUBSTITUTE(TRIM(INDEX(Реестр!$D:$D, ROW())), "-", ""), " ", ""), CHAR(160), ""), CHAR(9), ""), CHAR(10), ""), CHAR(13), ""), CHAR(32), "")</f>
        <v/>
      </c>
      <c r="C399">
        <f>INDEX(Реестр!$H:$H, ROW())</f>
        <v/>
      </c>
      <c r="D399">
        <f>IF(OR(ISBLANK(INDEX(Реестр!$B:$B, ROW())), INDEX(Реестр!$B:$B, ROW())=""), " ", IF(IFERROR(ISNUMBER(--A399),FALSE), IF(LEN(A399)=10, IF(MOD(MOD(H399,11),10)=--RIGHT(A399,1), "OK", "ОШИБКА"), IF(LEN(A399)=12, IF(AND(MOD(MOD(H399,11),10)=--MID(A399,11,1), MOD(MOD(I399,11),10)=--RIGHT(A399,1)), "OK", "ОШИБКА"), "ДЛИНА (10 или 12)")), "НЕ ЦИФРЫ"))</f>
        <v/>
      </c>
      <c r="E399">
        <f>MID(B399,1,1)*9+MID(B399,2,1)*8+MID(B399,3,1)*7+MID(B399,4,1)*6+MID(B399,5,1)*5+MID(B399,6,1)*4+MID(B399,7,1)*3+MID(B399,8,1)*2+MID(B399,9,1)</f>
        <v/>
      </c>
      <c r="F399">
        <f>IF(B399="", " ", IF(LEN(B399)&lt;&gt;11, "ДЛИНА", IF(NOT(ISNUMBER(--B399)), "НЕ ЦИФРЫ", IF(LEFT(B399,9)*1&lt;=1001998, "OK", IF(RIGHT(B399,2)*1=IF(MOD(E399,101)&gt;=100,0,MOD(E399,101)),"OK","ОШИБКА")))))</f>
        <v/>
      </c>
      <c r="G3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399">
        <f>IF(LEN(TRIM(A399))=10, --MID(A399,1,1)*2+--MID(A399,2,1)*4+--MID(A399,3,1)*10+--MID(A399,4,1)*3+--MID(A399,5,1)*5+--MID(A399,6,1)*9+--MID(A399,7,1)*4+--MID(A399,8,1)*6+--MID(A399,9,1)*8, IF(LEN(TRIM(A399))=12, --MID(A399,1,1)*7+--MID(A399,2,1)*2+--MID(A399,3,1)*4+--MID(A399,4,1)*10+--MID(A399,5,1)*3+--MID(A399,6,1)*5+--MID(A399,7,1)*9+--MID(A399,8,1)*4+--MID(A399,9,1)*6+--MID(A399,10,1)*8, ""))</f>
        <v/>
      </c>
      <c r="I399">
        <f>IF(LEN(TRIM(A399))=12, --MID(A399,1,1)*3+--MID(A399,2,1)*7+--MID(A399,3,1)*2+--MID(A399,4,1)*4+--MID(A399,5,1)*10+--MID(A399,6,1)*3+--MID(A399,7,1)*5+--MID(A399,8,1)*9+--MID(A399,9,1)*4+--MID(A399,10,1)*6+--MID(A399,11,1)*8, "")</f>
        <v/>
      </c>
    </row>
    <row r="400">
      <c r="A400">
        <f>SUBSTITUTE(SUBSTITUTE(SUBSTITUTE(SUBSTITUTE(TRIM(INDEX(Реестр!$B:$B,ROW())),CHAR(160),""),CHAR(9),""),CHAR(10),""),CHAR(13),"")</f>
        <v/>
      </c>
      <c r="B400">
        <f>SUBSTITUTE(SUBSTITUTE(SUBSTITUTE(SUBSTITUTE(SUBSTITUTE(SUBSTITUTE(SUBSTITUTE(TRIM(INDEX(Реестр!$D:$D, ROW())), "-", ""), " ", ""), CHAR(160), ""), CHAR(9), ""), CHAR(10), ""), CHAR(13), ""), CHAR(32), "")</f>
        <v/>
      </c>
      <c r="C400">
        <f>INDEX(Реестр!$H:$H, ROW())</f>
        <v/>
      </c>
      <c r="D400">
        <f>IF(OR(ISBLANK(INDEX(Реестр!$B:$B, ROW())), INDEX(Реестр!$B:$B, ROW())=""), " ", IF(IFERROR(ISNUMBER(--A400),FALSE), IF(LEN(A400)=10, IF(MOD(MOD(H400,11),10)=--RIGHT(A400,1), "OK", "ОШИБКА"), IF(LEN(A400)=12, IF(AND(MOD(MOD(H400,11),10)=--MID(A400,11,1), MOD(MOD(I400,11),10)=--RIGHT(A400,1)), "OK", "ОШИБКА"), "ДЛИНА (10 или 12)")), "НЕ ЦИФРЫ"))</f>
        <v/>
      </c>
      <c r="E400">
        <f>MID(B400,1,1)*9+MID(B400,2,1)*8+MID(B400,3,1)*7+MID(B400,4,1)*6+MID(B400,5,1)*5+MID(B400,6,1)*4+MID(B400,7,1)*3+MID(B400,8,1)*2+MID(B400,9,1)</f>
        <v/>
      </c>
      <c r="F400">
        <f>IF(B400="", " ", IF(LEN(B400)&lt;&gt;11, "ДЛИНА", IF(NOT(ISNUMBER(--B400)), "НЕ ЦИФРЫ", IF(LEFT(B400,9)*1&lt;=1001998, "OK", IF(RIGHT(B400,2)*1=IF(MOD(E400,101)&gt;=100,0,MOD(E400,101)),"OK","ОШИБКА")))))</f>
        <v/>
      </c>
      <c r="G4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0">
        <f>IF(LEN(TRIM(A400))=10, --MID(A400,1,1)*2+--MID(A400,2,1)*4+--MID(A400,3,1)*10+--MID(A400,4,1)*3+--MID(A400,5,1)*5+--MID(A400,6,1)*9+--MID(A400,7,1)*4+--MID(A400,8,1)*6+--MID(A400,9,1)*8, IF(LEN(TRIM(A400))=12, --MID(A400,1,1)*7+--MID(A400,2,1)*2+--MID(A400,3,1)*4+--MID(A400,4,1)*10+--MID(A400,5,1)*3+--MID(A400,6,1)*5+--MID(A400,7,1)*9+--MID(A400,8,1)*4+--MID(A400,9,1)*6+--MID(A400,10,1)*8, ""))</f>
        <v/>
      </c>
      <c r="I400">
        <f>IF(LEN(TRIM(A400))=12, --MID(A400,1,1)*3+--MID(A400,2,1)*7+--MID(A400,3,1)*2+--MID(A400,4,1)*4+--MID(A400,5,1)*10+--MID(A400,6,1)*3+--MID(A400,7,1)*5+--MID(A400,8,1)*9+--MID(A400,9,1)*4+--MID(A400,10,1)*6+--MID(A400,11,1)*8, "")</f>
        <v/>
      </c>
    </row>
    <row r="401">
      <c r="A401">
        <f>SUBSTITUTE(SUBSTITUTE(SUBSTITUTE(SUBSTITUTE(TRIM(INDEX(Реестр!$B:$B,ROW())),CHAR(160),""),CHAR(9),""),CHAR(10),""),CHAR(13),"")</f>
        <v/>
      </c>
      <c r="B401">
        <f>SUBSTITUTE(SUBSTITUTE(SUBSTITUTE(SUBSTITUTE(SUBSTITUTE(SUBSTITUTE(SUBSTITUTE(TRIM(INDEX(Реестр!$D:$D, ROW())), "-", ""), " ", ""), CHAR(160), ""), CHAR(9), ""), CHAR(10), ""), CHAR(13), ""), CHAR(32), "")</f>
        <v/>
      </c>
      <c r="C401">
        <f>INDEX(Реестр!$H:$H, ROW())</f>
        <v/>
      </c>
      <c r="D401">
        <f>IF(OR(ISBLANK(INDEX(Реестр!$B:$B, ROW())), INDEX(Реестр!$B:$B, ROW())=""), " ", IF(IFERROR(ISNUMBER(--A401),FALSE), IF(LEN(A401)=10, IF(MOD(MOD(H401,11),10)=--RIGHT(A401,1), "OK", "ОШИБКА"), IF(LEN(A401)=12, IF(AND(MOD(MOD(H401,11),10)=--MID(A401,11,1), MOD(MOD(I401,11),10)=--RIGHT(A401,1)), "OK", "ОШИБКА"), "ДЛИНА (10 или 12)")), "НЕ ЦИФРЫ"))</f>
        <v/>
      </c>
      <c r="E401">
        <f>MID(B401,1,1)*9+MID(B401,2,1)*8+MID(B401,3,1)*7+MID(B401,4,1)*6+MID(B401,5,1)*5+MID(B401,6,1)*4+MID(B401,7,1)*3+MID(B401,8,1)*2+MID(B401,9,1)</f>
        <v/>
      </c>
      <c r="F401">
        <f>IF(B401="", " ", IF(LEN(B401)&lt;&gt;11, "ДЛИНА", IF(NOT(ISNUMBER(--B401)), "НЕ ЦИФРЫ", IF(LEFT(B401,9)*1&lt;=1001998, "OK", IF(RIGHT(B401,2)*1=IF(MOD(E401,101)&gt;=100,0,MOD(E401,101)),"OK","ОШИБКА")))))</f>
        <v/>
      </c>
      <c r="G4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1">
        <f>IF(LEN(TRIM(A401))=10, --MID(A401,1,1)*2+--MID(A401,2,1)*4+--MID(A401,3,1)*10+--MID(A401,4,1)*3+--MID(A401,5,1)*5+--MID(A401,6,1)*9+--MID(A401,7,1)*4+--MID(A401,8,1)*6+--MID(A401,9,1)*8, IF(LEN(TRIM(A401))=12, --MID(A401,1,1)*7+--MID(A401,2,1)*2+--MID(A401,3,1)*4+--MID(A401,4,1)*10+--MID(A401,5,1)*3+--MID(A401,6,1)*5+--MID(A401,7,1)*9+--MID(A401,8,1)*4+--MID(A401,9,1)*6+--MID(A401,10,1)*8, ""))</f>
        <v/>
      </c>
      <c r="I401">
        <f>IF(LEN(TRIM(A401))=12, --MID(A401,1,1)*3+--MID(A401,2,1)*7+--MID(A401,3,1)*2+--MID(A401,4,1)*4+--MID(A401,5,1)*10+--MID(A401,6,1)*3+--MID(A401,7,1)*5+--MID(A401,8,1)*9+--MID(A401,9,1)*4+--MID(A401,10,1)*6+--MID(A401,11,1)*8, "")</f>
        <v/>
      </c>
    </row>
    <row r="402">
      <c r="A402">
        <f>SUBSTITUTE(SUBSTITUTE(SUBSTITUTE(SUBSTITUTE(TRIM(INDEX(Реестр!$B:$B,ROW())),CHAR(160),""),CHAR(9),""),CHAR(10),""),CHAR(13),"")</f>
        <v/>
      </c>
      <c r="B402">
        <f>SUBSTITUTE(SUBSTITUTE(SUBSTITUTE(SUBSTITUTE(SUBSTITUTE(SUBSTITUTE(SUBSTITUTE(TRIM(INDEX(Реестр!$D:$D, ROW())), "-", ""), " ", ""), CHAR(160), ""), CHAR(9), ""), CHAR(10), ""), CHAR(13), ""), CHAR(32), "")</f>
        <v/>
      </c>
      <c r="C402">
        <f>INDEX(Реестр!$H:$H, ROW())</f>
        <v/>
      </c>
      <c r="D402">
        <f>IF(OR(ISBLANK(INDEX(Реестр!$B:$B, ROW())), INDEX(Реестр!$B:$B, ROW())=""), " ", IF(IFERROR(ISNUMBER(--A402),FALSE), IF(LEN(A402)=10, IF(MOD(MOD(H402,11),10)=--RIGHT(A402,1), "OK", "ОШИБКА"), IF(LEN(A402)=12, IF(AND(MOD(MOD(H402,11),10)=--MID(A402,11,1), MOD(MOD(I402,11),10)=--RIGHT(A402,1)), "OK", "ОШИБКА"), "ДЛИНА (10 или 12)")), "НЕ ЦИФРЫ"))</f>
        <v/>
      </c>
      <c r="E402">
        <f>MID(B402,1,1)*9+MID(B402,2,1)*8+MID(B402,3,1)*7+MID(B402,4,1)*6+MID(B402,5,1)*5+MID(B402,6,1)*4+MID(B402,7,1)*3+MID(B402,8,1)*2+MID(B402,9,1)</f>
        <v/>
      </c>
      <c r="F402">
        <f>IF(B402="", " ", IF(LEN(B402)&lt;&gt;11, "ДЛИНА", IF(NOT(ISNUMBER(--B402)), "НЕ ЦИФРЫ", IF(LEFT(B402,9)*1&lt;=1001998, "OK", IF(RIGHT(B402,2)*1=IF(MOD(E402,101)&gt;=100,0,MOD(E402,101)),"OK","ОШИБКА")))))</f>
        <v/>
      </c>
      <c r="G4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2">
        <f>IF(LEN(TRIM(A402))=10, --MID(A402,1,1)*2+--MID(A402,2,1)*4+--MID(A402,3,1)*10+--MID(A402,4,1)*3+--MID(A402,5,1)*5+--MID(A402,6,1)*9+--MID(A402,7,1)*4+--MID(A402,8,1)*6+--MID(A402,9,1)*8, IF(LEN(TRIM(A402))=12, --MID(A402,1,1)*7+--MID(A402,2,1)*2+--MID(A402,3,1)*4+--MID(A402,4,1)*10+--MID(A402,5,1)*3+--MID(A402,6,1)*5+--MID(A402,7,1)*9+--MID(A402,8,1)*4+--MID(A402,9,1)*6+--MID(A402,10,1)*8, ""))</f>
        <v/>
      </c>
      <c r="I402">
        <f>IF(LEN(TRIM(A402))=12, --MID(A402,1,1)*3+--MID(A402,2,1)*7+--MID(A402,3,1)*2+--MID(A402,4,1)*4+--MID(A402,5,1)*10+--MID(A402,6,1)*3+--MID(A402,7,1)*5+--MID(A402,8,1)*9+--MID(A402,9,1)*4+--MID(A402,10,1)*6+--MID(A402,11,1)*8, "")</f>
        <v/>
      </c>
    </row>
    <row r="403">
      <c r="A403">
        <f>SUBSTITUTE(SUBSTITUTE(SUBSTITUTE(SUBSTITUTE(TRIM(INDEX(Реестр!$B:$B,ROW())),CHAR(160),""),CHAR(9),""),CHAR(10),""),CHAR(13),"")</f>
        <v/>
      </c>
      <c r="B403">
        <f>SUBSTITUTE(SUBSTITUTE(SUBSTITUTE(SUBSTITUTE(SUBSTITUTE(SUBSTITUTE(SUBSTITUTE(TRIM(INDEX(Реестр!$D:$D, ROW())), "-", ""), " ", ""), CHAR(160), ""), CHAR(9), ""), CHAR(10), ""), CHAR(13), ""), CHAR(32), "")</f>
        <v/>
      </c>
      <c r="C403">
        <f>INDEX(Реестр!$H:$H, ROW())</f>
        <v/>
      </c>
      <c r="D403">
        <f>IF(OR(ISBLANK(INDEX(Реестр!$B:$B, ROW())), INDEX(Реестр!$B:$B, ROW())=""), " ", IF(IFERROR(ISNUMBER(--A403),FALSE), IF(LEN(A403)=10, IF(MOD(MOD(H403,11),10)=--RIGHT(A403,1), "OK", "ОШИБКА"), IF(LEN(A403)=12, IF(AND(MOD(MOD(H403,11),10)=--MID(A403,11,1), MOD(MOD(I403,11),10)=--RIGHT(A403,1)), "OK", "ОШИБКА"), "ДЛИНА (10 или 12)")), "НЕ ЦИФРЫ"))</f>
        <v/>
      </c>
      <c r="E403">
        <f>MID(B403,1,1)*9+MID(B403,2,1)*8+MID(B403,3,1)*7+MID(B403,4,1)*6+MID(B403,5,1)*5+MID(B403,6,1)*4+MID(B403,7,1)*3+MID(B403,8,1)*2+MID(B403,9,1)</f>
        <v/>
      </c>
      <c r="F403">
        <f>IF(B403="", " ", IF(LEN(B403)&lt;&gt;11, "ДЛИНА", IF(NOT(ISNUMBER(--B403)), "НЕ ЦИФРЫ", IF(LEFT(B403,9)*1&lt;=1001998, "OK", IF(RIGHT(B403,2)*1=IF(MOD(E403,101)&gt;=100,0,MOD(E403,101)),"OK","ОШИБКА")))))</f>
        <v/>
      </c>
      <c r="G4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3">
        <f>IF(LEN(TRIM(A403))=10, --MID(A403,1,1)*2+--MID(A403,2,1)*4+--MID(A403,3,1)*10+--MID(A403,4,1)*3+--MID(A403,5,1)*5+--MID(A403,6,1)*9+--MID(A403,7,1)*4+--MID(A403,8,1)*6+--MID(A403,9,1)*8, IF(LEN(TRIM(A403))=12, --MID(A403,1,1)*7+--MID(A403,2,1)*2+--MID(A403,3,1)*4+--MID(A403,4,1)*10+--MID(A403,5,1)*3+--MID(A403,6,1)*5+--MID(A403,7,1)*9+--MID(A403,8,1)*4+--MID(A403,9,1)*6+--MID(A403,10,1)*8, ""))</f>
        <v/>
      </c>
      <c r="I403">
        <f>IF(LEN(TRIM(A403))=12, --MID(A403,1,1)*3+--MID(A403,2,1)*7+--MID(A403,3,1)*2+--MID(A403,4,1)*4+--MID(A403,5,1)*10+--MID(A403,6,1)*3+--MID(A403,7,1)*5+--MID(A403,8,1)*9+--MID(A403,9,1)*4+--MID(A403,10,1)*6+--MID(A403,11,1)*8, "")</f>
        <v/>
      </c>
    </row>
    <row r="404">
      <c r="A404">
        <f>SUBSTITUTE(SUBSTITUTE(SUBSTITUTE(SUBSTITUTE(TRIM(INDEX(Реестр!$B:$B,ROW())),CHAR(160),""),CHAR(9),""),CHAR(10),""),CHAR(13),"")</f>
        <v/>
      </c>
      <c r="B404">
        <f>SUBSTITUTE(SUBSTITUTE(SUBSTITUTE(SUBSTITUTE(SUBSTITUTE(SUBSTITUTE(SUBSTITUTE(TRIM(INDEX(Реестр!$D:$D, ROW())), "-", ""), " ", ""), CHAR(160), ""), CHAR(9), ""), CHAR(10), ""), CHAR(13), ""), CHAR(32), "")</f>
        <v/>
      </c>
      <c r="C404">
        <f>INDEX(Реестр!$H:$H, ROW())</f>
        <v/>
      </c>
      <c r="D404">
        <f>IF(OR(ISBLANK(INDEX(Реестр!$B:$B, ROW())), INDEX(Реестр!$B:$B, ROW())=""), " ", IF(IFERROR(ISNUMBER(--A404),FALSE), IF(LEN(A404)=10, IF(MOD(MOD(H404,11),10)=--RIGHT(A404,1), "OK", "ОШИБКА"), IF(LEN(A404)=12, IF(AND(MOD(MOD(H404,11),10)=--MID(A404,11,1), MOD(MOD(I404,11),10)=--RIGHT(A404,1)), "OK", "ОШИБКА"), "ДЛИНА (10 или 12)")), "НЕ ЦИФРЫ"))</f>
        <v/>
      </c>
      <c r="E404">
        <f>MID(B404,1,1)*9+MID(B404,2,1)*8+MID(B404,3,1)*7+MID(B404,4,1)*6+MID(B404,5,1)*5+MID(B404,6,1)*4+MID(B404,7,1)*3+MID(B404,8,1)*2+MID(B404,9,1)</f>
        <v/>
      </c>
      <c r="F404">
        <f>IF(B404="", " ", IF(LEN(B404)&lt;&gt;11, "ДЛИНА", IF(NOT(ISNUMBER(--B404)), "НЕ ЦИФРЫ", IF(LEFT(B404,9)*1&lt;=1001998, "OK", IF(RIGHT(B404,2)*1=IF(MOD(E404,101)&gt;=100,0,MOD(E404,101)),"OK","ОШИБКА")))))</f>
        <v/>
      </c>
      <c r="G4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4">
        <f>IF(LEN(TRIM(A404))=10, --MID(A404,1,1)*2+--MID(A404,2,1)*4+--MID(A404,3,1)*10+--MID(A404,4,1)*3+--MID(A404,5,1)*5+--MID(A404,6,1)*9+--MID(A404,7,1)*4+--MID(A404,8,1)*6+--MID(A404,9,1)*8, IF(LEN(TRIM(A404))=12, --MID(A404,1,1)*7+--MID(A404,2,1)*2+--MID(A404,3,1)*4+--MID(A404,4,1)*10+--MID(A404,5,1)*3+--MID(A404,6,1)*5+--MID(A404,7,1)*9+--MID(A404,8,1)*4+--MID(A404,9,1)*6+--MID(A404,10,1)*8, ""))</f>
        <v/>
      </c>
      <c r="I404">
        <f>IF(LEN(TRIM(A404))=12, --MID(A404,1,1)*3+--MID(A404,2,1)*7+--MID(A404,3,1)*2+--MID(A404,4,1)*4+--MID(A404,5,1)*10+--MID(A404,6,1)*3+--MID(A404,7,1)*5+--MID(A404,8,1)*9+--MID(A404,9,1)*4+--MID(A404,10,1)*6+--MID(A404,11,1)*8, "")</f>
        <v/>
      </c>
    </row>
    <row r="405">
      <c r="A405">
        <f>SUBSTITUTE(SUBSTITUTE(SUBSTITUTE(SUBSTITUTE(TRIM(INDEX(Реестр!$B:$B,ROW())),CHAR(160),""),CHAR(9),""),CHAR(10),""),CHAR(13),"")</f>
        <v/>
      </c>
      <c r="B405">
        <f>SUBSTITUTE(SUBSTITUTE(SUBSTITUTE(SUBSTITUTE(SUBSTITUTE(SUBSTITUTE(SUBSTITUTE(TRIM(INDEX(Реестр!$D:$D, ROW())), "-", ""), " ", ""), CHAR(160), ""), CHAR(9), ""), CHAR(10), ""), CHAR(13), ""), CHAR(32), "")</f>
        <v/>
      </c>
      <c r="C405">
        <f>INDEX(Реестр!$H:$H, ROW())</f>
        <v/>
      </c>
      <c r="D405">
        <f>IF(OR(ISBLANK(INDEX(Реестр!$B:$B, ROW())), INDEX(Реестр!$B:$B, ROW())=""), " ", IF(IFERROR(ISNUMBER(--A405),FALSE), IF(LEN(A405)=10, IF(MOD(MOD(H405,11),10)=--RIGHT(A405,1), "OK", "ОШИБКА"), IF(LEN(A405)=12, IF(AND(MOD(MOD(H405,11),10)=--MID(A405,11,1), MOD(MOD(I405,11),10)=--RIGHT(A405,1)), "OK", "ОШИБКА"), "ДЛИНА (10 или 12)")), "НЕ ЦИФРЫ"))</f>
        <v/>
      </c>
      <c r="E405">
        <f>MID(B405,1,1)*9+MID(B405,2,1)*8+MID(B405,3,1)*7+MID(B405,4,1)*6+MID(B405,5,1)*5+MID(B405,6,1)*4+MID(B405,7,1)*3+MID(B405,8,1)*2+MID(B405,9,1)</f>
        <v/>
      </c>
      <c r="F405">
        <f>IF(B405="", " ", IF(LEN(B405)&lt;&gt;11, "ДЛИНА", IF(NOT(ISNUMBER(--B405)), "НЕ ЦИФРЫ", IF(LEFT(B405,9)*1&lt;=1001998, "OK", IF(RIGHT(B405,2)*1=IF(MOD(E405,101)&gt;=100,0,MOD(E405,101)),"OK","ОШИБКА")))))</f>
        <v/>
      </c>
      <c r="G4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5">
        <f>IF(LEN(TRIM(A405))=10, --MID(A405,1,1)*2+--MID(A405,2,1)*4+--MID(A405,3,1)*10+--MID(A405,4,1)*3+--MID(A405,5,1)*5+--MID(A405,6,1)*9+--MID(A405,7,1)*4+--MID(A405,8,1)*6+--MID(A405,9,1)*8, IF(LEN(TRIM(A405))=12, --MID(A405,1,1)*7+--MID(A405,2,1)*2+--MID(A405,3,1)*4+--MID(A405,4,1)*10+--MID(A405,5,1)*3+--MID(A405,6,1)*5+--MID(A405,7,1)*9+--MID(A405,8,1)*4+--MID(A405,9,1)*6+--MID(A405,10,1)*8, ""))</f>
        <v/>
      </c>
      <c r="I405">
        <f>IF(LEN(TRIM(A405))=12, --MID(A405,1,1)*3+--MID(A405,2,1)*7+--MID(A405,3,1)*2+--MID(A405,4,1)*4+--MID(A405,5,1)*10+--MID(A405,6,1)*3+--MID(A405,7,1)*5+--MID(A405,8,1)*9+--MID(A405,9,1)*4+--MID(A405,10,1)*6+--MID(A405,11,1)*8, "")</f>
        <v/>
      </c>
    </row>
    <row r="406">
      <c r="A406">
        <f>SUBSTITUTE(SUBSTITUTE(SUBSTITUTE(SUBSTITUTE(TRIM(INDEX(Реестр!$B:$B,ROW())),CHAR(160),""),CHAR(9),""),CHAR(10),""),CHAR(13),"")</f>
        <v/>
      </c>
      <c r="B406">
        <f>SUBSTITUTE(SUBSTITUTE(SUBSTITUTE(SUBSTITUTE(SUBSTITUTE(SUBSTITUTE(SUBSTITUTE(TRIM(INDEX(Реестр!$D:$D, ROW())), "-", ""), " ", ""), CHAR(160), ""), CHAR(9), ""), CHAR(10), ""), CHAR(13), ""), CHAR(32), "")</f>
        <v/>
      </c>
      <c r="C406">
        <f>INDEX(Реестр!$H:$H, ROW())</f>
        <v/>
      </c>
      <c r="D406">
        <f>IF(OR(ISBLANK(INDEX(Реестр!$B:$B, ROW())), INDEX(Реестр!$B:$B, ROW())=""), " ", IF(IFERROR(ISNUMBER(--A406),FALSE), IF(LEN(A406)=10, IF(MOD(MOD(H406,11),10)=--RIGHT(A406,1), "OK", "ОШИБКА"), IF(LEN(A406)=12, IF(AND(MOD(MOD(H406,11),10)=--MID(A406,11,1), MOD(MOD(I406,11),10)=--RIGHT(A406,1)), "OK", "ОШИБКА"), "ДЛИНА (10 или 12)")), "НЕ ЦИФРЫ"))</f>
        <v/>
      </c>
      <c r="E406">
        <f>MID(B406,1,1)*9+MID(B406,2,1)*8+MID(B406,3,1)*7+MID(B406,4,1)*6+MID(B406,5,1)*5+MID(B406,6,1)*4+MID(B406,7,1)*3+MID(B406,8,1)*2+MID(B406,9,1)</f>
        <v/>
      </c>
      <c r="F406">
        <f>IF(B406="", " ", IF(LEN(B406)&lt;&gt;11, "ДЛИНА", IF(NOT(ISNUMBER(--B406)), "НЕ ЦИФРЫ", IF(LEFT(B406,9)*1&lt;=1001998, "OK", IF(RIGHT(B406,2)*1=IF(MOD(E406,101)&gt;=100,0,MOD(E406,101)),"OK","ОШИБКА")))))</f>
        <v/>
      </c>
      <c r="G4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6">
        <f>IF(LEN(TRIM(A406))=10, --MID(A406,1,1)*2+--MID(A406,2,1)*4+--MID(A406,3,1)*10+--MID(A406,4,1)*3+--MID(A406,5,1)*5+--MID(A406,6,1)*9+--MID(A406,7,1)*4+--MID(A406,8,1)*6+--MID(A406,9,1)*8, IF(LEN(TRIM(A406))=12, --MID(A406,1,1)*7+--MID(A406,2,1)*2+--MID(A406,3,1)*4+--MID(A406,4,1)*10+--MID(A406,5,1)*3+--MID(A406,6,1)*5+--MID(A406,7,1)*9+--MID(A406,8,1)*4+--MID(A406,9,1)*6+--MID(A406,10,1)*8, ""))</f>
        <v/>
      </c>
      <c r="I406">
        <f>IF(LEN(TRIM(A406))=12, --MID(A406,1,1)*3+--MID(A406,2,1)*7+--MID(A406,3,1)*2+--MID(A406,4,1)*4+--MID(A406,5,1)*10+--MID(A406,6,1)*3+--MID(A406,7,1)*5+--MID(A406,8,1)*9+--MID(A406,9,1)*4+--MID(A406,10,1)*6+--MID(A406,11,1)*8, "")</f>
        <v/>
      </c>
    </row>
    <row r="407">
      <c r="A407">
        <f>SUBSTITUTE(SUBSTITUTE(SUBSTITUTE(SUBSTITUTE(TRIM(INDEX(Реестр!$B:$B,ROW())),CHAR(160),""),CHAR(9),""),CHAR(10),""),CHAR(13),"")</f>
        <v/>
      </c>
      <c r="B407">
        <f>SUBSTITUTE(SUBSTITUTE(SUBSTITUTE(SUBSTITUTE(SUBSTITUTE(SUBSTITUTE(SUBSTITUTE(TRIM(INDEX(Реестр!$D:$D, ROW())), "-", ""), " ", ""), CHAR(160), ""), CHAR(9), ""), CHAR(10), ""), CHAR(13), ""), CHAR(32), "")</f>
        <v/>
      </c>
      <c r="C407">
        <f>INDEX(Реестр!$H:$H, ROW())</f>
        <v/>
      </c>
      <c r="D407">
        <f>IF(OR(ISBLANK(INDEX(Реестр!$B:$B, ROW())), INDEX(Реестр!$B:$B, ROW())=""), " ", IF(IFERROR(ISNUMBER(--A407),FALSE), IF(LEN(A407)=10, IF(MOD(MOD(H407,11),10)=--RIGHT(A407,1), "OK", "ОШИБКА"), IF(LEN(A407)=12, IF(AND(MOD(MOD(H407,11),10)=--MID(A407,11,1), MOD(MOD(I407,11),10)=--RIGHT(A407,1)), "OK", "ОШИБКА"), "ДЛИНА (10 или 12)")), "НЕ ЦИФРЫ"))</f>
        <v/>
      </c>
      <c r="E407">
        <f>MID(B407,1,1)*9+MID(B407,2,1)*8+MID(B407,3,1)*7+MID(B407,4,1)*6+MID(B407,5,1)*5+MID(B407,6,1)*4+MID(B407,7,1)*3+MID(B407,8,1)*2+MID(B407,9,1)</f>
        <v/>
      </c>
      <c r="F407">
        <f>IF(B407="", " ", IF(LEN(B407)&lt;&gt;11, "ДЛИНА", IF(NOT(ISNUMBER(--B407)), "НЕ ЦИФРЫ", IF(LEFT(B407,9)*1&lt;=1001998, "OK", IF(RIGHT(B407,2)*1=IF(MOD(E407,101)&gt;=100,0,MOD(E407,101)),"OK","ОШИБКА")))))</f>
        <v/>
      </c>
      <c r="G4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7">
        <f>IF(LEN(TRIM(A407))=10, --MID(A407,1,1)*2+--MID(A407,2,1)*4+--MID(A407,3,1)*10+--MID(A407,4,1)*3+--MID(A407,5,1)*5+--MID(A407,6,1)*9+--MID(A407,7,1)*4+--MID(A407,8,1)*6+--MID(A407,9,1)*8, IF(LEN(TRIM(A407))=12, --MID(A407,1,1)*7+--MID(A407,2,1)*2+--MID(A407,3,1)*4+--MID(A407,4,1)*10+--MID(A407,5,1)*3+--MID(A407,6,1)*5+--MID(A407,7,1)*9+--MID(A407,8,1)*4+--MID(A407,9,1)*6+--MID(A407,10,1)*8, ""))</f>
        <v/>
      </c>
      <c r="I407">
        <f>IF(LEN(TRIM(A407))=12, --MID(A407,1,1)*3+--MID(A407,2,1)*7+--MID(A407,3,1)*2+--MID(A407,4,1)*4+--MID(A407,5,1)*10+--MID(A407,6,1)*3+--MID(A407,7,1)*5+--MID(A407,8,1)*9+--MID(A407,9,1)*4+--MID(A407,10,1)*6+--MID(A407,11,1)*8, "")</f>
        <v/>
      </c>
    </row>
    <row r="408">
      <c r="A408">
        <f>SUBSTITUTE(SUBSTITUTE(SUBSTITUTE(SUBSTITUTE(TRIM(INDEX(Реестр!$B:$B,ROW())),CHAR(160),""),CHAR(9),""),CHAR(10),""),CHAR(13),"")</f>
        <v/>
      </c>
      <c r="B408">
        <f>SUBSTITUTE(SUBSTITUTE(SUBSTITUTE(SUBSTITUTE(SUBSTITUTE(SUBSTITUTE(SUBSTITUTE(TRIM(INDEX(Реестр!$D:$D, ROW())), "-", ""), " ", ""), CHAR(160), ""), CHAR(9), ""), CHAR(10), ""), CHAR(13), ""), CHAR(32), "")</f>
        <v/>
      </c>
      <c r="C408">
        <f>INDEX(Реестр!$H:$H, ROW())</f>
        <v/>
      </c>
      <c r="D408">
        <f>IF(OR(ISBLANK(INDEX(Реестр!$B:$B, ROW())), INDEX(Реестр!$B:$B, ROW())=""), " ", IF(IFERROR(ISNUMBER(--A408),FALSE), IF(LEN(A408)=10, IF(MOD(MOD(H408,11),10)=--RIGHT(A408,1), "OK", "ОШИБКА"), IF(LEN(A408)=12, IF(AND(MOD(MOD(H408,11),10)=--MID(A408,11,1), MOD(MOD(I408,11),10)=--RIGHT(A408,1)), "OK", "ОШИБКА"), "ДЛИНА (10 или 12)")), "НЕ ЦИФРЫ"))</f>
        <v/>
      </c>
      <c r="E408">
        <f>MID(B408,1,1)*9+MID(B408,2,1)*8+MID(B408,3,1)*7+MID(B408,4,1)*6+MID(B408,5,1)*5+MID(B408,6,1)*4+MID(B408,7,1)*3+MID(B408,8,1)*2+MID(B408,9,1)</f>
        <v/>
      </c>
      <c r="F408">
        <f>IF(B408="", " ", IF(LEN(B408)&lt;&gt;11, "ДЛИНА", IF(NOT(ISNUMBER(--B408)), "НЕ ЦИФРЫ", IF(LEFT(B408,9)*1&lt;=1001998, "OK", IF(RIGHT(B408,2)*1=IF(MOD(E408,101)&gt;=100,0,MOD(E408,101)),"OK","ОШИБКА")))))</f>
        <v/>
      </c>
      <c r="G4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8">
        <f>IF(LEN(TRIM(A408))=10, --MID(A408,1,1)*2+--MID(A408,2,1)*4+--MID(A408,3,1)*10+--MID(A408,4,1)*3+--MID(A408,5,1)*5+--MID(A408,6,1)*9+--MID(A408,7,1)*4+--MID(A408,8,1)*6+--MID(A408,9,1)*8, IF(LEN(TRIM(A408))=12, --MID(A408,1,1)*7+--MID(A408,2,1)*2+--MID(A408,3,1)*4+--MID(A408,4,1)*10+--MID(A408,5,1)*3+--MID(A408,6,1)*5+--MID(A408,7,1)*9+--MID(A408,8,1)*4+--MID(A408,9,1)*6+--MID(A408,10,1)*8, ""))</f>
        <v/>
      </c>
      <c r="I408">
        <f>IF(LEN(TRIM(A408))=12, --MID(A408,1,1)*3+--MID(A408,2,1)*7+--MID(A408,3,1)*2+--MID(A408,4,1)*4+--MID(A408,5,1)*10+--MID(A408,6,1)*3+--MID(A408,7,1)*5+--MID(A408,8,1)*9+--MID(A408,9,1)*4+--MID(A408,10,1)*6+--MID(A408,11,1)*8, "")</f>
        <v/>
      </c>
    </row>
    <row r="409">
      <c r="A409">
        <f>SUBSTITUTE(SUBSTITUTE(SUBSTITUTE(SUBSTITUTE(TRIM(INDEX(Реестр!$B:$B,ROW())),CHAR(160),""),CHAR(9),""),CHAR(10),""),CHAR(13),"")</f>
        <v/>
      </c>
      <c r="B409">
        <f>SUBSTITUTE(SUBSTITUTE(SUBSTITUTE(SUBSTITUTE(SUBSTITUTE(SUBSTITUTE(SUBSTITUTE(TRIM(INDEX(Реестр!$D:$D, ROW())), "-", ""), " ", ""), CHAR(160), ""), CHAR(9), ""), CHAR(10), ""), CHAR(13), ""), CHAR(32), "")</f>
        <v/>
      </c>
      <c r="C409">
        <f>INDEX(Реестр!$H:$H, ROW())</f>
        <v/>
      </c>
      <c r="D409">
        <f>IF(OR(ISBLANK(INDEX(Реестр!$B:$B, ROW())), INDEX(Реестр!$B:$B, ROW())=""), " ", IF(IFERROR(ISNUMBER(--A409),FALSE), IF(LEN(A409)=10, IF(MOD(MOD(H409,11),10)=--RIGHT(A409,1), "OK", "ОШИБКА"), IF(LEN(A409)=12, IF(AND(MOD(MOD(H409,11),10)=--MID(A409,11,1), MOD(MOD(I409,11),10)=--RIGHT(A409,1)), "OK", "ОШИБКА"), "ДЛИНА (10 или 12)")), "НЕ ЦИФРЫ"))</f>
        <v/>
      </c>
      <c r="E409">
        <f>MID(B409,1,1)*9+MID(B409,2,1)*8+MID(B409,3,1)*7+MID(B409,4,1)*6+MID(B409,5,1)*5+MID(B409,6,1)*4+MID(B409,7,1)*3+MID(B409,8,1)*2+MID(B409,9,1)</f>
        <v/>
      </c>
      <c r="F409">
        <f>IF(B409="", " ", IF(LEN(B409)&lt;&gt;11, "ДЛИНА", IF(NOT(ISNUMBER(--B409)), "НЕ ЦИФРЫ", IF(LEFT(B409,9)*1&lt;=1001998, "OK", IF(RIGHT(B409,2)*1=IF(MOD(E409,101)&gt;=100,0,MOD(E409,101)),"OK","ОШИБКА")))))</f>
        <v/>
      </c>
      <c r="G4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09">
        <f>IF(LEN(TRIM(A409))=10, --MID(A409,1,1)*2+--MID(A409,2,1)*4+--MID(A409,3,1)*10+--MID(A409,4,1)*3+--MID(A409,5,1)*5+--MID(A409,6,1)*9+--MID(A409,7,1)*4+--MID(A409,8,1)*6+--MID(A409,9,1)*8, IF(LEN(TRIM(A409))=12, --MID(A409,1,1)*7+--MID(A409,2,1)*2+--MID(A409,3,1)*4+--MID(A409,4,1)*10+--MID(A409,5,1)*3+--MID(A409,6,1)*5+--MID(A409,7,1)*9+--MID(A409,8,1)*4+--MID(A409,9,1)*6+--MID(A409,10,1)*8, ""))</f>
        <v/>
      </c>
      <c r="I409">
        <f>IF(LEN(TRIM(A409))=12, --MID(A409,1,1)*3+--MID(A409,2,1)*7+--MID(A409,3,1)*2+--MID(A409,4,1)*4+--MID(A409,5,1)*10+--MID(A409,6,1)*3+--MID(A409,7,1)*5+--MID(A409,8,1)*9+--MID(A409,9,1)*4+--MID(A409,10,1)*6+--MID(A409,11,1)*8, "")</f>
        <v/>
      </c>
    </row>
    <row r="410">
      <c r="A410">
        <f>SUBSTITUTE(SUBSTITUTE(SUBSTITUTE(SUBSTITUTE(TRIM(INDEX(Реестр!$B:$B,ROW())),CHAR(160),""),CHAR(9),""),CHAR(10),""),CHAR(13),"")</f>
        <v/>
      </c>
      <c r="B410">
        <f>SUBSTITUTE(SUBSTITUTE(SUBSTITUTE(SUBSTITUTE(SUBSTITUTE(SUBSTITUTE(SUBSTITUTE(TRIM(INDEX(Реестр!$D:$D, ROW())), "-", ""), " ", ""), CHAR(160), ""), CHAR(9), ""), CHAR(10), ""), CHAR(13), ""), CHAR(32), "")</f>
        <v/>
      </c>
      <c r="C410">
        <f>INDEX(Реестр!$H:$H, ROW())</f>
        <v/>
      </c>
      <c r="D410">
        <f>IF(OR(ISBLANK(INDEX(Реестр!$B:$B, ROW())), INDEX(Реестр!$B:$B, ROW())=""), " ", IF(IFERROR(ISNUMBER(--A410),FALSE), IF(LEN(A410)=10, IF(MOD(MOD(H410,11),10)=--RIGHT(A410,1), "OK", "ОШИБКА"), IF(LEN(A410)=12, IF(AND(MOD(MOD(H410,11),10)=--MID(A410,11,1), MOD(MOD(I410,11),10)=--RIGHT(A410,1)), "OK", "ОШИБКА"), "ДЛИНА (10 или 12)")), "НЕ ЦИФРЫ"))</f>
        <v/>
      </c>
      <c r="E410">
        <f>MID(B410,1,1)*9+MID(B410,2,1)*8+MID(B410,3,1)*7+MID(B410,4,1)*6+MID(B410,5,1)*5+MID(B410,6,1)*4+MID(B410,7,1)*3+MID(B410,8,1)*2+MID(B410,9,1)</f>
        <v/>
      </c>
      <c r="F410">
        <f>IF(B410="", " ", IF(LEN(B410)&lt;&gt;11, "ДЛИНА", IF(NOT(ISNUMBER(--B410)), "НЕ ЦИФРЫ", IF(LEFT(B410,9)*1&lt;=1001998, "OK", IF(RIGHT(B410,2)*1=IF(MOD(E410,101)&gt;=100,0,MOD(E410,101)),"OK","ОШИБКА")))))</f>
        <v/>
      </c>
      <c r="G4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0">
        <f>IF(LEN(TRIM(A410))=10, --MID(A410,1,1)*2+--MID(A410,2,1)*4+--MID(A410,3,1)*10+--MID(A410,4,1)*3+--MID(A410,5,1)*5+--MID(A410,6,1)*9+--MID(A410,7,1)*4+--MID(A410,8,1)*6+--MID(A410,9,1)*8, IF(LEN(TRIM(A410))=12, --MID(A410,1,1)*7+--MID(A410,2,1)*2+--MID(A410,3,1)*4+--MID(A410,4,1)*10+--MID(A410,5,1)*3+--MID(A410,6,1)*5+--MID(A410,7,1)*9+--MID(A410,8,1)*4+--MID(A410,9,1)*6+--MID(A410,10,1)*8, ""))</f>
        <v/>
      </c>
      <c r="I410">
        <f>IF(LEN(TRIM(A410))=12, --MID(A410,1,1)*3+--MID(A410,2,1)*7+--MID(A410,3,1)*2+--MID(A410,4,1)*4+--MID(A410,5,1)*10+--MID(A410,6,1)*3+--MID(A410,7,1)*5+--MID(A410,8,1)*9+--MID(A410,9,1)*4+--MID(A410,10,1)*6+--MID(A410,11,1)*8, "")</f>
        <v/>
      </c>
    </row>
    <row r="411">
      <c r="A411">
        <f>SUBSTITUTE(SUBSTITUTE(SUBSTITUTE(SUBSTITUTE(TRIM(INDEX(Реестр!$B:$B,ROW())),CHAR(160),""),CHAR(9),""),CHAR(10),""),CHAR(13),"")</f>
        <v/>
      </c>
      <c r="B411">
        <f>SUBSTITUTE(SUBSTITUTE(SUBSTITUTE(SUBSTITUTE(SUBSTITUTE(SUBSTITUTE(SUBSTITUTE(TRIM(INDEX(Реестр!$D:$D, ROW())), "-", ""), " ", ""), CHAR(160), ""), CHAR(9), ""), CHAR(10), ""), CHAR(13), ""), CHAR(32), "")</f>
        <v/>
      </c>
      <c r="C411">
        <f>INDEX(Реестр!$H:$H, ROW())</f>
        <v/>
      </c>
      <c r="D411">
        <f>IF(OR(ISBLANK(INDEX(Реестр!$B:$B, ROW())), INDEX(Реестр!$B:$B, ROW())=""), " ", IF(IFERROR(ISNUMBER(--A411),FALSE), IF(LEN(A411)=10, IF(MOD(MOD(H411,11),10)=--RIGHT(A411,1), "OK", "ОШИБКА"), IF(LEN(A411)=12, IF(AND(MOD(MOD(H411,11),10)=--MID(A411,11,1), MOD(MOD(I411,11),10)=--RIGHT(A411,1)), "OK", "ОШИБКА"), "ДЛИНА (10 или 12)")), "НЕ ЦИФРЫ"))</f>
        <v/>
      </c>
      <c r="E411">
        <f>MID(B411,1,1)*9+MID(B411,2,1)*8+MID(B411,3,1)*7+MID(B411,4,1)*6+MID(B411,5,1)*5+MID(B411,6,1)*4+MID(B411,7,1)*3+MID(B411,8,1)*2+MID(B411,9,1)</f>
        <v/>
      </c>
      <c r="F411">
        <f>IF(B411="", " ", IF(LEN(B411)&lt;&gt;11, "ДЛИНА", IF(NOT(ISNUMBER(--B411)), "НЕ ЦИФРЫ", IF(LEFT(B411,9)*1&lt;=1001998, "OK", IF(RIGHT(B411,2)*1=IF(MOD(E411,101)&gt;=100,0,MOD(E411,101)),"OK","ОШИБКА")))))</f>
        <v/>
      </c>
      <c r="G4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1">
        <f>IF(LEN(TRIM(A411))=10, --MID(A411,1,1)*2+--MID(A411,2,1)*4+--MID(A411,3,1)*10+--MID(A411,4,1)*3+--MID(A411,5,1)*5+--MID(A411,6,1)*9+--MID(A411,7,1)*4+--MID(A411,8,1)*6+--MID(A411,9,1)*8, IF(LEN(TRIM(A411))=12, --MID(A411,1,1)*7+--MID(A411,2,1)*2+--MID(A411,3,1)*4+--MID(A411,4,1)*10+--MID(A411,5,1)*3+--MID(A411,6,1)*5+--MID(A411,7,1)*9+--MID(A411,8,1)*4+--MID(A411,9,1)*6+--MID(A411,10,1)*8, ""))</f>
        <v/>
      </c>
      <c r="I411">
        <f>IF(LEN(TRIM(A411))=12, --MID(A411,1,1)*3+--MID(A411,2,1)*7+--MID(A411,3,1)*2+--MID(A411,4,1)*4+--MID(A411,5,1)*10+--MID(A411,6,1)*3+--MID(A411,7,1)*5+--MID(A411,8,1)*9+--MID(A411,9,1)*4+--MID(A411,10,1)*6+--MID(A411,11,1)*8, "")</f>
        <v/>
      </c>
    </row>
    <row r="412">
      <c r="A412">
        <f>SUBSTITUTE(SUBSTITUTE(SUBSTITUTE(SUBSTITUTE(TRIM(INDEX(Реестр!$B:$B,ROW())),CHAR(160),""),CHAR(9),""),CHAR(10),""),CHAR(13),"")</f>
        <v/>
      </c>
      <c r="B412">
        <f>SUBSTITUTE(SUBSTITUTE(SUBSTITUTE(SUBSTITUTE(SUBSTITUTE(SUBSTITUTE(SUBSTITUTE(TRIM(INDEX(Реестр!$D:$D, ROW())), "-", ""), " ", ""), CHAR(160), ""), CHAR(9), ""), CHAR(10), ""), CHAR(13), ""), CHAR(32), "")</f>
        <v/>
      </c>
      <c r="C412">
        <f>INDEX(Реестр!$H:$H, ROW())</f>
        <v/>
      </c>
      <c r="D412">
        <f>IF(OR(ISBLANK(INDEX(Реестр!$B:$B, ROW())), INDEX(Реестр!$B:$B, ROW())=""), " ", IF(IFERROR(ISNUMBER(--A412),FALSE), IF(LEN(A412)=10, IF(MOD(MOD(H412,11),10)=--RIGHT(A412,1), "OK", "ОШИБКА"), IF(LEN(A412)=12, IF(AND(MOD(MOD(H412,11),10)=--MID(A412,11,1), MOD(MOD(I412,11),10)=--RIGHT(A412,1)), "OK", "ОШИБКА"), "ДЛИНА (10 или 12)")), "НЕ ЦИФРЫ"))</f>
        <v/>
      </c>
      <c r="E412">
        <f>MID(B412,1,1)*9+MID(B412,2,1)*8+MID(B412,3,1)*7+MID(B412,4,1)*6+MID(B412,5,1)*5+MID(B412,6,1)*4+MID(B412,7,1)*3+MID(B412,8,1)*2+MID(B412,9,1)</f>
        <v/>
      </c>
      <c r="F412">
        <f>IF(B412="", " ", IF(LEN(B412)&lt;&gt;11, "ДЛИНА", IF(NOT(ISNUMBER(--B412)), "НЕ ЦИФРЫ", IF(LEFT(B412,9)*1&lt;=1001998, "OK", IF(RIGHT(B412,2)*1=IF(MOD(E412,101)&gt;=100,0,MOD(E412,101)),"OK","ОШИБКА")))))</f>
        <v/>
      </c>
      <c r="G4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2">
        <f>IF(LEN(TRIM(A412))=10, --MID(A412,1,1)*2+--MID(A412,2,1)*4+--MID(A412,3,1)*10+--MID(A412,4,1)*3+--MID(A412,5,1)*5+--MID(A412,6,1)*9+--MID(A412,7,1)*4+--MID(A412,8,1)*6+--MID(A412,9,1)*8, IF(LEN(TRIM(A412))=12, --MID(A412,1,1)*7+--MID(A412,2,1)*2+--MID(A412,3,1)*4+--MID(A412,4,1)*10+--MID(A412,5,1)*3+--MID(A412,6,1)*5+--MID(A412,7,1)*9+--MID(A412,8,1)*4+--MID(A412,9,1)*6+--MID(A412,10,1)*8, ""))</f>
        <v/>
      </c>
      <c r="I412">
        <f>IF(LEN(TRIM(A412))=12, --MID(A412,1,1)*3+--MID(A412,2,1)*7+--MID(A412,3,1)*2+--MID(A412,4,1)*4+--MID(A412,5,1)*10+--MID(A412,6,1)*3+--MID(A412,7,1)*5+--MID(A412,8,1)*9+--MID(A412,9,1)*4+--MID(A412,10,1)*6+--MID(A412,11,1)*8, "")</f>
        <v/>
      </c>
    </row>
    <row r="413">
      <c r="A413">
        <f>SUBSTITUTE(SUBSTITUTE(SUBSTITUTE(SUBSTITUTE(TRIM(INDEX(Реестр!$B:$B,ROW())),CHAR(160),""),CHAR(9),""),CHAR(10),""),CHAR(13),"")</f>
        <v/>
      </c>
      <c r="B413">
        <f>SUBSTITUTE(SUBSTITUTE(SUBSTITUTE(SUBSTITUTE(SUBSTITUTE(SUBSTITUTE(SUBSTITUTE(TRIM(INDEX(Реестр!$D:$D, ROW())), "-", ""), " ", ""), CHAR(160), ""), CHAR(9), ""), CHAR(10), ""), CHAR(13), ""), CHAR(32), "")</f>
        <v/>
      </c>
      <c r="C413">
        <f>INDEX(Реестр!$H:$H, ROW())</f>
        <v/>
      </c>
      <c r="D413">
        <f>IF(OR(ISBLANK(INDEX(Реестр!$B:$B, ROW())), INDEX(Реестр!$B:$B, ROW())=""), " ", IF(IFERROR(ISNUMBER(--A413),FALSE), IF(LEN(A413)=10, IF(MOD(MOD(H413,11),10)=--RIGHT(A413,1), "OK", "ОШИБКА"), IF(LEN(A413)=12, IF(AND(MOD(MOD(H413,11),10)=--MID(A413,11,1), MOD(MOD(I413,11),10)=--RIGHT(A413,1)), "OK", "ОШИБКА"), "ДЛИНА (10 или 12)")), "НЕ ЦИФРЫ"))</f>
        <v/>
      </c>
      <c r="E413">
        <f>MID(B413,1,1)*9+MID(B413,2,1)*8+MID(B413,3,1)*7+MID(B413,4,1)*6+MID(B413,5,1)*5+MID(B413,6,1)*4+MID(B413,7,1)*3+MID(B413,8,1)*2+MID(B413,9,1)</f>
        <v/>
      </c>
      <c r="F413">
        <f>IF(B413="", " ", IF(LEN(B413)&lt;&gt;11, "ДЛИНА", IF(NOT(ISNUMBER(--B413)), "НЕ ЦИФРЫ", IF(LEFT(B413,9)*1&lt;=1001998, "OK", IF(RIGHT(B413,2)*1=IF(MOD(E413,101)&gt;=100,0,MOD(E413,101)),"OK","ОШИБКА")))))</f>
        <v/>
      </c>
      <c r="G4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3">
        <f>IF(LEN(TRIM(A413))=10, --MID(A413,1,1)*2+--MID(A413,2,1)*4+--MID(A413,3,1)*10+--MID(A413,4,1)*3+--MID(A413,5,1)*5+--MID(A413,6,1)*9+--MID(A413,7,1)*4+--MID(A413,8,1)*6+--MID(A413,9,1)*8, IF(LEN(TRIM(A413))=12, --MID(A413,1,1)*7+--MID(A413,2,1)*2+--MID(A413,3,1)*4+--MID(A413,4,1)*10+--MID(A413,5,1)*3+--MID(A413,6,1)*5+--MID(A413,7,1)*9+--MID(A413,8,1)*4+--MID(A413,9,1)*6+--MID(A413,10,1)*8, ""))</f>
        <v/>
      </c>
      <c r="I413">
        <f>IF(LEN(TRIM(A413))=12, --MID(A413,1,1)*3+--MID(A413,2,1)*7+--MID(A413,3,1)*2+--MID(A413,4,1)*4+--MID(A413,5,1)*10+--MID(A413,6,1)*3+--MID(A413,7,1)*5+--MID(A413,8,1)*9+--MID(A413,9,1)*4+--MID(A413,10,1)*6+--MID(A413,11,1)*8, "")</f>
        <v/>
      </c>
    </row>
    <row r="414">
      <c r="A414">
        <f>SUBSTITUTE(SUBSTITUTE(SUBSTITUTE(SUBSTITUTE(TRIM(INDEX(Реестр!$B:$B,ROW())),CHAR(160),""),CHAR(9),""),CHAR(10),""),CHAR(13),"")</f>
        <v/>
      </c>
      <c r="B414">
        <f>SUBSTITUTE(SUBSTITUTE(SUBSTITUTE(SUBSTITUTE(SUBSTITUTE(SUBSTITUTE(SUBSTITUTE(TRIM(INDEX(Реестр!$D:$D, ROW())), "-", ""), " ", ""), CHAR(160), ""), CHAR(9), ""), CHAR(10), ""), CHAR(13), ""), CHAR(32), "")</f>
        <v/>
      </c>
      <c r="C414">
        <f>INDEX(Реестр!$H:$H, ROW())</f>
        <v/>
      </c>
      <c r="D414">
        <f>IF(OR(ISBLANK(INDEX(Реестр!$B:$B, ROW())), INDEX(Реестр!$B:$B, ROW())=""), " ", IF(IFERROR(ISNUMBER(--A414),FALSE), IF(LEN(A414)=10, IF(MOD(MOD(H414,11),10)=--RIGHT(A414,1), "OK", "ОШИБКА"), IF(LEN(A414)=12, IF(AND(MOD(MOD(H414,11),10)=--MID(A414,11,1), MOD(MOD(I414,11),10)=--RIGHT(A414,1)), "OK", "ОШИБКА"), "ДЛИНА (10 или 12)")), "НЕ ЦИФРЫ"))</f>
        <v/>
      </c>
      <c r="E414">
        <f>MID(B414,1,1)*9+MID(B414,2,1)*8+MID(B414,3,1)*7+MID(B414,4,1)*6+MID(B414,5,1)*5+MID(B414,6,1)*4+MID(B414,7,1)*3+MID(B414,8,1)*2+MID(B414,9,1)</f>
        <v/>
      </c>
      <c r="F414">
        <f>IF(B414="", " ", IF(LEN(B414)&lt;&gt;11, "ДЛИНА", IF(NOT(ISNUMBER(--B414)), "НЕ ЦИФРЫ", IF(LEFT(B414,9)*1&lt;=1001998, "OK", IF(RIGHT(B414,2)*1=IF(MOD(E414,101)&gt;=100,0,MOD(E414,101)),"OK","ОШИБКА")))))</f>
        <v/>
      </c>
      <c r="G4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4">
        <f>IF(LEN(TRIM(A414))=10, --MID(A414,1,1)*2+--MID(A414,2,1)*4+--MID(A414,3,1)*10+--MID(A414,4,1)*3+--MID(A414,5,1)*5+--MID(A414,6,1)*9+--MID(A414,7,1)*4+--MID(A414,8,1)*6+--MID(A414,9,1)*8, IF(LEN(TRIM(A414))=12, --MID(A414,1,1)*7+--MID(A414,2,1)*2+--MID(A414,3,1)*4+--MID(A414,4,1)*10+--MID(A414,5,1)*3+--MID(A414,6,1)*5+--MID(A414,7,1)*9+--MID(A414,8,1)*4+--MID(A414,9,1)*6+--MID(A414,10,1)*8, ""))</f>
        <v/>
      </c>
      <c r="I414">
        <f>IF(LEN(TRIM(A414))=12, --MID(A414,1,1)*3+--MID(A414,2,1)*7+--MID(A414,3,1)*2+--MID(A414,4,1)*4+--MID(A414,5,1)*10+--MID(A414,6,1)*3+--MID(A414,7,1)*5+--MID(A414,8,1)*9+--MID(A414,9,1)*4+--MID(A414,10,1)*6+--MID(A414,11,1)*8, "")</f>
        <v/>
      </c>
    </row>
    <row r="415">
      <c r="A415">
        <f>SUBSTITUTE(SUBSTITUTE(SUBSTITUTE(SUBSTITUTE(TRIM(INDEX(Реестр!$B:$B,ROW())),CHAR(160),""),CHAR(9),""),CHAR(10),""),CHAR(13),"")</f>
        <v/>
      </c>
      <c r="B415">
        <f>SUBSTITUTE(SUBSTITUTE(SUBSTITUTE(SUBSTITUTE(SUBSTITUTE(SUBSTITUTE(SUBSTITUTE(TRIM(INDEX(Реестр!$D:$D, ROW())), "-", ""), " ", ""), CHAR(160), ""), CHAR(9), ""), CHAR(10), ""), CHAR(13), ""), CHAR(32), "")</f>
        <v/>
      </c>
      <c r="C415">
        <f>INDEX(Реестр!$H:$H, ROW())</f>
        <v/>
      </c>
      <c r="D415">
        <f>IF(OR(ISBLANK(INDEX(Реестр!$B:$B, ROW())), INDEX(Реестр!$B:$B, ROW())=""), " ", IF(IFERROR(ISNUMBER(--A415),FALSE), IF(LEN(A415)=10, IF(MOD(MOD(H415,11),10)=--RIGHT(A415,1), "OK", "ОШИБКА"), IF(LEN(A415)=12, IF(AND(MOD(MOD(H415,11),10)=--MID(A415,11,1), MOD(MOD(I415,11),10)=--RIGHT(A415,1)), "OK", "ОШИБКА"), "ДЛИНА (10 или 12)")), "НЕ ЦИФРЫ"))</f>
        <v/>
      </c>
      <c r="E415">
        <f>MID(B415,1,1)*9+MID(B415,2,1)*8+MID(B415,3,1)*7+MID(B415,4,1)*6+MID(B415,5,1)*5+MID(B415,6,1)*4+MID(B415,7,1)*3+MID(B415,8,1)*2+MID(B415,9,1)</f>
        <v/>
      </c>
      <c r="F415">
        <f>IF(B415="", " ", IF(LEN(B415)&lt;&gt;11, "ДЛИНА", IF(NOT(ISNUMBER(--B415)), "НЕ ЦИФРЫ", IF(LEFT(B415,9)*1&lt;=1001998, "OK", IF(RIGHT(B415,2)*1=IF(MOD(E415,101)&gt;=100,0,MOD(E415,101)),"OK","ОШИБКА")))))</f>
        <v/>
      </c>
      <c r="G4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5">
        <f>IF(LEN(TRIM(A415))=10, --MID(A415,1,1)*2+--MID(A415,2,1)*4+--MID(A415,3,1)*10+--MID(A415,4,1)*3+--MID(A415,5,1)*5+--MID(A415,6,1)*9+--MID(A415,7,1)*4+--MID(A415,8,1)*6+--MID(A415,9,1)*8, IF(LEN(TRIM(A415))=12, --MID(A415,1,1)*7+--MID(A415,2,1)*2+--MID(A415,3,1)*4+--MID(A415,4,1)*10+--MID(A415,5,1)*3+--MID(A415,6,1)*5+--MID(A415,7,1)*9+--MID(A415,8,1)*4+--MID(A415,9,1)*6+--MID(A415,10,1)*8, ""))</f>
        <v/>
      </c>
      <c r="I415">
        <f>IF(LEN(TRIM(A415))=12, --MID(A415,1,1)*3+--MID(A415,2,1)*7+--MID(A415,3,1)*2+--MID(A415,4,1)*4+--MID(A415,5,1)*10+--MID(A415,6,1)*3+--MID(A415,7,1)*5+--MID(A415,8,1)*9+--MID(A415,9,1)*4+--MID(A415,10,1)*6+--MID(A415,11,1)*8, "")</f>
        <v/>
      </c>
    </row>
    <row r="416">
      <c r="A416">
        <f>SUBSTITUTE(SUBSTITUTE(SUBSTITUTE(SUBSTITUTE(TRIM(INDEX(Реестр!$B:$B,ROW())),CHAR(160),""),CHAR(9),""),CHAR(10),""),CHAR(13),"")</f>
        <v/>
      </c>
      <c r="B416">
        <f>SUBSTITUTE(SUBSTITUTE(SUBSTITUTE(SUBSTITUTE(SUBSTITUTE(SUBSTITUTE(SUBSTITUTE(TRIM(INDEX(Реестр!$D:$D, ROW())), "-", ""), " ", ""), CHAR(160), ""), CHAR(9), ""), CHAR(10), ""), CHAR(13), ""), CHAR(32), "")</f>
        <v/>
      </c>
      <c r="C416">
        <f>INDEX(Реестр!$H:$H, ROW())</f>
        <v/>
      </c>
      <c r="D416">
        <f>IF(OR(ISBLANK(INDEX(Реестр!$B:$B, ROW())), INDEX(Реестр!$B:$B, ROW())=""), " ", IF(IFERROR(ISNUMBER(--A416),FALSE), IF(LEN(A416)=10, IF(MOD(MOD(H416,11),10)=--RIGHT(A416,1), "OK", "ОШИБКА"), IF(LEN(A416)=12, IF(AND(MOD(MOD(H416,11),10)=--MID(A416,11,1), MOD(MOD(I416,11),10)=--RIGHT(A416,1)), "OK", "ОШИБКА"), "ДЛИНА (10 или 12)")), "НЕ ЦИФРЫ"))</f>
        <v/>
      </c>
      <c r="E416">
        <f>MID(B416,1,1)*9+MID(B416,2,1)*8+MID(B416,3,1)*7+MID(B416,4,1)*6+MID(B416,5,1)*5+MID(B416,6,1)*4+MID(B416,7,1)*3+MID(B416,8,1)*2+MID(B416,9,1)</f>
        <v/>
      </c>
      <c r="F416">
        <f>IF(B416="", " ", IF(LEN(B416)&lt;&gt;11, "ДЛИНА", IF(NOT(ISNUMBER(--B416)), "НЕ ЦИФРЫ", IF(LEFT(B416,9)*1&lt;=1001998, "OK", IF(RIGHT(B416,2)*1=IF(MOD(E416,101)&gt;=100,0,MOD(E416,101)),"OK","ОШИБКА")))))</f>
        <v/>
      </c>
      <c r="G4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6">
        <f>IF(LEN(TRIM(A416))=10, --MID(A416,1,1)*2+--MID(A416,2,1)*4+--MID(A416,3,1)*10+--MID(A416,4,1)*3+--MID(A416,5,1)*5+--MID(A416,6,1)*9+--MID(A416,7,1)*4+--MID(A416,8,1)*6+--MID(A416,9,1)*8, IF(LEN(TRIM(A416))=12, --MID(A416,1,1)*7+--MID(A416,2,1)*2+--MID(A416,3,1)*4+--MID(A416,4,1)*10+--MID(A416,5,1)*3+--MID(A416,6,1)*5+--MID(A416,7,1)*9+--MID(A416,8,1)*4+--MID(A416,9,1)*6+--MID(A416,10,1)*8, ""))</f>
        <v/>
      </c>
      <c r="I416">
        <f>IF(LEN(TRIM(A416))=12, --MID(A416,1,1)*3+--MID(A416,2,1)*7+--MID(A416,3,1)*2+--MID(A416,4,1)*4+--MID(A416,5,1)*10+--MID(A416,6,1)*3+--MID(A416,7,1)*5+--MID(A416,8,1)*9+--MID(A416,9,1)*4+--MID(A416,10,1)*6+--MID(A416,11,1)*8, "")</f>
        <v/>
      </c>
    </row>
    <row r="417">
      <c r="A417">
        <f>SUBSTITUTE(SUBSTITUTE(SUBSTITUTE(SUBSTITUTE(TRIM(INDEX(Реестр!$B:$B,ROW())),CHAR(160),""),CHAR(9),""),CHAR(10),""),CHAR(13),"")</f>
        <v/>
      </c>
      <c r="B417">
        <f>SUBSTITUTE(SUBSTITUTE(SUBSTITUTE(SUBSTITUTE(SUBSTITUTE(SUBSTITUTE(SUBSTITUTE(TRIM(INDEX(Реестр!$D:$D, ROW())), "-", ""), " ", ""), CHAR(160), ""), CHAR(9), ""), CHAR(10), ""), CHAR(13), ""), CHAR(32), "")</f>
        <v/>
      </c>
      <c r="C417">
        <f>INDEX(Реестр!$H:$H, ROW())</f>
        <v/>
      </c>
      <c r="D417">
        <f>IF(OR(ISBLANK(INDEX(Реестр!$B:$B, ROW())), INDEX(Реестр!$B:$B, ROW())=""), " ", IF(IFERROR(ISNUMBER(--A417),FALSE), IF(LEN(A417)=10, IF(MOD(MOD(H417,11),10)=--RIGHT(A417,1), "OK", "ОШИБКА"), IF(LEN(A417)=12, IF(AND(MOD(MOD(H417,11),10)=--MID(A417,11,1), MOD(MOD(I417,11),10)=--RIGHT(A417,1)), "OK", "ОШИБКА"), "ДЛИНА (10 или 12)")), "НЕ ЦИФРЫ"))</f>
        <v/>
      </c>
      <c r="E417">
        <f>MID(B417,1,1)*9+MID(B417,2,1)*8+MID(B417,3,1)*7+MID(B417,4,1)*6+MID(B417,5,1)*5+MID(B417,6,1)*4+MID(B417,7,1)*3+MID(B417,8,1)*2+MID(B417,9,1)</f>
        <v/>
      </c>
      <c r="F417">
        <f>IF(B417="", " ", IF(LEN(B417)&lt;&gt;11, "ДЛИНА", IF(NOT(ISNUMBER(--B417)), "НЕ ЦИФРЫ", IF(LEFT(B417,9)*1&lt;=1001998, "OK", IF(RIGHT(B417,2)*1=IF(MOD(E417,101)&gt;=100,0,MOD(E417,101)),"OK","ОШИБКА")))))</f>
        <v/>
      </c>
      <c r="G4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7">
        <f>IF(LEN(TRIM(A417))=10, --MID(A417,1,1)*2+--MID(A417,2,1)*4+--MID(A417,3,1)*10+--MID(A417,4,1)*3+--MID(A417,5,1)*5+--MID(A417,6,1)*9+--MID(A417,7,1)*4+--MID(A417,8,1)*6+--MID(A417,9,1)*8, IF(LEN(TRIM(A417))=12, --MID(A417,1,1)*7+--MID(A417,2,1)*2+--MID(A417,3,1)*4+--MID(A417,4,1)*10+--MID(A417,5,1)*3+--MID(A417,6,1)*5+--MID(A417,7,1)*9+--MID(A417,8,1)*4+--MID(A417,9,1)*6+--MID(A417,10,1)*8, ""))</f>
        <v/>
      </c>
      <c r="I417">
        <f>IF(LEN(TRIM(A417))=12, --MID(A417,1,1)*3+--MID(A417,2,1)*7+--MID(A417,3,1)*2+--MID(A417,4,1)*4+--MID(A417,5,1)*10+--MID(A417,6,1)*3+--MID(A417,7,1)*5+--MID(A417,8,1)*9+--MID(A417,9,1)*4+--MID(A417,10,1)*6+--MID(A417,11,1)*8, "")</f>
        <v/>
      </c>
    </row>
    <row r="418">
      <c r="A418">
        <f>SUBSTITUTE(SUBSTITUTE(SUBSTITUTE(SUBSTITUTE(TRIM(INDEX(Реестр!$B:$B,ROW())),CHAR(160),""),CHAR(9),""),CHAR(10),""),CHAR(13),"")</f>
        <v/>
      </c>
      <c r="B418">
        <f>SUBSTITUTE(SUBSTITUTE(SUBSTITUTE(SUBSTITUTE(SUBSTITUTE(SUBSTITUTE(SUBSTITUTE(TRIM(INDEX(Реестр!$D:$D, ROW())), "-", ""), " ", ""), CHAR(160), ""), CHAR(9), ""), CHAR(10), ""), CHAR(13), ""), CHAR(32), "")</f>
        <v/>
      </c>
      <c r="C418">
        <f>INDEX(Реестр!$H:$H, ROW())</f>
        <v/>
      </c>
      <c r="D418">
        <f>IF(OR(ISBLANK(INDEX(Реестр!$B:$B, ROW())), INDEX(Реестр!$B:$B, ROW())=""), " ", IF(IFERROR(ISNUMBER(--A418),FALSE), IF(LEN(A418)=10, IF(MOD(MOD(H418,11),10)=--RIGHT(A418,1), "OK", "ОШИБКА"), IF(LEN(A418)=12, IF(AND(MOD(MOD(H418,11),10)=--MID(A418,11,1), MOD(MOD(I418,11),10)=--RIGHT(A418,1)), "OK", "ОШИБКА"), "ДЛИНА (10 или 12)")), "НЕ ЦИФРЫ"))</f>
        <v/>
      </c>
      <c r="E418">
        <f>MID(B418,1,1)*9+MID(B418,2,1)*8+MID(B418,3,1)*7+MID(B418,4,1)*6+MID(B418,5,1)*5+MID(B418,6,1)*4+MID(B418,7,1)*3+MID(B418,8,1)*2+MID(B418,9,1)</f>
        <v/>
      </c>
      <c r="F418">
        <f>IF(B418="", " ", IF(LEN(B418)&lt;&gt;11, "ДЛИНА", IF(NOT(ISNUMBER(--B418)), "НЕ ЦИФРЫ", IF(LEFT(B418,9)*1&lt;=1001998, "OK", IF(RIGHT(B418,2)*1=IF(MOD(E418,101)&gt;=100,0,MOD(E418,101)),"OK","ОШИБКА")))))</f>
        <v/>
      </c>
      <c r="G4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8">
        <f>IF(LEN(TRIM(A418))=10, --MID(A418,1,1)*2+--MID(A418,2,1)*4+--MID(A418,3,1)*10+--MID(A418,4,1)*3+--MID(A418,5,1)*5+--MID(A418,6,1)*9+--MID(A418,7,1)*4+--MID(A418,8,1)*6+--MID(A418,9,1)*8, IF(LEN(TRIM(A418))=12, --MID(A418,1,1)*7+--MID(A418,2,1)*2+--MID(A418,3,1)*4+--MID(A418,4,1)*10+--MID(A418,5,1)*3+--MID(A418,6,1)*5+--MID(A418,7,1)*9+--MID(A418,8,1)*4+--MID(A418,9,1)*6+--MID(A418,10,1)*8, ""))</f>
        <v/>
      </c>
      <c r="I418">
        <f>IF(LEN(TRIM(A418))=12, --MID(A418,1,1)*3+--MID(A418,2,1)*7+--MID(A418,3,1)*2+--MID(A418,4,1)*4+--MID(A418,5,1)*10+--MID(A418,6,1)*3+--MID(A418,7,1)*5+--MID(A418,8,1)*9+--MID(A418,9,1)*4+--MID(A418,10,1)*6+--MID(A418,11,1)*8, "")</f>
        <v/>
      </c>
    </row>
    <row r="419">
      <c r="A419">
        <f>SUBSTITUTE(SUBSTITUTE(SUBSTITUTE(SUBSTITUTE(TRIM(INDEX(Реестр!$B:$B,ROW())),CHAR(160),""),CHAR(9),""),CHAR(10),""),CHAR(13),"")</f>
        <v/>
      </c>
      <c r="B419">
        <f>SUBSTITUTE(SUBSTITUTE(SUBSTITUTE(SUBSTITUTE(SUBSTITUTE(SUBSTITUTE(SUBSTITUTE(TRIM(INDEX(Реестр!$D:$D, ROW())), "-", ""), " ", ""), CHAR(160), ""), CHAR(9), ""), CHAR(10), ""), CHAR(13), ""), CHAR(32), "")</f>
        <v/>
      </c>
      <c r="C419">
        <f>INDEX(Реестр!$H:$H, ROW())</f>
        <v/>
      </c>
      <c r="D419">
        <f>IF(OR(ISBLANK(INDEX(Реестр!$B:$B, ROW())), INDEX(Реестр!$B:$B, ROW())=""), " ", IF(IFERROR(ISNUMBER(--A419),FALSE), IF(LEN(A419)=10, IF(MOD(MOD(H419,11),10)=--RIGHT(A419,1), "OK", "ОШИБКА"), IF(LEN(A419)=12, IF(AND(MOD(MOD(H419,11),10)=--MID(A419,11,1), MOD(MOD(I419,11),10)=--RIGHT(A419,1)), "OK", "ОШИБКА"), "ДЛИНА (10 или 12)")), "НЕ ЦИФРЫ"))</f>
        <v/>
      </c>
      <c r="E419">
        <f>MID(B419,1,1)*9+MID(B419,2,1)*8+MID(B419,3,1)*7+MID(B419,4,1)*6+MID(B419,5,1)*5+MID(B419,6,1)*4+MID(B419,7,1)*3+MID(B419,8,1)*2+MID(B419,9,1)</f>
        <v/>
      </c>
      <c r="F419">
        <f>IF(B419="", " ", IF(LEN(B419)&lt;&gt;11, "ДЛИНА", IF(NOT(ISNUMBER(--B419)), "НЕ ЦИФРЫ", IF(LEFT(B419,9)*1&lt;=1001998, "OK", IF(RIGHT(B419,2)*1=IF(MOD(E419,101)&gt;=100,0,MOD(E419,101)),"OK","ОШИБКА")))))</f>
        <v/>
      </c>
      <c r="G4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19">
        <f>IF(LEN(TRIM(A419))=10, --MID(A419,1,1)*2+--MID(A419,2,1)*4+--MID(A419,3,1)*10+--MID(A419,4,1)*3+--MID(A419,5,1)*5+--MID(A419,6,1)*9+--MID(A419,7,1)*4+--MID(A419,8,1)*6+--MID(A419,9,1)*8, IF(LEN(TRIM(A419))=12, --MID(A419,1,1)*7+--MID(A419,2,1)*2+--MID(A419,3,1)*4+--MID(A419,4,1)*10+--MID(A419,5,1)*3+--MID(A419,6,1)*5+--MID(A419,7,1)*9+--MID(A419,8,1)*4+--MID(A419,9,1)*6+--MID(A419,10,1)*8, ""))</f>
        <v/>
      </c>
      <c r="I419">
        <f>IF(LEN(TRIM(A419))=12, --MID(A419,1,1)*3+--MID(A419,2,1)*7+--MID(A419,3,1)*2+--MID(A419,4,1)*4+--MID(A419,5,1)*10+--MID(A419,6,1)*3+--MID(A419,7,1)*5+--MID(A419,8,1)*9+--MID(A419,9,1)*4+--MID(A419,10,1)*6+--MID(A419,11,1)*8, "")</f>
        <v/>
      </c>
    </row>
    <row r="420">
      <c r="A420">
        <f>SUBSTITUTE(SUBSTITUTE(SUBSTITUTE(SUBSTITUTE(TRIM(INDEX(Реестр!$B:$B,ROW())),CHAR(160),""),CHAR(9),""),CHAR(10),""),CHAR(13),"")</f>
        <v/>
      </c>
      <c r="B420">
        <f>SUBSTITUTE(SUBSTITUTE(SUBSTITUTE(SUBSTITUTE(SUBSTITUTE(SUBSTITUTE(SUBSTITUTE(TRIM(INDEX(Реестр!$D:$D, ROW())), "-", ""), " ", ""), CHAR(160), ""), CHAR(9), ""), CHAR(10), ""), CHAR(13), ""), CHAR(32), "")</f>
        <v/>
      </c>
      <c r="C420">
        <f>INDEX(Реестр!$H:$H, ROW())</f>
        <v/>
      </c>
      <c r="D420">
        <f>IF(OR(ISBLANK(INDEX(Реестр!$B:$B, ROW())), INDEX(Реестр!$B:$B, ROW())=""), " ", IF(IFERROR(ISNUMBER(--A420),FALSE), IF(LEN(A420)=10, IF(MOD(MOD(H420,11),10)=--RIGHT(A420,1), "OK", "ОШИБКА"), IF(LEN(A420)=12, IF(AND(MOD(MOD(H420,11),10)=--MID(A420,11,1), MOD(MOD(I420,11),10)=--RIGHT(A420,1)), "OK", "ОШИБКА"), "ДЛИНА (10 или 12)")), "НЕ ЦИФРЫ"))</f>
        <v/>
      </c>
      <c r="E420">
        <f>MID(B420,1,1)*9+MID(B420,2,1)*8+MID(B420,3,1)*7+MID(B420,4,1)*6+MID(B420,5,1)*5+MID(B420,6,1)*4+MID(B420,7,1)*3+MID(B420,8,1)*2+MID(B420,9,1)</f>
        <v/>
      </c>
      <c r="F420">
        <f>IF(B420="", " ", IF(LEN(B420)&lt;&gt;11, "ДЛИНА", IF(NOT(ISNUMBER(--B420)), "НЕ ЦИФРЫ", IF(LEFT(B420,9)*1&lt;=1001998, "OK", IF(RIGHT(B420,2)*1=IF(MOD(E420,101)&gt;=100,0,MOD(E420,101)),"OK","ОШИБКА")))))</f>
        <v/>
      </c>
      <c r="G4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0">
        <f>IF(LEN(TRIM(A420))=10, --MID(A420,1,1)*2+--MID(A420,2,1)*4+--MID(A420,3,1)*10+--MID(A420,4,1)*3+--MID(A420,5,1)*5+--MID(A420,6,1)*9+--MID(A420,7,1)*4+--MID(A420,8,1)*6+--MID(A420,9,1)*8, IF(LEN(TRIM(A420))=12, --MID(A420,1,1)*7+--MID(A420,2,1)*2+--MID(A420,3,1)*4+--MID(A420,4,1)*10+--MID(A420,5,1)*3+--MID(A420,6,1)*5+--MID(A420,7,1)*9+--MID(A420,8,1)*4+--MID(A420,9,1)*6+--MID(A420,10,1)*8, ""))</f>
        <v/>
      </c>
      <c r="I420">
        <f>IF(LEN(TRIM(A420))=12, --MID(A420,1,1)*3+--MID(A420,2,1)*7+--MID(A420,3,1)*2+--MID(A420,4,1)*4+--MID(A420,5,1)*10+--MID(A420,6,1)*3+--MID(A420,7,1)*5+--MID(A420,8,1)*9+--MID(A420,9,1)*4+--MID(A420,10,1)*6+--MID(A420,11,1)*8, "")</f>
        <v/>
      </c>
    </row>
    <row r="421">
      <c r="A421">
        <f>SUBSTITUTE(SUBSTITUTE(SUBSTITUTE(SUBSTITUTE(TRIM(INDEX(Реестр!$B:$B,ROW())),CHAR(160),""),CHAR(9),""),CHAR(10),""),CHAR(13),"")</f>
        <v/>
      </c>
      <c r="B421">
        <f>SUBSTITUTE(SUBSTITUTE(SUBSTITUTE(SUBSTITUTE(SUBSTITUTE(SUBSTITUTE(SUBSTITUTE(TRIM(INDEX(Реестр!$D:$D, ROW())), "-", ""), " ", ""), CHAR(160), ""), CHAR(9), ""), CHAR(10), ""), CHAR(13), ""), CHAR(32), "")</f>
        <v/>
      </c>
      <c r="C421">
        <f>INDEX(Реестр!$H:$H, ROW())</f>
        <v/>
      </c>
      <c r="D421">
        <f>IF(OR(ISBLANK(INDEX(Реестр!$B:$B, ROW())), INDEX(Реестр!$B:$B, ROW())=""), " ", IF(IFERROR(ISNUMBER(--A421),FALSE), IF(LEN(A421)=10, IF(MOD(MOD(H421,11),10)=--RIGHT(A421,1), "OK", "ОШИБКА"), IF(LEN(A421)=12, IF(AND(MOD(MOD(H421,11),10)=--MID(A421,11,1), MOD(MOD(I421,11),10)=--RIGHT(A421,1)), "OK", "ОШИБКА"), "ДЛИНА (10 или 12)")), "НЕ ЦИФРЫ"))</f>
        <v/>
      </c>
      <c r="E421">
        <f>MID(B421,1,1)*9+MID(B421,2,1)*8+MID(B421,3,1)*7+MID(B421,4,1)*6+MID(B421,5,1)*5+MID(B421,6,1)*4+MID(B421,7,1)*3+MID(B421,8,1)*2+MID(B421,9,1)</f>
        <v/>
      </c>
      <c r="F421">
        <f>IF(B421="", " ", IF(LEN(B421)&lt;&gt;11, "ДЛИНА", IF(NOT(ISNUMBER(--B421)), "НЕ ЦИФРЫ", IF(LEFT(B421,9)*1&lt;=1001998, "OK", IF(RIGHT(B421,2)*1=IF(MOD(E421,101)&gt;=100,0,MOD(E421,101)),"OK","ОШИБКА")))))</f>
        <v/>
      </c>
      <c r="G4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1">
        <f>IF(LEN(TRIM(A421))=10, --MID(A421,1,1)*2+--MID(A421,2,1)*4+--MID(A421,3,1)*10+--MID(A421,4,1)*3+--MID(A421,5,1)*5+--MID(A421,6,1)*9+--MID(A421,7,1)*4+--MID(A421,8,1)*6+--MID(A421,9,1)*8, IF(LEN(TRIM(A421))=12, --MID(A421,1,1)*7+--MID(A421,2,1)*2+--MID(A421,3,1)*4+--MID(A421,4,1)*10+--MID(A421,5,1)*3+--MID(A421,6,1)*5+--MID(A421,7,1)*9+--MID(A421,8,1)*4+--MID(A421,9,1)*6+--MID(A421,10,1)*8, ""))</f>
        <v/>
      </c>
      <c r="I421">
        <f>IF(LEN(TRIM(A421))=12, --MID(A421,1,1)*3+--MID(A421,2,1)*7+--MID(A421,3,1)*2+--MID(A421,4,1)*4+--MID(A421,5,1)*10+--MID(A421,6,1)*3+--MID(A421,7,1)*5+--MID(A421,8,1)*9+--MID(A421,9,1)*4+--MID(A421,10,1)*6+--MID(A421,11,1)*8, "")</f>
        <v/>
      </c>
    </row>
    <row r="422">
      <c r="A422">
        <f>SUBSTITUTE(SUBSTITUTE(SUBSTITUTE(SUBSTITUTE(TRIM(INDEX(Реестр!$B:$B,ROW())),CHAR(160),""),CHAR(9),""),CHAR(10),""),CHAR(13),"")</f>
        <v/>
      </c>
      <c r="B422">
        <f>SUBSTITUTE(SUBSTITUTE(SUBSTITUTE(SUBSTITUTE(SUBSTITUTE(SUBSTITUTE(SUBSTITUTE(TRIM(INDEX(Реестр!$D:$D, ROW())), "-", ""), " ", ""), CHAR(160), ""), CHAR(9), ""), CHAR(10), ""), CHAR(13), ""), CHAR(32), "")</f>
        <v/>
      </c>
      <c r="C422">
        <f>INDEX(Реестр!$H:$H, ROW())</f>
        <v/>
      </c>
      <c r="D422">
        <f>IF(OR(ISBLANK(INDEX(Реестр!$B:$B, ROW())), INDEX(Реестр!$B:$B, ROW())=""), " ", IF(IFERROR(ISNUMBER(--A422),FALSE), IF(LEN(A422)=10, IF(MOD(MOD(H422,11),10)=--RIGHT(A422,1), "OK", "ОШИБКА"), IF(LEN(A422)=12, IF(AND(MOD(MOD(H422,11),10)=--MID(A422,11,1), MOD(MOD(I422,11),10)=--RIGHT(A422,1)), "OK", "ОШИБКА"), "ДЛИНА (10 или 12)")), "НЕ ЦИФРЫ"))</f>
        <v/>
      </c>
      <c r="E422">
        <f>MID(B422,1,1)*9+MID(B422,2,1)*8+MID(B422,3,1)*7+MID(B422,4,1)*6+MID(B422,5,1)*5+MID(B422,6,1)*4+MID(B422,7,1)*3+MID(B422,8,1)*2+MID(B422,9,1)</f>
        <v/>
      </c>
      <c r="F422">
        <f>IF(B422="", " ", IF(LEN(B422)&lt;&gt;11, "ДЛИНА", IF(NOT(ISNUMBER(--B422)), "НЕ ЦИФРЫ", IF(LEFT(B422,9)*1&lt;=1001998, "OK", IF(RIGHT(B422,2)*1=IF(MOD(E422,101)&gt;=100,0,MOD(E422,101)),"OK","ОШИБКА")))))</f>
        <v/>
      </c>
      <c r="G4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2">
        <f>IF(LEN(TRIM(A422))=10, --MID(A422,1,1)*2+--MID(A422,2,1)*4+--MID(A422,3,1)*10+--MID(A422,4,1)*3+--MID(A422,5,1)*5+--MID(A422,6,1)*9+--MID(A422,7,1)*4+--MID(A422,8,1)*6+--MID(A422,9,1)*8, IF(LEN(TRIM(A422))=12, --MID(A422,1,1)*7+--MID(A422,2,1)*2+--MID(A422,3,1)*4+--MID(A422,4,1)*10+--MID(A422,5,1)*3+--MID(A422,6,1)*5+--MID(A422,7,1)*9+--MID(A422,8,1)*4+--MID(A422,9,1)*6+--MID(A422,10,1)*8, ""))</f>
        <v/>
      </c>
      <c r="I422">
        <f>IF(LEN(TRIM(A422))=12, --MID(A422,1,1)*3+--MID(A422,2,1)*7+--MID(A422,3,1)*2+--MID(A422,4,1)*4+--MID(A422,5,1)*10+--MID(A422,6,1)*3+--MID(A422,7,1)*5+--MID(A422,8,1)*9+--MID(A422,9,1)*4+--MID(A422,10,1)*6+--MID(A422,11,1)*8, "")</f>
        <v/>
      </c>
    </row>
    <row r="423">
      <c r="A423">
        <f>SUBSTITUTE(SUBSTITUTE(SUBSTITUTE(SUBSTITUTE(TRIM(INDEX(Реестр!$B:$B,ROW())),CHAR(160),""),CHAR(9),""),CHAR(10),""),CHAR(13),"")</f>
        <v/>
      </c>
      <c r="B423">
        <f>SUBSTITUTE(SUBSTITUTE(SUBSTITUTE(SUBSTITUTE(SUBSTITUTE(SUBSTITUTE(SUBSTITUTE(TRIM(INDEX(Реестр!$D:$D, ROW())), "-", ""), " ", ""), CHAR(160), ""), CHAR(9), ""), CHAR(10), ""), CHAR(13), ""), CHAR(32), "")</f>
        <v/>
      </c>
      <c r="C423">
        <f>INDEX(Реестр!$H:$H, ROW())</f>
        <v/>
      </c>
      <c r="D423">
        <f>IF(OR(ISBLANK(INDEX(Реестр!$B:$B, ROW())), INDEX(Реестр!$B:$B, ROW())=""), " ", IF(IFERROR(ISNUMBER(--A423),FALSE), IF(LEN(A423)=10, IF(MOD(MOD(H423,11),10)=--RIGHT(A423,1), "OK", "ОШИБКА"), IF(LEN(A423)=12, IF(AND(MOD(MOD(H423,11),10)=--MID(A423,11,1), MOD(MOD(I423,11),10)=--RIGHT(A423,1)), "OK", "ОШИБКА"), "ДЛИНА (10 или 12)")), "НЕ ЦИФРЫ"))</f>
        <v/>
      </c>
      <c r="E423">
        <f>MID(B423,1,1)*9+MID(B423,2,1)*8+MID(B423,3,1)*7+MID(B423,4,1)*6+MID(B423,5,1)*5+MID(B423,6,1)*4+MID(B423,7,1)*3+MID(B423,8,1)*2+MID(B423,9,1)</f>
        <v/>
      </c>
      <c r="F423">
        <f>IF(B423="", " ", IF(LEN(B423)&lt;&gt;11, "ДЛИНА", IF(NOT(ISNUMBER(--B423)), "НЕ ЦИФРЫ", IF(LEFT(B423,9)*1&lt;=1001998, "OK", IF(RIGHT(B423,2)*1=IF(MOD(E423,101)&gt;=100,0,MOD(E423,101)),"OK","ОШИБКА")))))</f>
        <v/>
      </c>
      <c r="G4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3">
        <f>IF(LEN(TRIM(A423))=10, --MID(A423,1,1)*2+--MID(A423,2,1)*4+--MID(A423,3,1)*10+--MID(A423,4,1)*3+--MID(A423,5,1)*5+--MID(A423,6,1)*9+--MID(A423,7,1)*4+--MID(A423,8,1)*6+--MID(A423,9,1)*8, IF(LEN(TRIM(A423))=12, --MID(A423,1,1)*7+--MID(A423,2,1)*2+--MID(A423,3,1)*4+--MID(A423,4,1)*10+--MID(A423,5,1)*3+--MID(A423,6,1)*5+--MID(A423,7,1)*9+--MID(A423,8,1)*4+--MID(A423,9,1)*6+--MID(A423,10,1)*8, ""))</f>
        <v/>
      </c>
      <c r="I423">
        <f>IF(LEN(TRIM(A423))=12, --MID(A423,1,1)*3+--MID(A423,2,1)*7+--MID(A423,3,1)*2+--MID(A423,4,1)*4+--MID(A423,5,1)*10+--MID(A423,6,1)*3+--MID(A423,7,1)*5+--MID(A423,8,1)*9+--MID(A423,9,1)*4+--MID(A423,10,1)*6+--MID(A423,11,1)*8, "")</f>
        <v/>
      </c>
    </row>
    <row r="424">
      <c r="A424">
        <f>SUBSTITUTE(SUBSTITUTE(SUBSTITUTE(SUBSTITUTE(TRIM(INDEX(Реестр!$B:$B,ROW())),CHAR(160),""),CHAR(9),""),CHAR(10),""),CHAR(13),"")</f>
        <v/>
      </c>
      <c r="B424">
        <f>SUBSTITUTE(SUBSTITUTE(SUBSTITUTE(SUBSTITUTE(SUBSTITUTE(SUBSTITUTE(SUBSTITUTE(TRIM(INDEX(Реестр!$D:$D, ROW())), "-", ""), " ", ""), CHAR(160), ""), CHAR(9), ""), CHAR(10), ""), CHAR(13), ""), CHAR(32), "")</f>
        <v/>
      </c>
      <c r="C424">
        <f>INDEX(Реестр!$H:$H, ROW())</f>
        <v/>
      </c>
      <c r="D424">
        <f>IF(OR(ISBLANK(INDEX(Реестр!$B:$B, ROW())), INDEX(Реестр!$B:$B, ROW())=""), " ", IF(IFERROR(ISNUMBER(--A424),FALSE), IF(LEN(A424)=10, IF(MOD(MOD(H424,11),10)=--RIGHT(A424,1), "OK", "ОШИБКА"), IF(LEN(A424)=12, IF(AND(MOD(MOD(H424,11),10)=--MID(A424,11,1), MOD(MOD(I424,11),10)=--RIGHT(A424,1)), "OK", "ОШИБКА"), "ДЛИНА (10 или 12)")), "НЕ ЦИФРЫ"))</f>
        <v/>
      </c>
      <c r="E424">
        <f>MID(B424,1,1)*9+MID(B424,2,1)*8+MID(B424,3,1)*7+MID(B424,4,1)*6+MID(B424,5,1)*5+MID(B424,6,1)*4+MID(B424,7,1)*3+MID(B424,8,1)*2+MID(B424,9,1)</f>
        <v/>
      </c>
      <c r="F424">
        <f>IF(B424="", " ", IF(LEN(B424)&lt;&gt;11, "ДЛИНА", IF(NOT(ISNUMBER(--B424)), "НЕ ЦИФРЫ", IF(LEFT(B424,9)*1&lt;=1001998, "OK", IF(RIGHT(B424,2)*1=IF(MOD(E424,101)&gt;=100,0,MOD(E424,101)),"OK","ОШИБКА")))))</f>
        <v/>
      </c>
      <c r="G4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4">
        <f>IF(LEN(TRIM(A424))=10, --MID(A424,1,1)*2+--MID(A424,2,1)*4+--MID(A424,3,1)*10+--MID(A424,4,1)*3+--MID(A424,5,1)*5+--MID(A424,6,1)*9+--MID(A424,7,1)*4+--MID(A424,8,1)*6+--MID(A424,9,1)*8, IF(LEN(TRIM(A424))=12, --MID(A424,1,1)*7+--MID(A424,2,1)*2+--MID(A424,3,1)*4+--MID(A424,4,1)*10+--MID(A424,5,1)*3+--MID(A424,6,1)*5+--MID(A424,7,1)*9+--MID(A424,8,1)*4+--MID(A424,9,1)*6+--MID(A424,10,1)*8, ""))</f>
        <v/>
      </c>
      <c r="I424">
        <f>IF(LEN(TRIM(A424))=12, --MID(A424,1,1)*3+--MID(A424,2,1)*7+--MID(A424,3,1)*2+--MID(A424,4,1)*4+--MID(A424,5,1)*10+--MID(A424,6,1)*3+--MID(A424,7,1)*5+--MID(A424,8,1)*9+--MID(A424,9,1)*4+--MID(A424,10,1)*6+--MID(A424,11,1)*8, "")</f>
        <v/>
      </c>
    </row>
    <row r="425">
      <c r="A425">
        <f>SUBSTITUTE(SUBSTITUTE(SUBSTITUTE(SUBSTITUTE(TRIM(INDEX(Реестр!$B:$B,ROW())),CHAR(160),""),CHAR(9),""),CHAR(10),""),CHAR(13),"")</f>
        <v/>
      </c>
      <c r="B425">
        <f>SUBSTITUTE(SUBSTITUTE(SUBSTITUTE(SUBSTITUTE(SUBSTITUTE(SUBSTITUTE(SUBSTITUTE(TRIM(INDEX(Реестр!$D:$D, ROW())), "-", ""), " ", ""), CHAR(160), ""), CHAR(9), ""), CHAR(10), ""), CHAR(13), ""), CHAR(32), "")</f>
        <v/>
      </c>
      <c r="C425">
        <f>INDEX(Реестр!$H:$H, ROW())</f>
        <v/>
      </c>
      <c r="D425">
        <f>IF(OR(ISBLANK(INDEX(Реестр!$B:$B, ROW())), INDEX(Реестр!$B:$B, ROW())=""), " ", IF(IFERROR(ISNUMBER(--A425),FALSE), IF(LEN(A425)=10, IF(MOD(MOD(H425,11),10)=--RIGHT(A425,1), "OK", "ОШИБКА"), IF(LEN(A425)=12, IF(AND(MOD(MOD(H425,11),10)=--MID(A425,11,1), MOD(MOD(I425,11),10)=--RIGHT(A425,1)), "OK", "ОШИБКА"), "ДЛИНА (10 или 12)")), "НЕ ЦИФРЫ"))</f>
        <v/>
      </c>
      <c r="E425">
        <f>MID(B425,1,1)*9+MID(B425,2,1)*8+MID(B425,3,1)*7+MID(B425,4,1)*6+MID(B425,5,1)*5+MID(B425,6,1)*4+MID(B425,7,1)*3+MID(B425,8,1)*2+MID(B425,9,1)</f>
        <v/>
      </c>
      <c r="F425">
        <f>IF(B425="", " ", IF(LEN(B425)&lt;&gt;11, "ДЛИНА", IF(NOT(ISNUMBER(--B425)), "НЕ ЦИФРЫ", IF(LEFT(B425,9)*1&lt;=1001998, "OK", IF(RIGHT(B425,2)*1=IF(MOD(E425,101)&gt;=100,0,MOD(E425,101)),"OK","ОШИБКА")))))</f>
        <v/>
      </c>
      <c r="G4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5">
        <f>IF(LEN(TRIM(A425))=10, --MID(A425,1,1)*2+--MID(A425,2,1)*4+--MID(A425,3,1)*10+--MID(A425,4,1)*3+--MID(A425,5,1)*5+--MID(A425,6,1)*9+--MID(A425,7,1)*4+--MID(A425,8,1)*6+--MID(A425,9,1)*8, IF(LEN(TRIM(A425))=12, --MID(A425,1,1)*7+--MID(A425,2,1)*2+--MID(A425,3,1)*4+--MID(A425,4,1)*10+--MID(A425,5,1)*3+--MID(A425,6,1)*5+--MID(A425,7,1)*9+--MID(A425,8,1)*4+--MID(A425,9,1)*6+--MID(A425,10,1)*8, ""))</f>
        <v/>
      </c>
      <c r="I425">
        <f>IF(LEN(TRIM(A425))=12, --MID(A425,1,1)*3+--MID(A425,2,1)*7+--MID(A425,3,1)*2+--MID(A425,4,1)*4+--MID(A425,5,1)*10+--MID(A425,6,1)*3+--MID(A425,7,1)*5+--MID(A425,8,1)*9+--MID(A425,9,1)*4+--MID(A425,10,1)*6+--MID(A425,11,1)*8, "")</f>
        <v/>
      </c>
    </row>
    <row r="426">
      <c r="A426">
        <f>SUBSTITUTE(SUBSTITUTE(SUBSTITUTE(SUBSTITUTE(TRIM(INDEX(Реестр!$B:$B,ROW())),CHAR(160),""),CHAR(9),""),CHAR(10),""),CHAR(13),"")</f>
        <v/>
      </c>
      <c r="B426">
        <f>SUBSTITUTE(SUBSTITUTE(SUBSTITUTE(SUBSTITUTE(SUBSTITUTE(SUBSTITUTE(SUBSTITUTE(TRIM(INDEX(Реестр!$D:$D, ROW())), "-", ""), " ", ""), CHAR(160), ""), CHAR(9), ""), CHAR(10), ""), CHAR(13), ""), CHAR(32), "")</f>
        <v/>
      </c>
      <c r="C426">
        <f>INDEX(Реестр!$H:$H, ROW())</f>
        <v/>
      </c>
      <c r="D426">
        <f>IF(OR(ISBLANK(INDEX(Реестр!$B:$B, ROW())), INDEX(Реестр!$B:$B, ROW())=""), " ", IF(IFERROR(ISNUMBER(--A426),FALSE), IF(LEN(A426)=10, IF(MOD(MOD(H426,11),10)=--RIGHT(A426,1), "OK", "ОШИБКА"), IF(LEN(A426)=12, IF(AND(MOD(MOD(H426,11),10)=--MID(A426,11,1), MOD(MOD(I426,11),10)=--RIGHT(A426,1)), "OK", "ОШИБКА"), "ДЛИНА (10 или 12)")), "НЕ ЦИФРЫ"))</f>
        <v/>
      </c>
      <c r="E426">
        <f>MID(B426,1,1)*9+MID(B426,2,1)*8+MID(B426,3,1)*7+MID(B426,4,1)*6+MID(B426,5,1)*5+MID(B426,6,1)*4+MID(B426,7,1)*3+MID(B426,8,1)*2+MID(B426,9,1)</f>
        <v/>
      </c>
      <c r="F426">
        <f>IF(B426="", " ", IF(LEN(B426)&lt;&gt;11, "ДЛИНА", IF(NOT(ISNUMBER(--B426)), "НЕ ЦИФРЫ", IF(LEFT(B426,9)*1&lt;=1001998, "OK", IF(RIGHT(B426,2)*1=IF(MOD(E426,101)&gt;=100,0,MOD(E426,101)),"OK","ОШИБКА")))))</f>
        <v/>
      </c>
      <c r="G4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6">
        <f>IF(LEN(TRIM(A426))=10, --MID(A426,1,1)*2+--MID(A426,2,1)*4+--MID(A426,3,1)*10+--MID(A426,4,1)*3+--MID(A426,5,1)*5+--MID(A426,6,1)*9+--MID(A426,7,1)*4+--MID(A426,8,1)*6+--MID(A426,9,1)*8, IF(LEN(TRIM(A426))=12, --MID(A426,1,1)*7+--MID(A426,2,1)*2+--MID(A426,3,1)*4+--MID(A426,4,1)*10+--MID(A426,5,1)*3+--MID(A426,6,1)*5+--MID(A426,7,1)*9+--MID(A426,8,1)*4+--MID(A426,9,1)*6+--MID(A426,10,1)*8, ""))</f>
        <v/>
      </c>
      <c r="I426">
        <f>IF(LEN(TRIM(A426))=12, --MID(A426,1,1)*3+--MID(A426,2,1)*7+--MID(A426,3,1)*2+--MID(A426,4,1)*4+--MID(A426,5,1)*10+--MID(A426,6,1)*3+--MID(A426,7,1)*5+--MID(A426,8,1)*9+--MID(A426,9,1)*4+--MID(A426,10,1)*6+--MID(A426,11,1)*8, "")</f>
        <v/>
      </c>
    </row>
    <row r="427">
      <c r="A427">
        <f>SUBSTITUTE(SUBSTITUTE(SUBSTITUTE(SUBSTITUTE(TRIM(INDEX(Реестр!$B:$B,ROW())),CHAR(160),""),CHAR(9),""),CHAR(10),""),CHAR(13),"")</f>
        <v/>
      </c>
      <c r="B427">
        <f>SUBSTITUTE(SUBSTITUTE(SUBSTITUTE(SUBSTITUTE(SUBSTITUTE(SUBSTITUTE(SUBSTITUTE(TRIM(INDEX(Реестр!$D:$D, ROW())), "-", ""), " ", ""), CHAR(160), ""), CHAR(9), ""), CHAR(10), ""), CHAR(13), ""), CHAR(32), "")</f>
        <v/>
      </c>
      <c r="C427">
        <f>INDEX(Реестр!$H:$H, ROW())</f>
        <v/>
      </c>
      <c r="D427">
        <f>IF(OR(ISBLANK(INDEX(Реестр!$B:$B, ROW())), INDEX(Реестр!$B:$B, ROW())=""), " ", IF(IFERROR(ISNUMBER(--A427),FALSE), IF(LEN(A427)=10, IF(MOD(MOD(H427,11),10)=--RIGHT(A427,1), "OK", "ОШИБКА"), IF(LEN(A427)=12, IF(AND(MOD(MOD(H427,11),10)=--MID(A427,11,1), MOD(MOD(I427,11),10)=--RIGHT(A427,1)), "OK", "ОШИБКА"), "ДЛИНА (10 или 12)")), "НЕ ЦИФРЫ"))</f>
        <v/>
      </c>
      <c r="E427">
        <f>MID(B427,1,1)*9+MID(B427,2,1)*8+MID(B427,3,1)*7+MID(B427,4,1)*6+MID(B427,5,1)*5+MID(B427,6,1)*4+MID(B427,7,1)*3+MID(B427,8,1)*2+MID(B427,9,1)</f>
        <v/>
      </c>
      <c r="F427">
        <f>IF(B427="", " ", IF(LEN(B427)&lt;&gt;11, "ДЛИНА", IF(NOT(ISNUMBER(--B427)), "НЕ ЦИФРЫ", IF(LEFT(B427,9)*1&lt;=1001998, "OK", IF(RIGHT(B427,2)*1=IF(MOD(E427,101)&gt;=100,0,MOD(E427,101)),"OK","ОШИБКА")))))</f>
        <v/>
      </c>
      <c r="G4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7">
        <f>IF(LEN(TRIM(A427))=10, --MID(A427,1,1)*2+--MID(A427,2,1)*4+--MID(A427,3,1)*10+--MID(A427,4,1)*3+--MID(A427,5,1)*5+--MID(A427,6,1)*9+--MID(A427,7,1)*4+--MID(A427,8,1)*6+--MID(A427,9,1)*8, IF(LEN(TRIM(A427))=12, --MID(A427,1,1)*7+--MID(A427,2,1)*2+--MID(A427,3,1)*4+--MID(A427,4,1)*10+--MID(A427,5,1)*3+--MID(A427,6,1)*5+--MID(A427,7,1)*9+--MID(A427,8,1)*4+--MID(A427,9,1)*6+--MID(A427,10,1)*8, ""))</f>
        <v/>
      </c>
      <c r="I427">
        <f>IF(LEN(TRIM(A427))=12, --MID(A427,1,1)*3+--MID(A427,2,1)*7+--MID(A427,3,1)*2+--MID(A427,4,1)*4+--MID(A427,5,1)*10+--MID(A427,6,1)*3+--MID(A427,7,1)*5+--MID(A427,8,1)*9+--MID(A427,9,1)*4+--MID(A427,10,1)*6+--MID(A427,11,1)*8, "")</f>
        <v/>
      </c>
    </row>
    <row r="428">
      <c r="A428">
        <f>SUBSTITUTE(SUBSTITUTE(SUBSTITUTE(SUBSTITUTE(TRIM(INDEX(Реестр!$B:$B,ROW())),CHAR(160),""),CHAR(9),""),CHAR(10),""),CHAR(13),"")</f>
        <v/>
      </c>
      <c r="B428">
        <f>SUBSTITUTE(SUBSTITUTE(SUBSTITUTE(SUBSTITUTE(SUBSTITUTE(SUBSTITUTE(SUBSTITUTE(TRIM(INDEX(Реестр!$D:$D, ROW())), "-", ""), " ", ""), CHAR(160), ""), CHAR(9), ""), CHAR(10), ""), CHAR(13), ""), CHAR(32), "")</f>
        <v/>
      </c>
      <c r="C428">
        <f>INDEX(Реестр!$H:$H, ROW())</f>
        <v/>
      </c>
      <c r="D428">
        <f>IF(OR(ISBLANK(INDEX(Реестр!$B:$B, ROW())), INDEX(Реестр!$B:$B, ROW())=""), " ", IF(IFERROR(ISNUMBER(--A428),FALSE), IF(LEN(A428)=10, IF(MOD(MOD(H428,11),10)=--RIGHT(A428,1), "OK", "ОШИБКА"), IF(LEN(A428)=12, IF(AND(MOD(MOD(H428,11),10)=--MID(A428,11,1), MOD(MOD(I428,11),10)=--RIGHT(A428,1)), "OK", "ОШИБКА"), "ДЛИНА (10 или 12)")), "НЕ ЦИФРЫ"))</f>
        <v/>
      </c>
      <c r="E428">
        <f>MID(B428,1,1)*9+MID(B428,2,1)*8+MID(B428,3,1)*7+MID(B428,4,1)*6+MID(B428,5,1)*5+MID(B428,6,1)*4+MID(B428,7,1)*3+MID(B428,8,1)*2+MID(B428,9,1)</f>
        <v/>
      </c>
      <c r="F428">
        <f>IF(B428="", " ", IF(LEN(B428)&lt;&gt;11, "ДЛИНА", IF(NOT(ISNUMBER(--B428)), "НЕ ЦИФРЫ", IF(LEFT(B428,9)*1&lt;=1001998, "OK", IF(RIGHT(B428,2)*1=IF(MOD(E428,101)&gt;=100,0,MOD(E428,101)),"OK","ОШИБКА")))))</f>
        <v/>
      </c>
      <c r="G4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8">
        <f>IF(LEN(TRIM(A428))=10, --MID(A428,1,1)*2+--MID(A428,2,1)*4+--MID(A428,3,1)*10+--MID(A428,4,1)*3+--MID(A428,5,1)*5+--MID(A428,6,1)*9+--MID(A428,7,1)*4+--MID(A428,8,1)*6+--MID(A428,9,1)*8, IF(LEN(TRIM(A428))=12, --MID(A428,1,1)*7+--MID(A428,2,1)*2+--MID(A428,3,1)*4+--MID(A428,4,1)*10+--MID(A428,5,1)*3+--MID(A428,6,1)*5+--MID(A428,7,1)*9+--MID(A428,8,1)*4+--MID(A428,9,1)*6+--MID(A428,10,1)*8, ""))</f>
        <v/>
      </c>
      <c r="I428">
        <f>IF(LEN(TRIM(A428))=12, --MID(A428,1,1)*3+--MID(A428,2,1)*7+--MID(A428,3,1)*2+--MID(A428,4,1)*4+--MID(A428,5,1)*10+--MID(A428,6,1)*3+--MID(A428,7,1)*5+--MID(A428,8,1)*9+--MID(A428,9,1)*4+--MID(A428,10,1)*6+--MID(A428,11,1)*8, "")</f>
        <v/>
      </c>
    </row>
    <row r="429">
      <c r="A429">
        <f>SUBSTITUTE(SUBSTITUTE(SUBSTITUTE(SUBSTITUTE(TRIM(INDEX(Реестр!$B:$B,ROW())),CHAR(160),""),CHAR(9),""),CHAR(10),""),CHAR(13),"")</f>
        <v/>
      </c>
      <c r="B429">
        <f>SUBSTITUTE(SUBSTITUTE(SUBSTITUTE(SUBSTITUTE(SUBSTITUTE(SUBSTITUTE(SUBSTITUTE(TRIM(INDEX(Реестр!$D:$D, ROW())), "-", ""), " ", ""), CHAR(160), ""), CHAR(9), ""), CHAR(10), ""), CHAR(13), ""), CHAR(32), "")</f>
        <v/>
      </c>
      <c r="C429">
        <f>INDEX(Реестр!$H:$H, ROW())</f>
        <v/>
      </c>
      <c r="D429">
        <f>IF(OR(ISBLANK(INDEX(Реестр!$B:$B, ROW())), INDEX(Реестр!$B:$B, ROW())=""), " ", IF(IFERROR(ISNUMBER(--A429),FALSE), IF(LEN(A429)=10, IF(MOD(MOD(H429,11),10)=--RIGHT(A429,1), "OK", "ОШИБКА"), IF(LEN(A429)=12, IF(AND(MOD(MOD(H429,11),10)=--MID(A429,11,1), MOD(MOD(I429,11),10)=--RIGHT(A429,1)), "OK", "ОШИБКА"), "ДЛИНА (10 или 12)")), "НЕ ЦИФРЫ"))</f>
        <v/>
      </c>
      <c r="E429">
        <f>MID(B429,1,1)*9+MID(B429,2,1)*8+MID(B429,3,1)*7+MID(B429,4,1)*6+MID(B429,5,1)*5+MID(B429,6,1)*4+MID(B429,7,1)*3+MID(B429,8,1)*2+MID(B429,9,1)</f>
        <v/>
      </c>
      <c r="F429">
        <f>IF(B429="", " ", IF(LEN(B429)&lt;&gt;11, "ДЛИНА", IF(NOT(ISNUMBER(--B429)), "НЕ ЦИФРЫ", IF(LEFT(B429,9)*1&lt;=1001998, "OK", IF(RIGHT(B429,2)*1=IF(MOD(E429,101)&gt;=100,0,MOD(E429,101)),"OK","ОШИБКА")))))</f>
        <v/>
      </c>
      <c r="G4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29">
        <f>IF(LEN(TRIM(A429))=10, --MID(A429,1,1)*2+--MID(A429,2,1)*4+--MID(A429,3,1)*10+--MID(A429,4,1)*3+--MID(A429,5,1)*5+--MID(A429,6,1)*9+--MID(A429,7,1)*4+--MID(A429,8,1)*6+--MID(A429,9,1)*8, IF(LEN(TRIM(A429))=12, --MID(A429,1,1)*7+--MID(A429,2,1)*2+--MID(A429,3,1)*4+--MID(A429,4,1)*10+--MID(A429,5,1)*3+--MID(A429,6,1)*5+--MID(A429,7,1)*9+--MID(A429,8,1)*4+--MID(A429,9,1)*6+--MID(A429,10,1)*8, ""))</f>
        <v/>
      </c>
      <c r="I429">
        <f>IF(LEN(TRIM(A429))=12, --MID(A429,1,1)*3+--MID(A429,2,1)*7+--MID(A429,3,1)*2+--MID(A429,4,1)*4+--MID(A429,5,1)*10+--MID(A429,6,1)*3+--MID(A429,7,1)*5+--MID(A429,8,1)*9+--MID(A429,9,1)*4+--MID(A429,10,1)*6+--MID(A429,11,1)*8, "")</f>
        <v/>
      </c>
    </row>
    <row r="430">
      <c r="A430">
        <f>SUBSTITUTE(SUBSTITUTE(SUBSTITUTE(SUBSTITUTE(TRIM(INDEX(Реестр!$B:$B,ROW())),CHAR(160),""),CHAR(9),""),CHAR(10),""),CHAR(13),"")</f>
        <v/>
      </c>
      <c r="B430">
        <f>SUBSTITUTE(SUBSTITUTE(SUBSTITUTE(SUBSTITUTE(SUBSTITUTE(SUBSTITUTE(SUBSTITUTE(TRIM(INDEX(Реестр!$D:$D, ROW())), "-", ""), " ", ""), CHAR(160), ""), CHAR(9), ""), CHAR(10), ""), CHAR(13), ""), CHAR(32), "")</f>
        <v/>
      </c>
      <c r="C430">
        <f>INDEX(Реестр!$H:$H, ROW())</f>
        <v/>
      </c>
      <c r="D430">
        <f>IF(OR(ISBLANK(INDEX(Реестр!$B:$B, ROW())), INDEX(Реестр!$B:$B, ROW())=""), " ", IF(IFERROR(ISNUMBER(--A430),FALSE), IF(LEN(A430)=10, IF(MOD(MOD(H430,11),10)=--RIGHT(A430,1), "OK", "ОШИБКА"), IF(LEN(A430)=12, IF(AND(MOD(MOD(H430,11),10)=--MID(A430,11,1), MOD(MOD(I430,11),10)=--RIGHT(A430,1)), "OK", "ОШИБКА"), "ДЛИНА (10 или 12)")), "НЕ ЦИФРЫ"))</f>
        <v/>
      </c>
      <c r="E430">
        <f>MID(B430,1,1)*9+MID(B430,2,1)*8+MID(B430,3,1)*7+MID(B430,4,1)*6+MID(B430,5,1)*5+MID(B430,6,1)*4+MID(B430,7,1)*3+MID(B430,8,1)*2+MID(B430,9,1)</f>
        <v/>
      </c>
      <c r="F430">
        <f>IF(B430="", " ", IF(LEN(B430)&lt;&gt;11, "ДЛИНА", IF(NOT(ISNUMBER(--B430)), "НЕ ЦИФРЫ", IF(LEFT(B430,9)*1&lt;=1001998, "OK", IF(RIGHT(B430,2)*1=IF(MOD(E430,101)&gt;=100,0,MOD(E430,101)),"OK","ОШИБКА")))))</f>
        <v/>
      </c>
      <c r="G4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0">
        <f>IF(LEN(TRIM(A430))=10, --MID(A430,1,1)*2+--MID(A430,2,1)*4+--MID(A430,3,1)*10+--MID(A430,4,1)*3+--MID(A430,5,1)*5+--MID(A430,6,1)*9+--MID(A430,7,1)*4+--MID(A430,8,1)*6+--MID(A430,9,1)*8, IF(LEN(TRIM(A430))=12, --MID(A430,1,1)*7+--MID(A430,2,1)*2+--MID(A430,3,1)*4+--MID(A430,4,1)*10+--MID(A430,5,1)*3+--MID(A430,6,1)*5+--MID(A430,7,1)*9+--MID(A430,8,1)*4+--MID(A430,9,1)*6+--MID(A430,10,1)*8, ""))</f>
        <v/>
      </c>
      <c r="I430">
        <f>IF(LEN(TRIM(A430))=12, --MID(A430,1,1)*3+--MID(A430,2,1)*7+--MID(A430,3,1)*2+--MID(A430,4,1)*4+--MID(A430,5,1)*10+--MID(A430,6,1)*3+--MID(A430,7,1)*5+--MID(A430,8,1)*9+--MID(A430,9,1)*4+--MID(A430,10,1)*6+--MID(A430,11,1)*8, "")</f>
        <v/>
      </c>
    </row>
    <row r="431">
      <c r="A431">
        <f>SUBSTITUTE(SUBSTITUTE(SUBSTITUTE(SUBSTITUTE(TRIM(INDEX(Реестр!$B:$B,ROW())),CHAR(160),""),CHAR(9),""),CHAR(10),""),CHAR(13),"")</f>
        <v/>
      </c>
      <c r="B431">
        <f>SUBSTITUTE(SUBSTITUTE(SUBSTITUTE(SUBSTITUTE(SUBSTITUTE(SUBSTITUTE(SUBSTITUTE(TRIM(INDEX(Реестр!$D:$D, ROW())), "-", ""), " ", ""), CHAR(160), ""), CHAR(9), ""), CHAR(10), ""), CHAR(13), ""), CHAR(32), "")</f>
        <v/>
      </c>
      <c r="C431">
        <f>INDEX(Реестр!$H:$H, ROW())</f>
        <v/>
      </c>
      <c r="D431">
        <f>IF(OR(ISBLANK(INDEX(Реестр!$B:$B, ROW())), INDEX(Реестр!$B:$B, ROW())=""), " ", IF(IFERROR(ISNUMBER(--A431),FALSE), IF(LEN(A431)=10, IF(MOD(MOD(H431,11),10)=--RIGHT(A431,1), "OK", "ОШИБКА"), IF(LEN(A431)=12, IF(AND(MOD(MOD(H431,11),10)=--MID(A431,11,1), MOD(MOD(I431,11),10)=--RIGHT(A431,1)), "OK", "ОШИБКА"), "ДЛИНА (10 или 12)")), "НЕ ЦИФРЫ"))</f>
        <v/>
      </c>
      <c r="E431">
        <f>MID(B431,1,1)*9+MID(B431,2,1)*8+MID(B431,3,1)*7+MID(B431,4,1)*6+MID(B431,5,1)*5+MID(B431,6,1)*4+MID(B431,7,1)*3+MID(B431,8,1)*2+MID(B431,9,1)</f>
        <v/>
      </c>
      <c r="F431">
        <f>IF(B431="", " ", IF(LEN(B431)&lt;&gt;11, "ДЛИНА", IF(NOT(ISNUMBER(--B431)), "НЕ ЦИФРЫ", IF(LEFT(B431,9)*1&lt;=1001998, "OK", IF(RIGHT(B431,2)*1=IF(MOD(E431,101)&gt;=100,0,MOD(E431,101)),"OK","ОШИБКА")))))</f>
        <v/>
      </c>
      <c r="G4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1">
        <f>IF(LEN(TRIM(A431))=10, --MID(A431,1,1)*2+--MID(A431,2,1)*4+--MID(A431,3,1)*10+--MID(A431,4,1)*3+--MID(A431,5,1)*5+--MID(A431,6,1)*9+--MID(A431,7,1)*4+--MID(A431,8,1)*6+--MID(A431,9,1)*8, IF(LEN(TRIM(A431))=12, --MID(A431,1,1)*7+--MID(A431,2,1)*2+--MID(A431,3,1)*4+--MID(A431,4,1)*10+--MID(A431,5,1)*3+--MID(A431,6,1)*5+--MID(A431,7,1)*9+--MID(A431,8,1)*4+--MID(A431,9,1)*6+--MID(A431,10,1)*8, ""))</f>
        <v/>
      </c>
      <c r="I431">
        <f>IF(LEN(TRIM(A431))=12, --MID(A431,1,1)*3+--MID(A431,2,1)*7+--MID(A431,3,1)*2+--MID(A431,4,1)*4+--MID(A431,5,1)*10+--MID(A431,6,1)*3+--MID(A431,7,1)*5+--MID(A431,8,1)*9+--MID(A431,9,1)*4+--MID(A431,10,1)*6+--MID(A431,11,1)*8, "")</f>
        <v/>
      </c>
    </row>
    <row r="432">
      <c r="A432">
        <f>SUBSTITUTE(SUBSTITUTE(SUBSTITUTE(SUBSTITUTE(TRIM(INDEX(Реестр!$B:$B,ROW())),CHAR(160),""),CHAR(9),""),CHAR(10),""),CHAR(13),"")</f>
        <v/>
      </c>
      <c r="B432">
        <f>SUBSTITUTE(SUBSTITUTE(SUBSTITUTE(SUBSTITUTE(SUBSTITUTE(SUBSTITUTE(SUBSTITUTE(TRIM(INDEX(Реестр!$D:$D, ROW())), "-", ""), " ", ""), CHAR(160), ""), CHAR(9), ""), CHAR(10), ""), CHAR(13), ""), CHAR(32), "")</f>
        <v/>
      </c>
      <c r="C432">
        <f>INDEX(Реестр!$H:$H, ROW())</f>
        <v/>
      </c>
      <c r="D432">
        <f>IF(OR(ISBLANK(INDEX(Реестр!$B:$B, ROW())), INDEX(Реестр!$B:$B, ROW())=""), " ", IF(IFERROR(ISNUMBER(--A432),FALSE), IF(LEN(A432)=10, IF(MOD(MOD(H432,11),10)=--RIGHT(A432,1), "OK", "ОШИБКА"), IF(LEN(A432)=12, IF(AND(MOD(MOD(H432,11),10)=--MID(A432,11,1), MOD(MOD(I432,11),10)=--RIGHT(A432,1)), "OK", "ОШИБКА"), "ДЛИНА (10 или 12)")), "НЕ ЦИФРЫ"))</f>
        <v/>
      </c>
      <c r="E432">
        <f>MID(B432,1,1)*9+MID(B432,2,1)*8+MID(B432,3,1)*7+MID(B432,4,1)*6+MID(B432,5,1)*5+MID(B432,6,1)*4+MID(B432,7,1)*3+MID(B432,8,1)*2+MID(B432,9,1)</f>
        <v/>
      </c>
      <c r="F432">
        <f>IF(B432="", " ", IF(LEN(B432)&lt;&gt;11, "ДЛИНА", IF(NOT(ISNUMBER(--B432)), "НЕ ЦИФРЫ", IF(LEFT(B432,9)*1&lt;=1001998, "OK", IF(RIGHT(B432,2)*1=IF(MOD(E432,101)&gt;=100,0,MOD(E432,101)),"OK","ОШИБКА")))))</f>
        <v/>
      </c>
      <c r="G4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2">
        <f>IF(LEN(TRIM(A432))=10, --MID(A432,1,1)*2+--MID(A432,2,1)*4+--MID(A432,3,1)*10+--MID(A432,4,1)*3+--MID(A432,5,1)*5+--MID(A432,6,1)*9+--MID(A432,7,1)*4+--MID(A432,8,1)*6+--MID(A432,9,1)*8, IF(LEN(TRIM(A432))=12, --MID(A432,1,1)*7+--MID(A432,2,1)*2+--MID(A432,3,1)*4+--MID(A432,4,1)*10+--MID(A432,5,1)*3+--MID(A432,6,1)*5+--MID(A432,7,1)*9+--MID(A432,8,1)*4+--MID(A432,9,1)*6+--MID(A432,10,1)*8, ""))</f>
        <v/>
      </c>
      <c r="I432">
        <f>IF(LEN(TRIM(A432))=12, --MID(A432,1,1)*3+--MID(A432,2,1)*7+--MID(A432,3,1)*2+--MID(A432,4,1)*4+--MID(A432,5,1)*10+--MID(A432,6,1)*3+--MID(A432,7,1)*5+--MID(A432,8,1)*9+--MID(A432,9,1)*4+--MID(A432,10,1)*6+--MID(A432,11,1)*8, "")</f>
        <v/>
      </c>
    </row>
    <row r="433">
      <c r="A433">
        <f>SUBSTITUTE(SUBSTITUTE(SUBSTITUTE(SUBSTITUTE(TRIM(INDEX(Реестр!$B:$B,ROW())),CHAR(160),""),CHAR(9),""),CHAR(10),""),CHAR(13),"")</f>
        <v/>
      </c>
      <c r="B433">
        <f>SUBSTITUTE(SUBSTITUTE(SUBSTITUTE(SUBSTITUTE(SUBSTITUTE(SUBSTITUTE(SUBSTITUTE(TRIM(INDEX(Реестр!$D:$D, ROW())), "-", ""), " ", ""), CHAR(160), ""), CHAR(9), ""), CHAR(10), ""), CHAR(13), ""), CHAR(32), "")</f>
        <v/>
      </c>
      <c r="C433">
        <f>INDEX(Реестр!$H:$H, ROW())</f>
        <v/>
      </c>
      <c r="D433">
        <f>IF(OR(ISBLANK(INDEX(Реестр!$B:$B, ROW())), INDEX(Реестр!$B:$B, ROW())=""), " ", IF(IFERROR(ISNUMBER(--A433),FALSE), IF(LEN(A433)=10, IF(MOD(MOD(H433,11),10)=--RIGHT(A433,1), "OK", "ОШИБКА"), IF(LEN(A433)=12, IF(AND(MOD(MOD(H433,11),10)=--MID(A433,11,1), MOD(MOD(I433,11),10)=--RIGHT(A433,1)), "OK", "ОШИБКА"), "ДЛИНА (10 или 12)")), "НЕ ЦИФРЫ"))</f>
        <v/>
      </c>
      <c r="E433">
        <f>MID(B433,1,1)*9+MID(B433,2,1)*8+MID(B433,3,1)*7+MID(B433,4,1)*6+MID(B433,5,1)*5+MID(B433,6,1)*4+MID(B433,7,1)*3+MID(B433,8,1)*2+MID(B433,9,1)</f>
        <v/>
      </c>
      <c r="F433">
        <f>IF(B433="", " ", IF(LEN(B433)&lt;&gt;11, "ДЛИНА", IF(NOT(ISNUMBER(--B433)), "НЕ ЦИФРЫ", IF(LEFT(B433,9)*1&lt;=1001998, "OK", IF(RIGHT(B433,2)*1=IF(MOD(E433,101)&gt;=100,0,MOD(E433,101)),"OK","ОШИБКА")))))</f>
        <v/>
      </c>
      <c r="G4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3">
        <f>IF(LEN(TRIM(A433))=10, --MID(A433,1,1)*2+--MID(A433,2,1)*4+--MID(A433,3,1)*10+--MID(A433,4,1)*3+--MID(A433,5,1)*5+--MID(A433,6,1)*9+--MID(A433,7,1)*4+--MID(A433,8,1)*6+--MID(A433,9,1)*8, IF(LEN(TRIM(A433))=12, --MID(A433,1,1)*7+--MID(A433,2,1)*2+--MID(A433,3,1)*4+--MID(A433,4,1)*10+--MID(A433,5,1)*3+--MID(A433,6,1)*5+--MID(A433,7,1)*9+--MID(A433,8,1)*4+--MID(A433,9,1)*6+--MID(A433,10,1)*8, ""))</f>
        <v/>
      </c>
      <c r="I433">
        <f>IF(LEN(TRIM(A433))=12, --MID(A433,1,1)*3+--MID(A433,2,1)*7+--MID(A433,3,1)*2+--MID(A433,4,1)*4+--MID(A433,5,1)*10+--MID(A433,6,1)*3+--MID(A433,7,1)*5+--MID(A433,8,1)*9+--MID(A433,9,1)*4+--MID(A433,10,1)*6+--MID(A433,11,1)*8, "")</f>
        <v/>
      </c>
    </row>
    <row r="434">
      <c r="A434">
        <f>SUBSTITUTE(SUBSTITUTE(SUBSTITUTE(SUBSTITUTE(TRIM(INDEX(Реестр!$B:$B,ROW())),CHAR(160),""),CHAR(9),""),CHAR(10),""),CHAR(13),"")</f>
        <v/>
      </c>
      <c r="B434">
        <f>SUBSTITUTE(SUBSTITUTE(SUBSTITUTE(SUBSTITUTE(SUBSTITUTE(SUBSTITUTE(SUBSTITUTE(TRIM(INDEX(Реестр!$D:$D, ROW())), "-", ""), " ", ""), CHAR(160), ""), CHAR(9), ""), CHAR(10), ""), CHAR(13), ""), CHAR(32), "")</f>
        <v/>
      </c>
      <c r="C434">
        <f>INDEX(Реестр!$H:$H, ROW())</f>
        <v/>
      </c>
      <c r="D434">
        <f>IF(OR(ISBLANK(INDEX(Реестр!$B:$B, ROW())), INDEX(Реестр!$B:$B, ROW())=""), " ", IF(IFERROR(ISNUMBER(--A434),FALSE), IF(LEN(A434)=10, IF(MOD(MOD(H434,11),10)=--RIGHT(A434,1), "OK", "ОШИБКА"), IF(LEN(A434)=12, IF(AND(MOD(MOD(H434,11),10)=--MID(A434,11,1), MOD(MOD(I434,11),10)=--RIGHT(A434,1)), "OK", "ОШИБКА"), "ДЛИНА (10 или 12)")), "НЕ ЦИФРЫ"))</f>
        <v/>
      </c>
      <c r="E434">
        <f>MID(B434,1,1)*9+MID(B434,2,1)*8+MID(B434,3,1)*7+MID(B434,4,1)*6+MID(B434,5,1)*5+MID(B434,6,1)*4+MID(B434,7,1)*3+MID(B434,8,1)*2+MID(B434,9,1)</f>
        <v/>
      </c>
      <c r="F434">
        <f>IF(B434="", " ", IF(LEN(B434)&lt;&gt;11, "ДЛИНА", IF(NOT(ISNUMBER(--B434)), "НЕ ЦИФРЫ", IF(LEFT(B434,9)*1&lt;=1001998, "OK", IF(RIGHT(B434,2)*1=IF(MOD(E434,101)&gt;=100,0,MOD(E434,101)),"OK","ОШИБКА")))))</f>
        <v/>
      </c>
      <c r="G4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4">
        <f>IF(LEN(TRIM(A434))=10, --MID(A434,1,1)*2+--MID(A434,2,1)*4+--MID(A434,3,1)*10+--MID(A434,4,1)*3+--MID(A434,5,1)*5+--MID(A434,6,1)*9+--MID(A434,7,1)*4+--MID(A434,8,1)*6+--MID(A434,9,1)*8, IF(LEN(TRIM(A434))=12, --MID(A434,1,1)*7+--MID(A434,2,1)*2+--MID(A434,3,1)*4+--MID(A434,4,1)*10+--MID(A434,5,1)*3+--MID(A434,6,1)*5+--MID(A434,7,1)*9+--MID(A434,8,1)*4+--MID(A434,9,1)*6+--MID(A434,10,1)*8, ""))</f>
        <v/>
      </c>
      <c r="I434">
        <f>IF(LEN(TRIM(A434))=12, --MID(A434,1,1)*3+--MID(A434,2,1)*7+--MID(A434,3,1)*2+--MID(A434,4,1)*4+--MID(A434,5,1)*10+--MID(A434,6,1)*3+--MID(A434,7,1)*5+--MID(A434,8,1)*9+--MID(A434,9,1)*4+--MID(A434,10,1)*6+--MID(A434,11,1)*8, "")</f>
        <v/>
      </c>
    </row>
    <row r="435">
      <c r="A435">
        <f>SUBSTITUTE(SUBSTITUTE(SUBSTITUTE(SUBSTITUTE(TRIM(INDEX(Реестр!$B:$B,ROW())),CHAR(160),""),CHAR(9),""),CHAR(10),""),CHAR(13),"")</f>
        <v/>
      </c>
      <c r="B435">
        <f>SUBSTITUTE(SUBSTITUTE(SUBSTITUTE(SUBSTITUTE(SUBSTITUTE(SUBSTITUTE(SUBSTITUTE(TRIM(INDEX(Реестр!$D:$D, ROW())), "-", ""), " ", ""), CHAR(160), ""), CHAR(9), ""), CHAR(10), ""), CHAR(13), ""), CHAR(32), "")</f>
        <v/>
      </c>
      <c r="C435">
        <f>INDEX(Реестр!$H:$H, ROW())</f>
        <v/>
      </c>
      <c r="D435">
        <f>IF(OR(ISBLANK(INDEX(Реестр!$B:$B, ROW())), INDEX(Реестр!$B:$B, ROW())=""), " ", IF(IFERROR(ISNUMBER(--A435),FALSE), IF(LEN(A435)=10, IF(MOD(MOD(H435,11),10)=--RIGHT(A435,1), "OK", "ОШИБКА"), IF(LEN(A435)=12, IF(AND(MOD(MOD(H435,11),10)=--MID(A435,11,1), MOD(MOD(I435,11),10)=--RIGHT(A435,1)), "OK", "ОШИБКА"), "ДЛИНА (10 или 12)")), "НЕ ЦИФРЫ"))</f>
        <v/>
      </c>
      <c r="E435">
        <f>MID(B435,1,1)*9+MID(B435,2,1)*8+MID(B435,3,1)*7+MID(B435,4,1)*6+MID(B435,5,1)*5+MID(B435,6,1)*4+MID(B435,7,1)*3+MID(B435,8,1)*2+MID(B435,9,1)</f>
        <v/>
      </c>
      <c r="F435">
        <f>IF(B435="", " ", IF(LEN(B435)&lt;&gt;11, "ДЛИНА", IF(NOT(ISNUMBER(--B435)), "НЕ ЦИФРЫ", IF(LEFT(B435,9)*1&lt;=1001998, "OK", IF(RIGHT(B435,2)*1=IF(MOD(E435,101)&gt;=100,0,MOD(E435,101)),"OK","ОШИБКА")))))</f>
        <v/>
      </c>
      <c r="G4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5">
        <f>IF(LEN(TRIM(A435))=10, --MID(A435,1,1)*2+--MID(A435,2,1)*4+--MID(A435,3,1)*10+--MID(A435,4,1)*3+--MID(A435,5,1)*5+--MID(A435,6,1)*9+--MID(A435,7,1)*4+--MID(A435,8,1)*6+--MID(A435,9,1)*8, IF(LEN(TRIM(A435))=12, --MID(A435,1,1)*7+--MID(A435,2,1)*2+--MID(A435,3,1)*4+--MID(A435,4,1)*10+--MID(A435,5,1)*3+--MID(A435,6,1)*5+--MID(A435,7,1)*9+--MID(A435,8,1)*4+--MID(A435,9,1)*6+--MID(A435,10,1)*8, ""))</f>
        <v/>
      </c>
      <c r="I435">
        <f>IF(LEN(TRIM(A435))=12, --MID(A435,1,1)*3+--MID(A435,2,1)*7+--MID(A435,3,1)*2+--MID(A435,4,1)*4+--MID(A435,5,1)*10+--MID(A435,6,1)*3+--MID(A435,7,1)*5+--MID(A435,8,1)*9+--MID(A435,9,1)*4+--MID(A435,10,1)*6+--MID(A435,11,1)*8, "")</f>
        <v/>
      </c>
    </row>
    <row r="436">
      <c r="A436">
        <f>SUBSTITUTE(SUBSTITUTE(SUBSTITUTE(SUBSTITUTE(TRIM(INDEX(Реестр!$B:$B,ROW())),CHAR(160),""),CHAR(9),""),CHAR(10),""),CHAR(13),"")</f>
        <v/>
      </c>
      <c r="B436">
        <f>SUBSTITUTE(SUBSTITUTE(SUBSTITUTE(SUBSTITUTE(SUBSTITUTE(SUBSTITUTE(SUBSTITUTE(TRIM(INDEX(Реестр!$D:$D, ROW())), "-", ""), " ", ""), CHAR(160), ""), CHAR(9), ""), CHAR(10), ""), CHAR(13), ""), CHAR(32), "")</f>
        <v/>
      </c>
      <c r="C436">
        <f>INDEX(Реестр!$H:$H, ROW())</f>
        <v/>
      </c>
      <c r="D436">
        <f>IF(OR(ISBLANK(INDEX(Реестр!$B:$B, ROW())), INDEX(Реестр!$B:$B, ROW())=""), " ", IF(IFERROR(ISNUMBER(--A436),FALSE), IF(LEN(A436)=10, IF(MOD(MOD(H436,11),10)=--RIGHT(A436,1), "OK", "ОШИБКА"), IF(LEN(A436)=12, IF(AND(MOD(MOD(H436,11),10)=--MID(A436,11,1), MOD(MOD(I436,11),10)=--RIGHT(A436,1)), "OK", "ОШИБКА"), "ДЛИНА (10 или 12)")), "НЕ ЦИФРЫ"))</f>
        <v/>
      </c>
      <c r="E436">
        <f>MID(B436,1,1)*9+MID(B436,2,1)*8+MID(B436,3,1)*7+MID(B436,4,1)*6+MID(B436,5,1)*5+MID(B436,6,1)*4+MID(B436,7,1)*3+MID(B436,8,1)*2+MID(B436,9,1)</f>
        <v/>
      </c>
      <c r="F436">
        <f>IF(B436="", " ", IF(LEN(B436)&lt;&gt;11, "ДЛИНА", IF(NOT(ISNUMBER(--B436)), "НЕ ЦИФРЫ", IF(LEFT(B436,9)*1&lt;=1001998, "OK", IF(RIGHT(B436,2)*1=IF(MOD(E436,101)&gt;=100,0,MOD(E436,101)),"OK","ОШИБКА")))))</f>
        <v/>
      </c>
      <c r="G4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6">
        <f>IF(LEN(TRIM(A436))=10, --MID(A436,1,1)*2+--MID(A436,2,1)*4+--MID(A436,3,1)*10+--MID(A436,4,1)*3+--MID(A436,5,1)*5+--MID(A436,6,1)*9+--MID(A436,7,1)*4+--MID(A436,8,1)*6+--MID(A436,9,1)*8, IF(LEN(TRIM(A436))=12, --MID(A436,1,1)*7+--MID(A436,2,1)*2+--MID(A436,3,1)*4+--MID(A436,4,1)*10+--MID(A436,5,1)*3+--MID(A436,6,1)*5+--MID(A436,7,1)*9+--MID(A436,8,1)*4+--MID(A436,9,1)*6+--MID(A436,10,1)*8, ""))</f>
        <v/>
      </c>
      <c r="I436">
        <f>IF(LEN(TRIM(A436))=12, --MID(A436,1,1)*3+--MID(A436,2,1)*7+--MID(A436,3,1)*2+--MID(A436,4,1)*4+--MID(A436,5,1)*10+--MID(A436,6,1)*3+--MID(A436,7,1)*5+--MID(A436,8,1)*9+--MID(A436,9,1)*4+--MID(A436,10,1)*6+--MID(A436,11,1)*8, "")</f>
        <v/>
      </c>
    </row>
    <row r="437">
      <c r="A437">
        <f>SUBSTITUTE(SUBSTITUTE(SUBSTITUTE(SUBSTITUTE(TRIM(INDEX(Реестр!$B:$B,ROW())),CHAR(160),""),CHAR(9),""),CHAR(10),""),CHAR(13),"")</f>
        <v/>
      </c>
      <c r="B437">
        <f>SUBSTITUTE(SUBSTITUTE(SUBSTITUTE(SUBSTITUTE(SUBSTITUTE(SUBSTITUTE(SUBSTITUTE(TRIM(INDEX(Реестр!$D:$D, ROW())), "-", ""), " ", ""), CHAR(160), ""), CHAR(9), ""), CHAR(10), ""), CHAR(13), ""), CHAR(32), "")</f>
        <v/>
      </c>
      <c r="C437">
        <f>INDEX(Реестр!$H:$H, ROW())</f>
        <v/>
      </c>
      <c r="D437">
        <f>IF(OR(ISBLANK(INDEX(Реестр!$B:$B, ROW())), INDEX(Реестр!$B:$B, ROW())=""), " ", IF(IFERROR(ISNUMBER(--A437),FALSE), IF(LEN(A437)=10, IF(MOD(MOD(H437,11),10)=--RIGHT(A437,1), "OK", "ОШИБКА"), IF(LEN(A437)=12, IF(AND(MOD(MOD(H437,11),10)=--MID(A437,11,1), MOD(MOD(I437,11),10)=--RIGHT(A437,1)), "OK", "ОШИБКА"), "ДЛИНА (10 или 12)")), "НЕ ЦИФРЫ"))</f>
        <v/>
      </c>
      <c r="E437">
        <f>MID(B437,1,1)*9+MID(B437,2,1)*8+MID(B437,3,1)*7+MID(B437,4,1)*6+MID(B437,5,1)*5+MID(B437,6,1)*4+MID(B437,7,1)*3+MID(B437,8,1)*2+MID(B437,9,1)</f>
        <v/>
      </c>
      <c r="F437">
        <f>IF(B437="", " ", IF(LEN(B437)&lt;&gt;11, "ДЛИНА", IF(NOT(ISNUMBER(--B437)), "НЕ ЦИФРЫ", IF(LEFT(B437,9)*1&lt;=1001998, "OK", IF(RIGHT(B437,2)*1=IF(MOD(E437,101)&gt;=100,0,MOD(E437,101)),"OK","ОШИБКА")))))</f>
        <v/>
      </c>
      <c r="G4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7">
        <f>IF(LEN(TRIM(A437))=10, --MID(A437,1,1)*2+--MID(A437,2,1)*4+--MID(A437,3,1)*10+--MID(A437,4,1)*3+--MID(A437,5,1)*5+--MID(A437,6,1)*9+--MID(A437,7,1)*4+--MID(A437,8,1)*6+--MID(A437,9,1)*8, IF(LEN(TRIM(A437))=12, --MID(A437,1,1)*7+--MID(A437,2,1)*2+--MID(A437,3,1)*4+--MID(A437,4,1)*10+--MID(A437,5,1)*3+--MID(A437,6,1)*5+--MID(A437,7,1)*9+--MID(A437,8,1)*4+--MID(A437,9,1)*6+--MID(A437,10,1)*8, ""))</f>
        <v/>
      </c>
      <c r="I437">
        <f>IF(LEN(TRIM(A437))=12, --MID(A437,1,1)*3+--MID(A437,2,1)*7+--MID(A437,3,1)*2+--MID(A437,4,1)*4+--MID(A437,5,1)*10+--MID(A437,6,1)*3+--MID(A437,7,1)*5+--MID(A437,8,1)*9+--MID(A437,9,1)*4+--MID(A437,10,1)*6+--MID(A437,11,1)*8, "")</f>
        <v/>
      </c>
    </row>
    <row r="438">
      <c r="A438">
        <f>SUBSTITUTE(SUBSTITUTE(SUBSTITUTE(SUBSTITUTE(TRIM(INDEX(Реестр!$B:$B,ROW())),CHAR(160),""),CHAR(9),""),CHAR(10),""),CHAR(13),"")</f>
        <v/>
      </c>
      <c r="B438">
        <f>SUBSTITUTE(SUBSTITUTE(SUBSTITUTE(SUBSTITUTE(SUBSTITUTE(SUBSTITUTE(SUBSTITUTE(TRIM(INDEX(Реестр!$D:$D, ROW())), "-", ""), " ", ""), CHAR(160), ""), CHAR(9), ""), CHAR(10), ""), CHAR(13), ""), CHAR(32), "")</f>
        <v/>
      </c>
      <c r="C438">
        <f>INDEX(Реестр!$H:$H, ROW())</f>
        <v/>
      </c>
      <c r="D438">
        <f>IF(OR(ISBLANK(INDEX(Реестр!$B:$B, ROW())), INDEX(Реестр!$B:$B, ROW())=""), " ", IF(IFERROR(ISNUMBER(--A438),FALSE), IF(LEN(A438)=10, IF(MOD(MOD(H438,11),10)=--RIGHT(A438,1), "OK", "ОШИБКА"), IF(LEN(A438)=12, IF(AND(MOD(MOD(H438,11),10)=--MID(A438,11,1), MOD(MOD(I438,11),10)=--RIGHT(A438,1)), "OK", "ОШИБКА"), "ДЛИНА (10 или 12)")), "НЕ ЦИФРЫ"))</f>
        <v/>
      </c>
      <c r="E438">
        <f>MID(B438,1,1)*9+MID(B438,2,1)*8+MID(B438,3,1)*7+MID(B438,4,1)*6+MID(B438,5,1)*5+MID(B438,6,1)*4+MID(B438,7,1)*3+MID(B438,8,1)*2+MID(B438,9,1)</f>
        <v/>
      </c>
      <c r="F438">
        <f>IF(B438="", " ", IF(LEN(B438)&lt;&gt;11, "ДЛИНА", IF(NOT(ISNUMBER(--B438)), "НЕ ЦИФРЫ", IF(LEFT(B438,9)*1&lt;=1001998, "OK", IF(RIGHT(B438,2)*1=IF(MOD(E438,101)&gt;=100,0,MOD(E438,101)),"OK","ОШИБКА")))))</f>
        <v/>
      </c>
      <c r="G4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8">
        <f>IF(LEN(TRIM(A438))=10, --MID(A438,1,1)*2+--MID(A438,2,1)*4+--MID(A438,3,1)*10+--MID(A438,4,1)*3+--MID(A438,5,1)*5+--MID(A438,6,1)*9+--MID(A438,7,1)*4+--MID(A438,8,1)*6+--MID(A438,9,1)*8, IF(LEN(TRIM(A438))=12, --MID(A438,1,1)*7+--MID(A438,2,1)*2+--MID(A438,3,1)*4+--MID(A438,4,1)*10+--MID(A438,5,1)*3+--MID(A438,6,1)*5+--MID(A438,7,1)*9+--MID(A438,8,1)*4+--MID(A438,9,1)*6+--MID(A438,10,1)*8, ""))</f>
        <v/>
      </c>
      <c r="I438">
        <f>IF(LEN(TRIM(A438))=12, --MID(A438,1,1)*3+--MID(A438,2,1)*7+--MID(A438,3,1)*2+--MID(A438,4,1)*4+--MID(A438,5,1)*10+--MID(A438,6,1)*3+--MID(A438,7,1)*5+--MID(A438,8,1)*9+--MID(A438,9,1)*4+--MID(A438,10,1)*6+--MID(A438,11,1)*8, "")</f>
        <v/>
      </c>
    </row>
    <row r="439">
      <c r="A439">
        <f>SUBSTITUTE(SUBSTITUTE(SUBSTITUTE(SUBSTITUTE(TRIM(INDEX(Реестр!$B:$B,ROW())),CHAR(160),""),CHAR(9),""),CHAR(10),""),CHAR(13),"")</f>
        <v/>
      </c>
      <c r="B439">
        <f>SUBSTITUTE(SUBSTITUTE(SUBSTITUTE(SUBSTITUTE(SUBSTITUTE(SUBSTITUTE(SUBSTITUTE(TRIM(INDEX(Реестр!$D:$D, ROW())), "-", ""), " ", ""), CHAR(160), ""), CHAR(9), ""), CHAR(10), ""), CHAR(13), ""), CHAR(32), "")</f>
        <v/>
      </c>
      <c r="C439">
        <f>INDEX(Реестр!$H:$H, ROW())</f>
        <v/>
      </c>
      <c r="D439">
        <f>IF(OR(ISBLANK(INDEX(Реестр!$B:$B, ROW())), INDEX(Реестр!$B:$B, ROW())=""), " ", IF(IFERROR(ISNUMBER(--A439),FALSE), IF(LEN(A439)=10, IF(MOD(MOD(H439,11),10)=--RIGHT(A439,1), "OK", "ОШИБКА"), IF(LEN(A439)=12, IF(AND(MOD(MOD(H439,11),10)=--MID(A439,11,1), MOD(MOD(I439,11),10)=--RIGHT(A439,1)), "OK", "ОШИБКА"), "ДЛИНА (10 или 12)")), "НЕ ЦИФРЫ"))</f>
        <v/>
      </c>
      <c r="E439">
        <f>MID(B439,1,1)*9+MID(B439,2,1)*8+MID(B439,3,1)*7+MID(B439,4,1)*6+MID(B439,5,1)*5+MID(B439,6,1)*4+MID(B439,7,1)*3+MID(B439,8,1)*2+MID(B439,9,1)</f>
        <v/>
      </c>
      <c r="F439">
        <f>IF(B439="", " ", IF(LEN(B439)&lt;&gt;11, "ДЛИНА", IF(NOT(ISNUMBER(--B439)), "НЕ ЦИФРЫ", IF(LEFT(B439,9)*1&lt;=1001998, "OK", IF(RIGHT(B439,2)*1=IF(MOD(E439,101)&gt;=100,0,MOD(E439,101)),"OK","ОШИБКА")))))</f>
        <v/>
      </c>
      <c r="G4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39">
        <f>IF(LEN(TRIM(A439))=10, --MID(A439,1,1)*2+--MID(A439,2,1)*4+--MID(A439,3,1)*10+--MID(A439,4,1)*3+--MID(A439,5,1)*5+--MID(A439,6,1)*9+--MID(A439,7,1)*4+--MID(A439,8,1)*6+--MID(A439,9,1)*8, IF(LEN(TRIM(A439))=12, --MID(A439,1,1)*7+--MID(A439,2,1)*2+--MID(A439,3,1)*4+--MID(A439,4,1)*10+--MID(A439,5,1)*3+--MID(A439,6,1)*5+--MID(A439,7,1)*9+--MID(A439,8,1)*4+--MID(A439,9,1)*6+--MID(A439,10,1)*8, ""))</f>
        <v/>
      </c>
      <c r="I439">
        <f>IF(LEN(TRIM(A439))=12, --MID(A439,1,1)*3+--MID(A439,2,1)*7+--MID(A439,3,1)*2+--MID(A439,4,1)*4+--MID(A439,5,1)*10+--MID(A439,6,1)*3+--MID(A439,7,1)*5+--MID(A439,8,1)*9+--MID(A439,9,1)*4+--MID(A439,10,1)*6+--MID(A439,11,1)*8, "")</f>
        <v/>
      </c>
    </row>
    <row r="440">
      <c r="A440">
        <f>SUBSTITUTE(SUBSTITUTE(SUBSTITUTE(SUBSTITUTE(TRIM(INDEX(Реестр!$B:$B,ROW())),CHAR(160),""),CHAR(9),""),CHAR(10),""),CHAR(13),"")</f>
        <v/>
      </c>
      <c r="B440">
        <f>SUBSTITUTE(SUBSTITUTE(SUBSTITUTE(SUBSTITUTE(SUBSTITUTE(SUBSTITUTE(SUBSTITUTE(TRIM(INDEX(Реестр!$D:$D, ROW())), "-", ""), " ", ""), CHAR(160), ""), CHAR(9), ""), CHAR(10), ""), CHAR(13), ""), CHAR(32), "")</f>
        <v/>
      </c>
      <c r="C440">
        <f>INDEX(Реестр!$H:$H, ROW())</f>
        <v/>
      </c>
      <c r="D440">
        <f>IF(OR(ISBLANK(INDEX(Реестр!$B:$B, ROW())), INDEX(Реестр!$B:$B, ROW())=""), " ", IF(IFERROR(ISNUMBER(--A440),FALSE), IF(LEN(A440)=10, IF(MOD(MOD(H440,11),10)=--RIGHT(A440,1), "OK", "ОШИБКА"), IF(LEN(A440)=12, IF(AND(MOD(MOD(H440,11),10)=--MID(A440,11,1), MOD(MOD(I440,11),10)=--RIGHT(A440,1)), "OK", "ОШИБКА"), "ДЛИНА (10 или 12)")), "НЕ ЦИФРЫ"))</f>
        <v/>
      </c>
      <c r="E440">
        <f>MID(B440,1,1)*9+MID(B440,2,1)*8+MID(B440,3,1)*7+MID(B440,4,1)*6+MID(B440,5,1)*5+MID(B440,6,1)*4+MID(B440,7,1)*3+MID(B440,8,1)*2+MID(B440,9,1)</f>
        <v/>
      </c>
      <c r="F440">
        <f>IF(B440="", " ", IF(LEN(B440)&lt;&gt;11, "ДЛИНА", IF(NOT(ISNUMBER(--B440)), "НЕ ЦИФРЫ", IF(LEFT(B440,9)*1&lt;=1001998, "OK", IF(RIGHT(B440,2)*1=IF(MOD(E440,101)&gt;=100,0,MOD(E440,101)),"OK","ОШИБКА")))))</f>
        <v/>
      </c>
      <c r="G4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0">
        <f>IF(LEN(TRIM(A440))=10, --MID(A440,1,1)*2+--MID(A440,2,1)*4+--MID(A440,3,1)*10+--MID(A440,4,1)*3+--MID(A440,5,1)*5+--MID(A440,6,1)*9+--MID(A440,7,1)*4+--MID(A440,8,1)*6+--MID(A440,9,1)*8, IF(LEN(TRIM(A440))=12, --MID(A440,1,1)*7+--MID(A440,2,1)*2+--MID(A440,3,1)*4+--MID(A440,4,1)*10+--MID(A440,5,1)*3+--MID(A440,6,1)*5+--MID(A440,7,1)*9+--MID(A440,8,1)*4+--MID(A440,9,1)*6+--MID(A440,10,1)*8, ""))</f>
        <v/>
      </c>
      <c r="I440">
        <f>IF(LEN(TRIM(A440))=12, --MID(A440,1,1)*3+--MID(A440,2,1)*7+--MID(A440,3,1)*2+--MID(A440,4,1)*4+--MID(A440,5,1)*10+--MID(A440,6,1)*3+--MID(A440,7,1)*5+--MID(A440,8,1)*9+--MID(A440,9,1)*4+--MID(A440,10,1)*6+--MID(A440,11,1)*8, "")</f>
        <v/>
      </c>
    </row>
    <row r="441">
      <c r="A441">
        <f>SUBSTITUTE(SUBSTITUTE(SUBSTITUTE(SUBSTITUTE(TRIM(INDEX(Реестр!$B:$B,ROW())),CHAR(160),""),CHAR(9),""),CHAR(10),""),CHAR(13),"")</f>
        <v/>
      </c>
      <c r="B441">
        <f>SUBSTITUTE(SUBSTITUTE(SUBSTITUTE(SUBSTITUTE(SUBSTITUTE(SUBSTITUTE(SUBSTITUTE(TRIM(INDEX(Реестр!$D:$D, ROW())), "-", ""), " ", ""), CHAR(160), ""), CHAR(9), ""), CHAR(10), ""), CHAR(13), ""), CHAR(32), "")</f>
        <v/>
      </c>
      <c r="C441">
        <f>INDEX(Реестр!$H:$H, ROW())</f>
        <v/>
      </c>
      <c r="D441">
        <f>IF(OR(ISBLANK(INDEX(Реестр!$B:$B, ROW())), INDEX(Реестр!$B:$B, ROW())=""), " ", IF(IFERROR(ISNUMBER(--A441),FALSE), IF(LEN(A441)=10, IF(MOD(MOD(H441,11),10)=--RIGHT(A441,1), "OK", "ОШИБКА"), IF(LEN(A441)=12, IF(AND(MOD(MOD(H441,11),10)=--MID(A441,11,1), MOD(MOD(I441,11),10)=--RIGHT(A441,1)), "OK", "ОШИБКА"), "ДЛИНА (10 или 12)")), "НЕ ЦИФРЫ"))</f>
        <v/>
      </c>
      <c r="E441">
        <f>MID(B441,1,1)*9+MID(B441,2,1)*8+MID(B441,3,1)*7+MID(B441,4,1)*6+MID(B441,5,1)*5+MID(B441,6,1)*4+MID(B441,7,1)*3+MID(B441,8,1)*2+MID(B441,9,1)</f>
        <v/>
      </c>
      <c r="F441">
        <f>IF(B441="", " ", IF(LEN(B441)&lt;&gt;11, "ДЛИНА", IF(NOT(ISNUMBER(--B441)), "НЕ ЦИФРЫ", IF(LEFT(B441,9)*1&lt;=1001998, "OK", IF(RIGHT(B441,2)*1=IF(MOD(E441,101)&gt;=100,0,MOD(E441,101)),"OK","ОШИБКА")))))</f>
        <v/>
      </c>
      <c r="G4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1">
        <f>IF(LEN(TRIM(A441))=10, --MID(A441,1,1)*2+--MID(A441,2,1)*4+--MID(A441,3,1)*10+--MID(A441,4,1)*3+--MID(A441,5,1)*5+--MID(A441,6,1)*9+--MID(A441,7,1)*4+--MID(A441,8,1)*6+--MID(A441,9,1)*8, IF(LEN(TRIM(A441))=12, --MID(A441,1,1)*7+--MID(A441,2,1)*2+--MID(A441,3,1)*4+--MID(A441,4,1)*10+--MID(A441,5,1)*3+--MID(A441,6,1)*5+--MID(A441,7,1)*9+--MID(A441,8,1)*4+--MID(A441,9,1)*6+--MID(A441,10,1)*8, ""))</f>
        <v/>
      </c>
      <c r="I441">
        <f>IF(LEN(TRIM(A441))=12, --MID(A441,1,1)*3+--MID(A441,2,1)*7+--MID(A441,3,1)*2+--MID(A441,4,1)*4+--MID(A441,5,1)*10+--MID(A441,6,1)*3+--MID(A441,7,1)*5+--MID(A441,8,1)*9+--MID(A441,9,1)*4+--MID(A441,10,1)*6+--MID(A441,11,1)*8, "")</f>
        <v/>
      </c>
    </row>
    <row r="442">
      <c r="A442">
        <f>SUBSTITUTE(SUBSTITUTE(SUBSTITUTE(SUBSTITUTE(TRIM(INDEX(Реестр!$B:$B,ROW())),CHAR(160),""),CHAR(9),""),CHAR(10),""),CHAR(13),"")</f>
        <v/>
      </c>
      <c r="B442">
        <f>SUBSTITUTE(SUBSTITUTE(SUBSTITUTE(SUBSTITUTE(SUBSTITUTE(SUBSTITUTE(SUBSTITUTE(TRIM(INDEX(Реестр!$D:$D, ROW())), "-", ""), " ", ""), CHAR(160), ""), CHAR(9), ""), CHAR(10), ""), CHAR(13), ""), CHAR(32), "")</f>
        <v/>
      </c>
      <c r="C442">
        <f>INDEX(Реестр!$H:$H, ROW())</f>
        <v/>
      </c>
      <c r="D442">
        <f>IF(OR(ISBLANK(INDEX(Реестр!$B:$B, ROW())), INDEX(Реестр!$B:$B, ROW())=""), " ", IF(IFERROR(ISNUMBER(--A442),FALSE), IF(LEN(A442)=10, IF(MOD(MOD(H442,11),10)=--RIGHT(A442,1), "OK", "ОШИБКА"), IF(LEN(A442)=12, IF(AND(MOD(MOD(H442,11),10)=--MID(A442,11,1), MOD(MOD(I442,11),10)=--RIGHT(A442,1)), "OK", "ОШИБКА"), "ДЛИНА (10 или 12)")), "НЕ ЦИФРЫ"))</f>
        <v/>
      </c>
      <c r="E442">
        <f>MID(B442,1,1)*9+MID(B442,2,1)*8+MID(B442,3,1)*7+MID(B442,4,1)*6+MID(B442,5,1)*5+MID(B442,6,1)*4+MID(B442,7,1)*3+MID(B442,8,1)*2+MID(B442,9,1)</f>
        <v/>
      </c>
      <c r="F442">
        <f>IF(B442="", " ", IF(LEN(B442)&lt;&gt;11, "ДЛИНА", IF(NOT(ISNUMBER(--B442)), "НЕ ЦИФРЫ", IF(LEFT(B442,9)*1&lt;=1001998, "OK", IF(RIGHT(B442,2)*1=IF(MOD(E442,101)&gt;=100,0,MOD(E442,101)),"OK","ОШИБКА")))))</f>
        <v/>
      </c>
      <c r="G4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2">
        <f>IF(LEN(TRIM(A442))=10, --MID(A442,1,1)*2+--MID(A442,2,1)*4+--MID(A442,3,1)*10+--MID(A442,4,1)*3+--MID(A442,5,1)*5+--MID(A442,6,1)*9+--MID(A442,7,1)*4+--MID(A442,8,1)*6+--MID(A442,9,1)*8, IF(LEN(TRIM(A442))=12, --MID(A442,1,1)*7+--MID(A442,2,1)*2+--MID(A442,3,1)*4+--MID(A442,4,1)*10+--MID(A442,5,1)*3+--MID(A442,6,1)*5+--MID(A442,7,1)*9+--MID(A442,8,1)*4+--MID(A442,9,1)*6+--MID(A442,10,1)*8, ""))</f>
        <v/>
      </c>
      <c r="I442">
        <f>IF(LEN(TRIM(A442))=12, --MID(A442,1,1)*3+--MID(A442,2,1)*7+--MID(A442,3,1)*2+--MID(A442,4,1)*4+--MID(A442,5,1)*10+--MID(A442,6,1)*3+--MID(A442,7,1)*5+--MID(A442,8,1)*9+--MID(A442,9,1)*4+--MID(A442,10,1)*6+--MID(A442,11,1)*8, "")</f>
        <v/>
      </c>
    </row>
    <row r="443">
      <c r="A443">
        <f>SUBSTITUTE(SUBSTITUTE(SUBSTITUTE(SUBSTITUTE(TRIM(INDEX(Реестр!$B:$B,ROW())),CHAR(160),""),CHAR(9),""),CHAR(10),""),CHAR(13),"")</f>
        <v/>
      </c>
      <c r="B443">
        <f>SUBSTITUTE(SUBSTITUTE(SUBSTITUTE(SUBSTITUTE(SUBSTITUTE(SUBSTITUTE(SUBSTITUTE(TRIM(INDEX(Реестр!$D:$D, ROW())), "-", ""), " ", ""), CHAR(160), ""), CHAR(9), ""), CHAR(10), ""), CHAR(13), ""), CHAR(32), "")</f>
        <v/>
      </c>
      <c r="C443">
        <f>INDEX(Реестр!$H:$H, ROW())</f>
        <v/>
      </c>
      <c r="D443">
        <f>IF(OR(ISBLANK(INDEX(Реестр!$B:$B, ROW())), INDEX(Реестр!$B:$B, ROW())=""), " ", IF(IFERROR(ISNUMBER(--A443),FALSE), IF(LEN(A443)=10, IF(MOD(MOD(H443,11),10)=--RIGHT(A443,1), "OK", "ОШИБКА"), IF(LEN(A443)=12, IF(AND(MOD(MOD(H443,11),10)=--MID(A443,11,1), MOD(MOD(I443,11),10)=--RIGHT(A443,1)), "OK", "ОШИБКА"), "ДЛИНА (10 или 12)")), "НЕ ЦИФРЫ"))</f>
        <v/>
      </c>
      <c r="E443">
        <f>MID(B443,1,1)*9+MID(B443,2,1)*8+MID(B443,3,1)*7+MID(B443,4,1)*6+MID(B443,5,1)*5+MID(B443,6,1)*4+MID(B443,7,1)*3+MID(B443,8,1)*2+MID(B443,9,1)</f>
        <v/>
      </c>
      <c r="F443">
        <f>IF(B443="", " ", IF(LEN(B443)&lt;&gt;11, "ДЛИНА", IF(NOT(ISNUMBER(--B443)), "НЕ ЦИФРЫ", IF(LEFT(B443,9)*1&lt;=1001998, "OK", IF(RIGHT(B443,2)*1=IF(MOD(E443,101)&gt;=100,0,MOD(E443,101)),"OK","ОШИБКА")))))</f>
        <v/>
      </c>
      <c r="G4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3">
        <f>IF(LEN(TRIM(A443))=10, --MID(A443,1,1)*2+--MID(A443,2,1)*4+--MID(A443,3,1)*10+--MID(A443,4,1)*3+--MID(A443,5,1)*5+--MID(A443,6,1)*9+--MID(A443,7,1)*4+--MID(A443,8,1)*6+--MID(A443,9,1)*8, IF(LEN(TRIM(A443))=12, --MID(A443,1,1)*7+--MID(A443,2,1)*2+--MID(A443,3,1)*4+--MID(A443,4,1)*10+--MID(A443,5,1)*3+--MID(A443,6,1)*5+--MID(A443,7,1)*9+--MID(A443,8,1)*4+--MID(A443,9,1)*6+--MID(A443,10,1)*8, ""))</f>
        <v/>
      </c>
      <c r="I443">
        <f>IF(LEN(TRIM(A443))=12, --MID(A443,1,1)*3+--MID(A443,2,1)*7+--MID(A443,3,1)*2+--MID(A443,4,1)*4+--MID(A443,5,1)*10+--MID(A443,6,1)*3+--MID(A443,7,1)*5+--MID(A443,8,1)*9+--MID(A443,9,1)*4+--MID(A443,10,1)*6+--MID(A443,11,1)*8, "")</f>
        <v/>
      </c>
    </row>
    <row r="444">
      <c r="A444">
        <f>SUBSTITUTE(SUBSTITUTE(SUBSTITUTE(SUBSTITUTE(TRIM(INDEX(Реестр!$B:$B,ROW())),CHAR(160),""),CHAR(9),""),CHAR(10),""),CHAR(13),"")</f>
        <v/>
      </c>
      <c r="B444">
        <f>SUBSTITUTE(SUBSTITUTE(SUBSTITUTE(SUBSTITUTE(SUBSTITUTE(SUBSTITUTE(SUBSTITUTE(TRIM(INDEX(Реестр!$D:$D, ROW())), "-", ""), " ", ""), CHAR(160), ""), CHAR(9), ""), CHAR(10), ""), CHAR(13), ""), CHAR(32), "")</f>
        <v/>
      </c>
      <c r="C444">
        <f>INDEX(Реестр!$H:$H, ROW())</f>
        <v/>
      </c>
      <c r="D444">
        <f>IF(OR(ISBLANK(INDEX(Реестр!$B:$B, ROW())), INDEX(Реестр!$B:$B, ROW())=""), " ", IF(IFERROR(ISNUMBER(--A444),FALSE), IF(LEN(A444)=10, IF(MOD(MOD(H444,11),10)=--RIGHT(A444,1), "OK", "ОШИБКА"), IF(LEN(A444)=12, IF(AND(MOD(MOD(H444,11),10)=--MID(A444,11,1), MOD(MOD(I444,11),10)=--RIGHT(A444,1)), "OK", "ОШИБКА"), "ДЛИНА (10 или 12)")), "НЕ ЦИФРЫ"))</f>
        <v/>
      </c>
      <c r="E444">
        <f>MID(B444,1,1)*9+MID(B444,2,1)*8+MID(B444,3,1)*7+MID(B444,4,1)*6+MID(B444,5,1)*5+MID(B444,6,1)*4+MID(B444,7,1)*3+MID(B444,8,1)*2+MID(B444,9,1)</f>
        <v/>
      </c>
      <c r="F444">
        <f>IF(B444="", " ", IF(LEN(B444)&lt;&gt;11, "ДЛИНА", IF(NOT(ISNUMBER(--B444)), "НЕ ЦИФРЫ", IF(LEFT(B444,9)*1&lt;=1001998, "OK", IF(RIGHT(B444,2)*1=IF(MOD(E444,101)&gt;=100,0,MOD(E444,101)),"OK","ОШИБКА")))))</f>
        <v/>
      </c>
      <c r="G4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4">
        <f>IF(LEN(TRIM(A444))=10, --MID(A444,1,1)*2+--MID(A444,2,1)*4+--MID(A444,3,1)*10+--MID(A444,4,1)*3+--MID(A444,5,1)*5+--MID(A444,6,1)*9+--MID(A444,7,1)*4+--MID(A444,8,1)*6+--MID(A444,9,1)*8, IF(LEN(TRIM(A444))=12, --MID(A444,1,1)*7+--MID(A444,2,1)*2+--MID(A444,3,1)*4+--MID(A444,4,1)*10+--MID(A444,5,1)*3+--MID(A444,6,1)*5+--MID(A444,7,1)*9+--MID(A444,8,1)*4+--MID(A444,9,1)*6+--MID(A444,10,1)*8, ""))</f>
        <v/>
      </c>
      <c r="I444">
        <f>IF(LEN(TRIM(A444))=12, --MID(A444,1,1)*3+--MID(A444,2,1)*7+--MID(A444,3,1)*2+--MID(A444,4,1)*4+--MID(A444,5,1)*10+--MID(A444,6,1)*3+--MID(A444,7,1)*5+--MID(A444,8,1)*9+--MID(A444,9,1)*4+--MID(A444,10,1)*6+--MID(A444,11,1)*8, "")</f>
        <v/>
      </c>
    </row>
    <row r="445">
      <c r="A445">
        <f>SUBSTITUTE(SUBSTITUTE(SUBSTITUTE(SUBSTITUTE(TRIM(INDEX(Реестр!$B:$B,ROW())),CHAR(160),""),CHAR(9),""),CHAR(10),""),CHAR(13),"")</f>
        <v/>
      </c>
      <c r="B445">
        <f>SUBSTITUTE(SUBSTITUTE(SUBSTITUTE(SUBSTITUTE(SUBSTITUTE(SUBSTITUTE(SUBSTITUTE(TRIM(INDEX(Реестр!$D:$D, ROW())), "-", ""), " ", ""), CHAR(160), ""), CHAR(9), ""), CHAR(10), ""), CHAR(13), ""), CHAR(32), "")</f>
        <v/>
      </c>
      <c r="C445">
        <f>INDEX(Реестр!$H:$H, ROW())</f>
        <v/>
      </c>
      <c r="D445">
        <f>IF(OR(ISBLANK(INDEX(Реестр!$B:$B, ROW())), INDEX(Реестр!$B:$B, ROW())=""), " ", IF(IFERROR(ISNUMBER(--A445),FALSE), IF(LEN(A445)=10, IF(MOD(MOD(H445,11),10)=--RIGHT(A445,1), "OK", "ОШИБКА"), IF(LEN(A445)=12, IF(AND(MOD(MOD(H445,11),10)=--MID(A445,11,1), MOD(MOD(I445,11),10)=--RIGHT(A445,1)), "OK", "ОШИБКА"), "ДЛИНА (10 или 12)")), "НЕ ЦИФРЫ"))</f>
        <v/>
      </c>
      <c r="E445">
        <f>MID(B445,1,1)*9+MID(B445,2,1)*8+MID(B445,3,1)*7+MID(B445,4,1)*6+MID(B445,5,1)*5+MID(B445,6,1)*4+MID(B445,7,1)*3+MID(B445,8,1)*2+MID(B445,9,1)</f>
        <v/>
      </c>
      <c r="F445">
        <f>IF(B445="", " ", IF(LEN(B445)&lt;&gt;11, "ДЛИНА", IF(NOT(ISNUMBER(--B445)), "НЕ ЦИФРЫ", IF(LEFT(B445,9)*1&lt;=1001998, "OK", IF(RIGHT(B445,2)*1=IF(MOD(E445,101)&gt;=100,0,MOD(E445,101)),"OK","ОШИБКА")))))</f>
        <v/>
      </c>
      <c r="G4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5">
        <f>IF(LEN(TRIM(A445))=10, --MID(A445,1,1)*2+--MID(A445,2,1)*4+--MID(A445,3,1)*10+--MID(A445,4,1)*3+--MID(A445,5,1)*5+--MID(A445,6,1)*9+--MID(A445,7,1)*4+--MID(A445,8,1)*6+--MID(A445,9,1)*8, IF(LEN(TRIM(A445))=12, --MID(A445,1,1)*7+--MID(A445,2,1)*2+--MID(A445,3,1)*4+--MID(A445,4,1)*10+--MID(A445,5,1)*3+--MID(A445,6,1)*5+--MID(A445,7,1)*9+--MID(A445,8,1)*4+--MID(A445,9,1)*6+--MID(A445,10,1)*8, ""))</f>
        <v/>
      </c>
      <c r="I445">
        <f>IF(LEN(TRIM(A445))=12, --MID(A445,1,1)*3+--MID(A445,2,1)*7+--MID(A445,3,1)*2+--MID(A445,4,1)*4+--MID(A445,5,1)*10+--MID(A445,6,1)*3+--MID(A445,7,1)*5+--MID(A445,8,1)*9+--MID(A445,9,1)*4+--MID(A445,10,1)*6+--MID(A445,11,1)*8, "")</f>
        <v/>
      </c>
    </row>
    <row r="446">
      <c r="A446">
        <f>SUBSTITUTE(SUBSTITUTE(SUBSTITUTE(SUBSTITUTE(TRIM(INDEX(Реестр!$B:$B,ROW())),CHAR(160),""),CHAR(9),""),CHAR(10),""),CHAR(13),"")</f>
        <v/>
      </c>
      <c r="B446">
        <f>SUBSTITUTE(SUBSTITUTE(SUBSTITUTE(SUBSTITUTE(SUBSTITUTE(SUBSTITUTE(SUBSTITUTE(TRIM(INDEX(Реестр!$D:$D, ROW())), "-", ""), " ", ""), CHAR(160), ""), CHAR(9), ""), CHAR(10), ""), CHAR(13), ""), CHAR(32), "")</f>
        <v/>
      </c>
      <c r="C446">
        <f>INDEX(Реестр!$H:$H, ROW())</f>
        <v/>
      </c>
      <c r="D446">
        <f>IF(OR(ISBLANK(INDEX(Реестр!$B:$B, ROW())), INDEX(Реестр!$B:$B, ROW())=""), " ", IF(IFERROR(ISNUMBER(--A446),FALSE), IF(LEN(A446)=10, IF(MOD(MOD(H446,11),10)=--RIGHT(A446,1), "OK", "ОШИБКА"), IF(LEN(A446)=12, IF(AND(MOD(MOD(H446,11),10)=--MID(A446,11,1), MOD(MOD(I446,11),10)=--RIGHT(A446,1)), "OK", "ОШИБКА"), "ДЛИНА (10 или 12)")), "НЕ ЦИФРЫ"))</f>
        <v/>
      </c>
      <c r="E446">
        <f>MID(B446,1,1)*9+MID(B446,2,1)*8+MID(B446,3,1)*7+MID(B446,4,1)*6+MID(B446,5,1)*5+MID(B446,6,1)*4+MID(B446,7,1)*3+MID(B446,8,1)*2+MID(B446,9,1)</f>
        <v/>
      </c>
      <c r="F446">
        <f>IF(B446="", " ", IF(LEN(B446)&lt;&gt;11, "ДЛИНА", IF(NOT(ISNUMBER(--B446)), "НЕ ЦИФРЫ", IF(LEFT(B446,9)*1&lt;=1001998, "OK", IF(RIGHT(B446,2)*1=IF(MOD(E446,101)&gt;=100,0,MOD(E446,101)),"OK","ОШИБКА")))))</f>
        <v/>
      </c>
      <c r="G4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6">
        <f>IF(LEN(TRIM(A446))=10, --MID(A446,1,1)*2+--MID(A446,2,1)*4+--MID(A446,3,1)*10+--MID(A446,4,1)*3+--MID(A446,5,1)*5+--MID(A446,6,1)*9+--MID(A446,7,1)*4+--MID(A446,8,1)*6+--MID(A446,9,1)*8, IF(LEN(TRIM(A446))=12, --MID(A446,1,1)*7+--MID(A446,2,1)*2+--MID(A446,3,1)*4+--MID(A446,4,1)*10+--MID(A446,5,1)*3+--MID(A446,6,1)*5+--MID(A446,7,1)*9+--MID(A446,8,1)*4+--MID(A446,9,1)*6+--MID(A446,10,1)*8, ""))</f>
        <v/>
      </c>
      <c r="I446">
        <f>IF(LEN(TRIM(A446))=12, --MID(A446,1,1)*3+--MID(A446,2,1)*7+--MID(A446,3,1)*2+--MID(A446,4,1)*4+--MID(A446,5,1)*10+--MID(A446,6,1)*3+--MID(A446,7,1)*5+--MID(A446,8,1)*9+--MID(A446,9,1)*4+--MID(A446,10,1)*6+--MID(A446,11,1)*8, "")</f>
        <v/>
      </c>
    </row>
    <row r="447">
      <c r="A447">
        <f>SUBSTITUTE(SUBSTITUTE(SUBSTITUTE(SUBSTITUTE(TRIM(INDEX(Реестр!$B:$B,ROW())),CHAR(160),""),CHAR(9),""),CHAR(10),""),CHAR(13),"")</f>
        <v/>
      </c>
      <c r="B447">
        <f>SUBSTITUTE(SUBSTITUTE(SUBSTITUTE(SUBSTITUTE(SUBSTITUTE(SUBSTITUTE(SUBSTITUTE(TRIM(INDEX(Реестр!$D:$D, ROW())), "-", ""), " ", ""), CHAR(160), ""), CHAR(9), ""), CHAR(10), ""), CHAR(13), ""), CHAR(32), "")</f>
        <v/>
      </c>
      <c r="C447">
        <f>INDEX(Реестр!$H:$H, ROW())</f>
        <v/>
      </c>
      <c r="D447">
        <f>IF(OR(ISBLANK(INDEX(Реестр!$B:$B, ROW())), INDEX(Реестр!$B:$B, ROW())=""), " ", IF(IFERROR(ISNUMBER(--A447),FALSE), IF(LEN(A447)=10, IF(MOD(MOD(H447,11),10)=--RIGHT(A447,1), "OK", "ОШИБКА"), IF(LEN(A447)=12, IF(AND(MOD(MOD(H447,11),10)=--MID(A447,11,1), MOD(MOD(I447,11),10)=--RIGHT(A447,1)), "OK", "ОШИБКА"), "ДЛИНА (10 или 12)")), "НЕ ЦИФРЫ"))</f>
        <v/>
      </c>
      <c r="E447">
        <f>MID(B447,1,1)*9+MID(B447,2,1)*8+MID(B447,3,1)*7+MID(B447,4,1)*6+MID(B447,5,1)*5+MID(B447,6,1)*4+MID(B447,7,1)*3+MID(B447,8,1)*2+MID(B447,9,1)</f>
        <v/>
      </c>
      <c r="F447">
        <f>IF(B447="", " ", IF(LEN(B447)&lt;&gt;11, "ДЛИНА", IF(NOT(ISNUMBER(--B447)), "НЕ ЦИФРЫ", IF(LEFT(B447,9)*1&lt;=1001998, "OK", IF(RIGHT(B447,2)*1=IF(MOD(E447,101)&gt;=100,0,MOD(E447,101)),"OK","ОШИБКА")))))</f>
        <v/>
      </c>
      <c r="G4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7">
        <f>IF(LEN(TRIM(A447))=10, --MID(A447,1,1)*2+--MID(A447,2,1)*4+--MID(A447,3,1)*10+--MID(A447,4,1)*3+--MID(A447,5,1)*5+--MID(A447,6,1)*9+--MID(A447,7,1)*4+--MID(A447,8,1)*6+--MID(A447,9,1)*8, IF(LEN(TRIM(A447))=12, --MID(A447,1,1)*7+--MID(A447,2,1)*2+--MID(A447,3,1)*4+--MID(A447,4,1)*10+--MID(A447,5,1)*3+--MID(A447,6,1)*5+--MID(A447,7,1)*9+--MID(A447,8,1)*4+--MID(A447,9,1)*6+--MID(A447,10,1)*8, ""))</f>
        <v/>
      </c>
      <c r="I447">
        <f>IF(LEN(TRIM(A447))=12, --MID(A447,1,1)*3+--MID(A447,2,1)*7+--MID(A447,3,1)*2+--MID(A447,4,1)*4+--MID(A447,5,1)*10+--MID(A447,6,1)*3+--MID(A447,7,1)*5+--MID(A447,8,1)*9+--MID(A447,9,1)*4+--MID(A447,10,1)*6+--MID(A447,11,1)*8, "")</f>
        <v/>
      </c>
    </row>
    <row r="448">
      <c r="A448">
        <f>SUBSTITUTE(SUBSTITUTE(SUBSTITUTE(SUBSTITUTE(TRIM(INDEX(Реестр!$B:$B,ROW())),CHAR(160),""),CHAR(9),""),CHAR(10),""),CHAR(13),"")</f>
        <v/>
      </c>
      <c r="B448">
        <f>SUBSTITUTE(SUBSTITUTE(SUBSTITUTE(SUBSTITUTE(SUBSTITUTE(SUBSTITUTE(SUBSTITUTE(TRIM(INDEX(Реестр!$D:$D, ROW())), "-", ""), " ", ""), CHAR(160), ""), CHAR(9), ""), CHAR(10), ""), CHAR(13), ""), CHAR(32), "")</f>
        <v/>
      </c>
      <c r="C448">
        <f>INDEX(Реестр!$H:$H, ROW())</f>
        <v/>
      </c>
      <c r="D448">
        <f>IF(OR(ISBLANK(INDEX(Реестр!$B:$B, ROW())), INDEX(Реестр!$B:$B, ROW())=""), " ", IF(IFERROR(ISNUMBER(--A448),FALSE), IF(LEN(A448)=10, IF(MOD(MOD(H448,11),10)=--RIGHT(A448,1), "OK", "ОШИБКА"), IF(LEN(A448)=12, IF(AND(MOD(MOD(H448,11),10)=--MID(A448,11,1), MOD(MOD(I448,11),10)=--RIGHT(A448,1)), "OK", "ОШИБКА"), "ДЛИНА (10 или 12)")), "НЕ ЦИФРЫ"))</f>
        <v/>
      </c>
      <c r="E448">
        <f>MID(B448,1,1)*9+MID(B448,2,1)*8+MID(B448,3,1)*7+MID(B448,4,1)*6+MID(B448,5,1)*5+MID(B448,6,1)*4+MID(B448,7,1)*3+MID(B448,8,1)*2+MID(B448,9,1)</f>
        <v/>
      </c>
      <c r="F448">
        <f>IF(B448="", " ", IF(LEN(B448)&lt;&gt;11, "ДЛИНА", IF(NOT(ISNUMBER(--B448)), "НЕ ЦИФРЫ", IF(LEFT(B448,9)*1&lt;=1001998, "OK", IF(RIGHT(B448,2)*1=IF(MOD(E448,101)&gt;=100,0,MOD(E448,101)),"OK","ОШИБКА")))))</f>
        <v/>
      </c>
      <c r="G4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8">
        <f>IF(LEN(TRIM(A448))=10, --MID(A448,1,1)*2+--MID(A448,2,1)*4+--MID(A448,3,1)*10+--MID(A448,4,1)*3+--MID(A448,5,1)*5+--MID(A448,6,1)*9+--MID(A448,7,1)*4+--MID(A448,8,1)*6+--MID(A448,9,1)*8, IF(LEN(TRIM(A448))=12, --MID(A448,1,1)*7+--MID(A448,2,1)*2+--MID(A448,3,1)*4+--MID(A448,4,1)*10+--MID(A448,5,1)*3+--MID(A448,6,1)*5+--MID(A448,7,1)*9+--MID(A448,8,1)*4+--MID(A448,9,1)*6+--MID(A448,10,1)*8, ""))</f>
        <v/>
      </c>
      <c r="I448">
        <f>IF(LEN(TRIM(A448))=12, --MID(A448,1,1)*3+--MID(A448,2,1)*7+--MID(A448,3,1)*2+--MID(A448,4,1)*4+--MID(A448,5,1)*10+--MID(A448,6,1)*3+--MID(A448,7,1)*5+--MID(A448,8,1)*9+--MID(A448,9,1)*4+--MID(A448,10,1)*6+--MID(A448,11,1)*8, "")</f>
        <v/>
      </c>
    </row>
    <row r="449">
      <c r="A449">
        <f>SUBSTITUTE(SUBSTITUTE(SUBSTITUTE(SUBSTITUTE(TRIM(INDEX(Реестр!$B:$B,ROW())),CHAR(160),""),CHAR(9),""),CHAR(10),""),CHAR(13),"")</f>
        <v/>
      </c>
      <c r="B449">
        <f>SUBSTITUTE(SUBSTITUTE(SUBSTITUTE(SUBSTITUTE(SUBSTITUTE(SUBSTITUTE(SUBSTITUTE(TRIM(INDEX(Реестр!$D:$D, ROW())), "-", ""), " ", ""), CHAR(160), ""), CHAR(9), ""), CHAR(10), ""), CHAR(13), ""), CHAR(32), "")</f>
        <v/>
      </c>
      <c r="C449">
        <f>INDEX(Реестр!$H:$H, ROW())</f>
        <v/>
      </c>
      <c r="D449">
        <f>IF(OR(ISBLANK(INDEX(Реестр!$B:$B, ROW())), INDEX(Реестр!$B:$B, ROW())=""), " ", IF(IFERROR(ISNUMBER(--A449),FALSE), IF(LEN(A449)=10, IF(MOD(MOD(H449,11),10)=--RIGHT(A449,1), "OK", "ОШИБКА"), IF(LEN(A449)=12, IF(AND(MOD(MOD(H449,11),10)=--MID(A449,11,1), MOD(MOD(I449,11),10)=--RIGHT(A449,1)), "OK", "ОШИБКА"), "ДЛИНА (10 или 12)")), "НЕ ЦИФРЫ"))</f>
        <v/>
      </c>
      <c r="E449">
        <f>MID(B449,1,1)*9+MID(B449,2,1)*8+MID(B449,3,1)*7+MID(B449,4,1)*6+MID(B449,5,1)*5+MID(B449,6,1)*4+MID(B449,7,1)*3+MID(B449,8,1)*2+MID(B449,9,1)</f>
        <v/>
      </c>
      <c r="F449">
        <f>IF(B449="", " ", IF(LEN(B449)&lt;&gt;11, "ДЛИНА", IF(NOT(ISNUMBER(--B449)), "НЕ ЦИФРЫ", IF(LEFT(B449,9)*1&lt;=1001998, "OK", IF(RIGHT(B449,2)*1=IF(MOD(E449,101)&gt;=100,0,MOD(E449,101)),"OK","ОШИБКА")))))</f>
        <v/>
      </c>
      <c r="G4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49">
        <f>IF(LEN(TRIM(A449))=10, --MID(A449,1,1)*2+--MID(A449,2,1)*4+--MID(A449,3,1)*10+--MID(A449,4,1)*3+--MID(A449,5,1)*5+--MID(A449,6,1)*9+--MID(A449,7,1)*4+--MID(A449,8,1)*6+--MID(A449,9,1)*8, IF(LEN(TRIM(A449))=12, --MID(A449,1,1)*7+--MID(A449,2,1)*2+--MID(A449,3,1)*4+--MID(A449,4,1)*10+--MID(A449,5,1)*3+--MID(A449,6,1)*5+--MID(A449,7,1)*9+--MID(A449,8,1)*4+--MID(A449,9,1)*6+--MID(A449,10,1)*8, ""))</f>
        <v/>
      </c>
      <c r="I449">
        <f>IF(LEN(TRIM(A449))=12, --MID(A449,1,1)*3+--MID(A449,2,1)*7+--MID(A449,3,1)*2+--MID(A449,4,1)*4+--MID(A449,5,1)*10+--MID(A449,6,1)*3+--MID(A449,7,1)*5+--MID(A449,8,1)*9+--MID(A449,9,1)*4+--MID(A449,10,1)*6+--MID(A449,11,1)*8, "")</f>
        <v/>
      </c>
    </row>
    <row r="450">
      <c r="A450">
        <f>SUBSTITUTE(SUBSTITUTE(SUBSTITUTE(SUBSTITUTE(TRIM(INDEX(Реестр!$B:$B,ROW())),CHAR(160),""),CHAR(9),""),CHAR(10),""),CHAR(13),"")</f>
        <v/>
      </c>
      <c r="B450">
        <f>SUBSTITUTE(SUBSTITUTE(SUBSTITUTE(SUBSTITUTE(SUBSTITUTE(SUBSTITUTE(SUBSTITUTE(TRIM(INDEX(Реестр!$D:$D, ROW())), "-", ""), " ", ""), CHAR(160), ""), CHAR(9), ""), CHAR(10), ""), CHAR(13), ""), CHAR(32), "")</f>
        <v/>
      </c>
      <c r="C450">
        <f>INDEX(Реестр!$H:$H, ROW())</f>
        <v/>
      </c>
      <c r="D450">
        <f>IF(OR(ISBLANK(INDEX(Реестр!$B:$B, ROW())), INDEX(Реестр!$B:$B, ROW())=""), " ", IF(IFERROR(ISNUMBER(--A450),FALSE), IF(LEN(A450)=10, IF(MOD(MOD(H450,11),10)=--RIGHT(A450,1), "OK", "ОШИБКА"), IF(LEN(A450)=12, IF(AND(MOD(MOD(H450,11),10)=--MID(A450,11,1), MOD(MOD(I450,11),10)=--RIGHT(A450,1)), "OK", "ОШИБКА"), "ДЛИНА (10 или 12)")), "НЕ ЦИФРЫ"))</f>
        <v/>
      </c>
      <c r="E450">
        <f>MID(B450,1,1)*9+MID(B450,2,1)*8+MID(B450,3,1)*7+MID(B450,4,1)*6+MID(B450,5,1)*5+MID(B450,6,1)*4+MID(B450,7,1)*3+MID(B450,8,1)*2+MID(B450,9,1)</f>
        <v/>
      </c>
      <c r="F450">
        <f>IF(B450="", " ", IF(LEN(B450)&lt;&gt;11, "ДЛИНА", IF(NOT(ISNUMBER(--B450)), "НЕ ЦИФРЫ", IF(LEFT(B450,9)*1&lt;=1001998, "OK", IF(RIGHT(B450,2)*1=IF(MOD(E450,101)&gt;=100,0,MOD(E450,101)),"OK","ОШИБКА")))))</f>
        <v/>
      </c>
      <c r="G4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0">
        <f>IF(LEN(TRIM(A450))=10, --MID(A450,1,1)*2+--MID(A450,2,1)*4+--MID(A450,3,1)*10+--MID(A450,4,1)*3+--MID(A450,5,1)*5+--MID(A450,6,1)*9+--MID(A450,7,1)*4+--MID(A450,8,1)*6+--MID(A450,9,1)*8, IF(LEN(TRIM(A450))=12, --MID(A450,1,1)*7+--MID(A450,2,1)*2+--MID(A450,3,1)*4+--MID(A450,4,1)*10+--MID(A450,5,1)*3+--MID(A450,6,1)*5+--MID(A450,7,1)*9+--MID(A450,8,1)*4+--MID(A450,9,1)*6+--MID(A450,10,1)*8, ""))</f>
        <v/>
      </c>
      <c r="I450">
        <f>IF(LEN(TRIM(A450))=12, --MID(A450,1,1)*3+--MID(A450,2,1)*7+--MID(A450,3,1)*2+--MID(A450,4,1)*4+--MID(A450,5,1)*10+--MID(A450,6,1)*3+--MID(A450,7,1)*5+--MID(A450,8,1)*9+--MID(A450,9,1)*4+--MID(A450,10,1)*6+--MID(A450,11,1)*8, "")</f>
        <v/>
      </c>
    </row>
    <row r="451">
      <c r="A451">
        <f>SUBSTITUTE(SUBSTITUTE(SUBSTITUTE(SUBSTITUTE(TRIM(INDEX(Реестр!$B:$B,ROW())),CHAR(160),""),CHAR(9),""),CHAR(10),""),CHAR(13),"")</f>
        <v/>
      </c>
      <c r="B451">
        <f>SUBSTITUTE(SUBSTITUTE(SUBSTITUTE(SUBSTITUTE(SUBSTITUTE(SUBSTITUTE(SUBSTITUTE(TRIM(INDEX(Реестр!$D:$D, ROW())), "-", ""), " ", ""), CHAR(160), ""), CHAR(9), ""), CHAR(10), ""), CHAR(13), ""), CHAR(32), "")</f>
        <v/>
      </c>
      <c r="C451">
        <f>INDEX(Реестр!$H:$H, ROW())</f>
        <v/>
      </c>
      <c r="D451">
        <f>IF(OR(ISBLANK(INDEX(Реестр!$B:$B, ROW())), INDEX(Реестр!$B:$B, ROW())=""), " ", IF(IFERROR(ISNUMBER(--A451),FALSE), IF(LEN(A451)=10, IF(MOD(MOD(H451,11),10)=--RIGHT(A451,1), "OK", "ОШИБКА"), IF(LEN(A451)=12, IF(AND(MOD(MOD(H451,11),10)=--MID(A451,11,1), MOD(MOD(I451,11),10)=--RIGHT(A451,1)), "OK", "ОШИБКА"), "ДЛИНА (10 или 12)")), "НЕ ЦИФРЫ"))</f>
        <v/>
      </c>
      <c r="E451">
        <f>MID(B451,1,1)*9+MID(B451,2,1)*8+MID(B451,3,1)*7+MID(B451,4,1)*6+MID(B451,5,1)*5+MID(B451,6,1)*4+MID(B451,7,1)*3+MID(B451,8,1)*2+MID(B451,9,1)</f>
        <v/>
      </c>
      <c r="F451">
        <f>IF(B451="", " ", IF(LEN(B451)&lt;&gt;11, "ДЛИНА", IF(NOT(ISNUMBER(--B451)), "НЕ ЦИФРЫ", IF(LEFT(B451,9)*1&lt;=1001998, "OK", IF(RIGHT(B451,2)*1=IF(MOD(E451,101)&gt;=100,0,MOD(E451,101)),"OK","ОШИБКА")))))</f>
        <v/>
      </c>
      <c r="G4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1">
        <f>IF(LEN(TRIM(A451))=10, --MID(A451,1,1)*2+--MID(A451,2,1)*4+--MID(A451,3,1)*10+--MID(A451,4,1)*3+--MID(A451,5,1)*5+--MID(A451,6,1)*9+--MID(A451,7,1)*4+--MID(A451,8,1)*6+--MID(A451,9,1)*8, IF(LEN(TRIM(A451))=12, --MID(A451,1,1)*7+--MID(A451,2,1)*2+--MID(A451,3,1)*4+--MID(A451,4,1)*10+--MID(A451,5,1)*3+--MID(A451,6,1)*5+--MID(A451,7,1)*9+--MID(A451,8,1)*4+--MID(A451,9,1)*6+--MID(A451,10,1)*8, ""))</f>
        <v/>
      </c>
      <c r="I451">
        <f>IF(LEN(TRIM(A451))=12, --MID(A451,1,1)*3+--MID(A451,2,1)*7+--MID(A451,3,1)*2+--MID(A451,4,1)*4+--MID(A451,5,1)*10+--MID(A451,6,1)*3+--MID(A451,7,1)*5+--MID(A451,8,1)*9+--MID(A451,9,1)*4+--MID(A451,10,1)*6+--MID(A451,11,1)*8, "")</f>
        <v/>
      </c>
    </row>
    <row r="452">
      <c r="A452">
        <f>SUBSTITUTE(SUBSTITUTE(SUBSTITUTE(SUBSTITUTE(TRIM(INDEX(Реестр!$B:$B,ROW())),CHAR(160),""),CHAR(9),""),CHAR(10),""),CHAR(13),"")</f>
        <v/>
      </c>
      <c r="B452">
        <f>SUBSTITUTE(SUBSTITUTE(SUBSTITUTE(SUBSTITUTE(SUBSTITUTE(SUBSTITUTE(SUBSTITUTE(TRIM(INDEX(Реестр!$D:$D, ROW())), "-", ""), " ", ""), CHAR(160), ""), CHAR(9), ""), CHAR(10), ""), CHAR(13), ""), CHAR(32), "")</f>
        <v/>
      </c>
      <c r="C452">
        <f>INDEX(Реестр!$H:$H, ROW())</f>
        <v/>
      </c>
      <c r="D452">
        <f>IF(OR(ISBLANK(INDEX(Реестр!$B:$B, ROW())), INDEX(Реестр!$B:$B, ROW())=""), " ", IF(IFERROR(ISNUMBER(--A452),FALSE), IF(LEN(A452)=10, IF(MOD(MOD(H452,11),10)=--RIGHT(A452,1), "OK", "ОШИБКА"), IF(LEN(A452)=12, IF(AND(MOD(MOD(H452,11),10)=--MID(A452,11,1), MOD(MOD(I452,11),10)=--RIGHT(A452,1)), "OK", "ОШИБКА"), "ДЛИНА (10 или 12)")), "НЕ ЦИФРЫ"))</f>
        <v/>
      </c>
      <c r="E452">
        <f>MID(B452,1,1)*9+MID(B452,2,1)*8+MID(B452,3,1)*7+MID(B452,4,1)*6+MID(B452,5,1)*5+MID(B452,6,1)*4+MID(B452,7,1)*3+MID(B452,8,1)*2+MID(B452,9,1)</f>
        <v/>
      </c>
      <c r="F452">
        <f>IF(B452="", " ", IF(LEN(B452)&lt;&gt;11, "ДЛИНА", IF(NOT(ISNUMBER(--B452)), "НЕ ЦИФРЫ", IF(LEFT(B452,9)*1&lt;=1001998, "OK", IF(RIGHT(B452,2)*1=IF(MOD(E452,101)&gt;=100,0,MOD(E452,101)),"OK","ОШИБКА")))))</f>
        <v/>
      </c>
      <c r="G4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2">
        <f>IF(LEN(TRIM(A452))=10, --MID(A452,1,1)*2+--MID(A452,2,1)*4+--MID(A452,3,1)*10+--MID(A452,4,1)*3+--MID(A452,5,1)*5+--MID(A452,6,1)*9+--MID(A452,7,1)*4+--MID(A452,8,1)*6+--MID(A452,9,1)*8, IF(LEN(TRIM(A452))=12, --MID(A452,1,1)*7+--MID(A452,2,1)*2+--MID(A452,3,1)*4+--MID(A452,4,1)*10+--MID(A452,5,1)*3+--MID(A452,6,1)*5+--MID(A452,7,1)*9+--MID(A452,8,1)*4+--MID(A452,9,1)*6+--MID(A452,10,1)*8, ""))</f>
        <v/>
      </c>
      <c r="I452">
        <f>IF(LEN(TRIM(A452))=12, --MID(A452,1,1)*3+--MID(A452,2,1)*7+--MID(A452,3,1)*2+--MID(A452,4,1)*4+--MID(A452,5,1)*10+--MID(A452,6,1)*3+--MID(A452,7,1)*5+--MID(A452,8,1)*9+--MID(A452,9,1)*4+--MID(A452,10,1)*6+--MID(A452,11,1)*8, "")</f>
        <v/>
      </c>
    </row>
    <row r="453">
      <c r="A453">
        <f>SUBSTITUTE(SUBSTITUTE(SUBSTITUTE(SUBSTITUTE(TRIM(INDEX(Реестр!$B:$B,ROW())),CHAR(160),""),CHAR(9),""),CHAR(10),""),CHAR(13),"")</f>
        <v/>
      </c>
      <c r="B453">
        <f>SUBSTITUTE(SUBSTITUTE(SUBSTITUTE(SUBSTITUTE(SUBSTITUTE(SUBSTITUTE(SUBSTITUTE(TRIM(INDEX(Реестр!$D:$D, ROW())), "-", ""), " ", ""), CHAR(160), ""), CHAR(9), ""), CHAR(10), ""), CHAR(13), ""), CHAR(32), "")</f>
        <v/>
      </c>
      <c r="C453">
        <f>INDEX(Реестр!$H:$H, ROW())</f>
        <v/>
      </c>
      <c r="D453">
        <f>IF(OR(ISBLANK(INDEX(Реестр!$B:$B, ROW())), INDEX(Реестр!$B:$B, ROW())=""), " ", IF(IFERROR(ISNUMBER(--A453),FALSE), IF(LEN(A453)=10, IF(MOD(MOD(H453,11),10)=--RIGHT(A453,1), "OK", "ОШИБКА"), IF(LEN(A453)=12, IF(AND(MOD(MOD(H453,11),10)=--MID(A453,11,1), MOD(MOD(I453,11),10)=--RIGHT(A453,1)), "OK", "ОШИБКА"), "ДЛИНА (10 или 12)")), "НЕ ЦИФРЫ"))</f>
        <v/>
      </c>
      <c r="E453">
        <f>MID(B453,1,1)*9+MID(B453,2,1)*8+MID(B453,3,1)*7+MID(B453,4,1)*6+MID(B453,5,1)*5+MID(B453,6,1)*4+MID(B453,7,1)*3+MID(B453,8,1)*2+MID(B453,9,1)</f>
        <v/>
      </c>
      <c r="F453">
        <f>IF(B453="", " ", IF(LEN(B453)&lt;&gt;11, "ДЛИНА", IF(NOT(ISNUMBER(--B453)), "НЕ ЦИФРЫ", IF(LEFT(B453,9)*1&lt;=1001998, "OK", IF(RIGHT(B453,2)*1=IF(MOD(E453,101)&gt;=100,0,MOD(E453,101)),"OK","ОШИБКА")))))</f>
        <v/>
      </c>
      <c r="G4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3">
        <f>IF(LEN(TRIM(A453))=10, --MID(A453,1,1)*2+--MID(A453,2,1)*4+--MID(A453,3,1)*10+--MID(A453,4,1)*3+--MID(A453,5,1)*5+--MID(A453,6,1)*9+--MID(A453,7,1)*4+--MID(A453,8,1)*6+--MID(A453,9,1)*8, IF(LEN(TRIM(A453))=12, --MID(A453,1,1)*7+--MID(A453,2,1)*2+--MID(A453,3,1)*4+--MID(A453,4,1)*10+--MID(A453,5,1)*3+--MID(A453,6,1)*5+--MID(A453,7,1)*9+--MID(A453,8,1)*4+--MID(A453,9,1)*6+--MID(A453,10,1)*8, ""))</f>
        <v/>
      </c>
      <c r="I453">
        <f>IF(LEN(TRIM(A453))=12, --MID(A453,1,1)*3+--MID(A453,2,1)*7+--MID(A453,3,1)*2+--MID(A453,4,1)*4+--MID(A453,5,1)*10+--MID(A453,6,1)*3+--MID(A453,7,1)*5+--MID(A453,8,1)*9+--MID(A453,9,1)*4+--MID(A453,10,1)*6+--MID(A453,11,1)*8, "")</f>
        <v/>
      </c>
    </row>
    <row r="454">
      <c r="A454">
        <f>SUBSTITUTE(SUBSTITUTE(SUBSTITUTE(SUBSTITUTE(TRIM(INDEX(Реестр!$B:$B,ROW())),CHAR(160),""),CHAR(9),""),CHAR(10),""),CHAR(13),"")</f>
        <v/>
      </c>
      <c r="B454">
        <f>SUBSTITUTE(SUBSTITUTE(SUBSTITUTE(SUBSTITUTE(SUBSTITUTE(SUBSTITUTE(SUBSTITUTE(TRIM(INDEX(Реестр!$D:$D, ROW())), "-", ""), " ", ""), CHAR(160), ""), CHAR(9), ""), CHAR(10), ""), CHAR(13), ""), CHAR(32), "")</f>
        <v/>
      </c>
      <c r="C454">
        <f>INDEX(Реестр!$H:$H, ROW())</f>
        <v/>
      </c>
      <c r="D454">
        <f>IF(OR(ISBLANK(INDEX(Реестр!$B:$B, ROW())), INDEX(Реестр!$B:$B, ROW())=""), " ", IF(IFERROR(ISNUMBER(--A454),FALSE), IF(LEN(A454)=10, IF(MOD(MOD(H454,11),10)=--RIGHT(A454,1), "OK", "ОШИБКА"), IF(LEN(A454)=12, IF(AND(MOD(MOD(H454,11),10)=--MID(A454,11,1), MOD(MOD(I454,11),10)=--RIGHT(A454,1)), "OK", "ОШИБКА"), "ДЛИНА (10 или 12)")), "НЕ ЦИФРЫ"))</f>
        <v/>
      </c>
      <c r="E454">
        <f>MID(B454,1,1)*9+MID(B454,2,1)*8+MID(B454,3,1)*7+MID(B454,4,1)*6+MID(B454,5,1)*5+MID(B454,6,1)*4+MID(B454,7,1)*3+MID(B454,8,1)*2+MID(B454,9,1)</f>
        <v/>
      </c>
      <c r="F454">
        <f>IF(B454="", " ", IF(LEN(B454)&lt;&gt;11, "ДЛИНА", IF(NOT(ISNUMBER(--B454)), "НЕ ЦИФРЫ", IF(LEFT(B454,9)*1&lt;=1001998, "OK", IF(RIGHT(B454,2)*1=IF(MOD(E454,101)&gt;=100,0,MOD(E454,101)),"OK","ОШИБКА")))))</f>
        <v/>
      </c>
      <c r="G4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4">
        <f>IF(LEN(TRIM(A454))=10, --MID(A454,1,1)*2+--MID(A454,2,1)*4+--MID(A454,3,1)*10+--MID(A454,4,1)*3+--MID(A454,5,1)*5+--MID(A454,6,1)*9+--MID(A454,7,1)*4+--MID(A454,8,1)*6+--MID(A454,9,1)*8, IF(LEN(TRIM(A454))=12, --MID(A454,1,1)*7+--MID(A454,2,1)*2+--MID(A454,3,1)*4+--MID(A454,4,1)*10+--MID(A454,5,1)*3+--MID(A454,6,1)*5+--MID(A454,7,1)*9+--MID(A454,8,1)*4+--MID(A454,9,1)*6+--MID(A454,10,1)*8, ""))</f>
        <v/>
      </c>
      <c r="I454">
        <f>IF(LEN(TRIM(A454))=12, --MID(A454,1,1)*3+--MID(A454,2,1)*7+--MID(A454,3,1)*2+--MID(A454,4,1)*4+--MID(A454,5,1)*10+--MID(A454,6,1)*3+--MID(A454,7,1)*5+--MID(A454,8,1)*9+--MID(A454,9,1)*4+--MID(A454,10,1)*6+--MID(A454,11,1)*8, "")</f>
        <v/>
      </c>
    </row>
    <row r="455">
      <c r="A455">
        <f>SUBSTITUTE(SUBSTITUTE(SUBSTITUTE(SUBSTITUTE(TRIM(INDEX(Реестр!$B:$B,ROW())),CHAR(160),""),CHAR(9),""),CHAR(10),""),CHAR(13),"")</f>
        <v/>
      </c>
      <c r="B455">
        <f>SUBSTITUTE(SUBSTITUTE(SUBSTITUTE(SUBSTITUTE(SUBSTITUTE(SUBSTITUTE(SUBSTITUTE(TRIM(INDEX(Реестр!$D:$D, ROW())), "-", ""), " ", ""), CHAR(160), ""), CHAR(9), ""), CHAR(10), ""), CHAR(13), ""), CHAR(32), "")</f>
        <v/>
      </c>
      <c r="C455">
        <f>INDEX(Реестр!$H:$H, ROW())</f>
        <v/>
      </c>
      <c r="D455">
        <f>IF(OR(ISBLANK(INDEX(Реестр!$B:$B, ROW())), INDEX(Реестр!$B:$B, ROW())=""), " ", IF(IFERROR(ISNUMBER(--A455),FALSE), IF(LEN(A455)=10, IF(MOD(MOD(H455,11),10)=--RIGHT(A455,1), "OK", "ОШИБКА"), IF(LEN(A455)=12, IF(AND(MOD(MOD(H455,11),10)=--MID(A455,11,1), MOD(MOD(I455,11),10)=--RIGHT(A455,1)), "OK", "ОШИБКА"), "ДЛИНА (10 или 12)")), "НЕ ЦИФРЫ"))</f>
        <v/>
      </c>
      <c r="E455">
        <f>MID(B455,1,1)*9+MID(B455,2,1)*8+MID(B455,3,1)*7+MID(B455,4,1)*6+MID(B455,5,1)*5+MID(B455,6,1)*4+MID(B455,7,1)*3+MID(B455,8,1)*2+MID(B455,9,1)</f>
        <v/>
      </c>
      <c r="F455">
        <f>IF(B455="", " ", IF(LEN(B455)&lt;&gt;11, "ДЛИНА", IF(NOT(ISNUMBER(--B455)), "НЕ ЦИФРЫ", IF(LEFT(B455,9)*1&lt;=1001998, "OK", IF(RIGHT(B455,2)*1=IF(MOD(E455,101)&gt;=100,0,MOD(E455,101)),"OK","ОШИБКА")))))</f>
        <v/>
      </c>
      <c r="G4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5">
        <f>IF(LEN(TRIM(A455))=10, --MID(A455,1,1)*2+--MID(A455,2,1)*4+--MID(A455,3,1)*10+--MID(A455,4,1)*3+--MID(A455,5,1)*5+--MID(A455,6,1)*9+--MID(A455,7,1)*4+--MID(A455,8,1)*6+--MID(A455,9,1)*8, IF(LEN(TRIM(A455))=12, --MID(A455,1,1)*7+--MID(A455,2,1)*2+--MID(A455,3,1)*4+--MID(A455,4,1)*10+--MID(A455,5,1)*3+--MID(A455,6,1)*5+--MID(A455,7,1)*9+--MID(A455,8,1)*4+--MID(A455,9,1)*6+--MID(A455,10,1)*8, ""))</f>
        <v/>
      </c>
      <c r="I455">
        <f>IF(LEN(TRIM(A455))=12, --MID(A455,1,1)*3+--MID(A455,2,1)*7+--MID(A455,3,1)*2+--MID(A455,4,1)*4+--MID(A455,5,1)*10+--MID(A455,6,1)*3+--MID(A455,7,1)*5+--MID(A455,8,1)*9+--MID(A455,9,1)*4+--MID(A455,10,1)*6+--MID(A455,11,1)*8, "")</f>
        <v/>
      </c>
    </row>
    <row r="456">
      <c r="A456">
        <f>SUBSTITUTE(SUBSTITUTE(SUBSTITUTE(SUBSTITUTE(TRIM(INDEX(Реестр!$B:$B,ROW())),CHAR(160),""),CHAR(9),""),CHAR(10),""),CHAR(13),"")</f>
        <v/>
      </c>
      <c r="B456">
        <f>SUBSTITUTE(SUBSTITUTE(SUBSTITUTE(SUBSTITUTE(SUBSTITUTE(SUBSTITUTE(SUBSTITUTE(TRIM(INDEX(Реестр!$D:$D, ROW())), "-", ""), " ", ""), CHAR(160), ""), CHAR(9), ""), CHAR(10), ""), CHAR(13), ""), CHAR(32), "")</f>
        <v/>
      </c>
      <c r="C456">
        <f>INDEX(Реестр!$H:$H, ROW())</f>
        <v/>
      </c>
      <c r="D456">
        <f>IF(OR(ISBLANK(INDEX(Реестр!$B:$B, ROW())), INDEX(Реестр!$B:$B, ROW())=""), " ", IF(IFERROR(ISNUMBER(--A456),FALSE), IF(LEN(A456)=10, IF(MOD(MOD(H456,11),10)=--RIGHT(A456,1), "OK", "ОШИБКА"), IF(LEN(A456)=12, IF(AND(MOD(MOD(H456,11),10)=--MID(A456,11,1), MOD(MOD(I456,11),10)=--RIGHT(A456,1)), "OK", "ОШИБКА"), "ДЛИНА (10 или 12)")), "НЕ ЦИФРЫ"))</f>
        <v/>
      </c>
      <c r="E456">
        <f>MID(B456,1,1)*9+MID(B456,2,1)*8+MID(B456,3,1)*7+MID(B456,4,1)*6+MID(B456,5,1)*5+MID(B456,6,1)*4+MID(B456,7,1)*3+MID(B456,8,1)*2+MID(B456,9,1)</f>
        <v/>
      </c>
      <c r="F456">
        <f>IF(B456="", " ", IF(LEN(B456)&lt;&gt;11, "ДЛИНА", IF(NOT(ISNUMBER(--B456)), "НЕ ЦИФРЫ", IF(LEFT(B456,9)*1&lt;=1001998, "OK", IF(RIGHT(B456,2)*1=IF(MOD(E456,101)&gt;=100,0,MOD(E456,101)),"OK","ОШИБКА")))))</f>
        <v/>
      </c>
      <c r="G4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6">
        <f>IF(LEN(TRIM(A456))=10, --MID(A456,1,1)*2+--MID(A456,2,1)*4+--MID(A456,3,1)*10+--MID(A456,4,1)*3+--MID(A456,5,1)*5+--MID(A456,6,1)*9+--MID(A456,7,1)*4+--MID(A456,8,1)*6+--MID(A456,9,1)*8, IF(LEN(TRIM(A456))=12, --MID(A456,1,1)*7+--MID(A456,2,1)*2+--MID(A456,3,1)*4+--MID(A456,4,1)*10+--MID(A456,5,1)*3+--MID(A456,6,1)*5+--MID(A456,7,1)*9+--MID(A456,8,1)*4+--MID(A456,9,1)*6+--MID(A456,10,1)*8, ""))</f>
        <v/>
      </c>
      <c r="I456">
        <f>IF(LEN(TRIM(A456))=12, --MID(A456,1,1)*3+--MID(A456,2,1)*7+--MID(A456,3,1)*2+--MID(A456,4,1)*4+--MID(A456,5,1)*10+--MID(A456,6,1)*3+--MID(A456,7,1)*5+--MID(A456,8,1)*9+--MID(A456,9,1)*4+--MID(A456,10,1)*6+--MID(A456,11,1)*8, "")</f>
        <v/>
      </c>
    </row>
    <row r="457">
      <c r="A457">
        <f>SUBSTITUTE(SUBSTITUTE(SUBSTITUTE(SUBSTITUTE(TRIM(INDEX(Реестр!$B:$B,ROW())),CHAR(160),""),CHAR(9),""),CHAR(10),""),CHAR(13),"")</f>
        <v/>
      </c>
      <c r="B457">
        <f>SUBSTITUTE(SUBSTITUTE(SUBSTITUTE(SUBSTITUTE(SUBSTITUTE(SUBSTITUTE(SUBSTITUTE(TRIM(INDEX(Реестр!$D:$D, ROW())), "-", ""), " ", ""), CHAR(160), ""), CHAR(9), ""), CHAR(10), ""), CHAR(13), ""), CHAR(32), "")</f>
        <v/>
      </c>
      <c r="C457">
        <f>INDEX(Реестр!$H:$H, ROW())</f>
        <v/>
      </c>
      <c r="D457">
        <f>IF(OR(ISBLANK(INDEX(Реестр!$B:$B, ROW())), INDEX(Реестр!$B:$B, ROW())=""), " ", IF(IFERROR(ISNUMBER(--A457),FALSE), IF(LEN(A457)=10, IF(MOD(MOD(H457,11),10)=--RIGHT(A457,1), "OK", "ОШИБКА"), IF(LEN(A457)=12, IF(AND(MOD(MOD(H457,11),10)=--MID(A457,11,1), MOD(MOD(I457,11),10)=--RIGHT(A457,1)), "OK", "ОШИБКА"), "ДЛИНА (10 или 12)")), "НЕ ЦИФРЫ"))</f>
        <v/>
      </c>
      <c r="E457">
        <f>MID(B457,1,1)*9+MID(B457,2,1)*8+MID(B457,3,1)*7+MID(B457,4,1)*6+MID(B457,5,1)*5+MID(B457,6,1)*4+MID(B457,7,1)*3+MID(B457,8,1)*2+MID(B457,9,1)</f>
        <v/>
      </c>
      <c r="F457">
        <f>IF(B457="", " ", IF(LEN(B457)&lt;&gt;11, "ДЛИНА", IF(NOT(ISNUMBER(--B457)), "НЕ ЦИФРЫ", IF(LEFT(B457,9)*1&lt;=1001998, "OK", IF(RIGHT(B457,2)*1=IF(MOD(E457,101)&gt;=100,0,MOD(E457,101)),"OK","ОШИБКА")))))</f>
        <v/>
      </c>
      <c r="G4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7">
        <f>IF(LEN(TRIM(A457))=10, --MID(A457,1,1)*2+--MID(A457,2,1)*4+--MID(A457,3,1)*10+--MID(A457,4,1)*3+--MID(A457,5,1)*5+--MID(A457,6,1)*9+--MID(A457,7,1)*4+--MID(A457,8,1)*6+--MID(A457,9,1)*8, IF(LEN(TRIM(A457))=12, --MID(A457,1,1)*7+--MID(A457,2,1)*2+--MID(A457,3,1)*4+--MID(A457,4,1)*10+--MID(A457,5,1)*3+--MID(A457,6,1)*5+--MID(A457,7,1)*9+--MID(A457,8,1)*4+--MID(A457,9,1)*6+--MID(A457,10,1)*8, ""))</f>
        <v/>
      </c>
      <c r="I457">
        <f>IF(LEN(TRIM(A457))=12, --MID(A457,1,1)*3+--MID(A457,2,1)*7+--MID(A457,3,1)*2+--MID(A457,4,1)*4+--MID(A457,5,1)*10+--MID(A457,6,1)*3+--MID(A457,7,1)*5+--MID(A457,8,1)*9+--MID(A457,9,1)*4+--MID(A457,10,1)*6+--MID(A457,11,1)*8, "")</f>
        <v/>
      </c>
    </row>
    <row r="458">
      <c r="A458">
        <f>SUBSTITUTE(SUBSTITUTE(SUBSTITUTE(SUBSTITUTE(TRIM(INDEX(Реестр!$B:$B,ROW())),CHAR(160),""),CHAR(9),""),CHAR(10),""),CHAR(13),"")</f>
        <v/>
      </c>
      <c r="B458">
        <f>SUBSTITUTE(SUBSTITUTE(SUBSTITUTE(SUBSTITUTE(SUBSTITUTE(SUBSTITUTE(SUBSTITUTE(TRIM(INDEX(Реестр!$D:$D, ROW())), "-", ""), " ", ""), CHAR(160), ""), CHAR(9), ""), CHAR(10), ""), CHAR(13), ""), CHAR(32), "")</f>
        <v/>
      </c>
      <c r="C458">
        <f>INDEX(Реестр!$H:$H, ROW())</f>
        <v/>
      </c>
      <c r="D458">
        <f>IF(OR(ISBLANK(INDEX(Реестр!$B:$B, ROW())), INDEX(Реестр!$B:$B, ROW())=""), " ", IF(IFERROR(ISNUMBER(--A458),FALSE), IF(LEN(A458)=10, IF(MOD(MOD(H458,11),10)=--RIGHT(A458,1), "OK", "ОШИБКА"), IF(LEN(A458)=12, IF(AND(MOD(MOD(H458,11),10)=--MID(A458,11,1), MOD(MOD(I458,11),10)=--RIGHT(A458,1)), "OK", "ОШИБКА"), "ДЛИНА (10 или 12)")), "НЕ ЦИФРЫ"))</f>
        <v/>
      </c>
      <c r="E458">
        <f>MID(B458,1,1)*9+MID(B458,2,1)*8+MID(B458,3,1)*7+MID(B458,4,1)*6+MID(B458,5,1)*5+MID(B458,6,1)*4+MID(B458,7,1)*3+MID(B458,8,1)*2+MID(B458,9,1)</f>
        <v/>
      </c>
      <c r="F458">
        <f>IF(B458="", " ", IF(LEN(B458)&lt;&gt;11, "ДЛИНА", IF(NOT(ISNUMBER(--B458)), "НЕ ЦИФРЫ", IF(LEFT(B458,9)*1&lt;=1001998, "OK", IF(RIGHT(B458,2)*1=IF(MOD(E458,101)&gt;=100,0,MOD(E458,101)),"OK","ОШИБКА")))))</f>
        <v/>
      </c>
      <c r="G4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8">
        <f>IF(LEN(TRIM(A458))=10, --MID(A458,1,1)*2+--MID(A458,2,1)*4+--MID(A458,3,1)*10+--MID(A458,4,1)*3+--MID(A458,5,1)*5+--MID(A458,6,1)*9+--MID(A458,7,1)*4+--MID(A458,8,1)*6+--MID(A458,9,1)*8, IF(LEN(TRIM(A458))=12, --MID(A458,1,1)*7+--MID(A458,2,1)*2+--MID(A458,3,1)*4+--MID(A458,4,1)*10+--MID(A458,5,1)*3+--MID(A458,6,1)*5+--MID(A458,7,1)*9+--MID(A458,8,1)*4+--MID(A458,9,1)*6+--MID(A458,10,1)*8, ""))</f>
        <v/>
      </c>
      <c r="I458">
        <f>IF(LEN(TRIM(A458))=12, --MID(A458,1,1)*3+--MID(A458,2,1)*7+--MID(A458,3,1)*2+--MID(A458,4,1)*4+--MID(A458,5,1)*10+--MID(A458,6,1)*3+--MID(A458,7,1)*5+--MID(A458,8,1)*9+--MID(A458,9,1)*4+--MID(A458,10,1)*6+--MID(A458,11,1)*8, "")</f>
        <v/>
      </c>
    </row>
    <row r="459">
      <c r="A459">
        <f>SUBSTITUTE(SUBSTITUTE(SUBSTITUTE(SUBSTITUTE(TRIM(INDEX(Реестр!$B:$B,ROW())),CHAR(160),""),CHAR(9),""),CHAR(10),""),CHAR(13),"")</f>
        <v/>
      </c>
      <c r="B459">
        <f>SUBSTITUTE(SUBSTITUTE(SUBSTITUTE(SUBSTITUTE(SUBSTITUTE(SUBSTITUTE(SUBSTITUTE(TRIM(INDEX(Реестр!$D:$D, ROW())), "-", ""), " ", ""), CHAR(160), ""), CHAR(9), ""), CHAR(10), ""), CHAR(13), ""), CHAR(32), "")</f>
        <v/>
      </c>
      <c r="C459">
        <f>INDEX(Реестр!$H:$H, ROW())</f>
        <v/>
      </c>
      <c r="D459">
        <f>IF(OR(ISBLANK(INDEX(Реестр!$B:$B, ROW())), INDEX(Реестр!$B:$B, ROW())=""), " ", IF(IFERROR(ISNUMBER(--A459),FALSE), IF(LEN(A459)=10, IF(MOD(MOD(H459,11),10)=--RIGHT(A459,1), "OK", "ОШИБКА"), IF(LEN(A459)=12, IF(AND(MOD(MOD(H459,11),10)=--MID(A459,11,1), MOD(MOD(I459,11),10)=--RIGHT(A459,1)), "OK", "ОШИБКА"), "ДЛИНА (10 или 12)")), "НЕ ЦИФРЫ"))</f>
        <v/>
      </c>
      <c r="E459">
        <f>MID(B459,1,1)*9+MID(B459,2,1)*8+MID(B459,3,1)*7+MID(B459,4,1)*6+MID(B459,5,1)*5+MID(B459,6,1)*4+MID(B459,7,1)*3+MID(B459,8,1)*2+MID(B459,9,1)</f>
        <v/>
      </c>
      <c r="F459">
        <f>IF(B459="", " ", IF(LEN(B459)&lt;&gt;11, "ДЛИНА", IF(NOT(ISNUMBER(--B459)), "НЕ ЦИФРЫ", IF(LEFT(B459,9)*1&lt;=1001998, "OK", IF(RIGHT(B459,2)*1=IF(MOD(E459,101)&gt;=100,0,MOD(E459,101)),"OK","ОШИБКА")))))</f>
        <v/>
      </c>
      <c r="G4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59">
        <f>IF(LEN(TRIM(A459))=10, --MID(A459,1,1)*2+--MID(A459,2,1)*4+--MID(A459,3,1)*10+--MID(A459,4,1)*3+--MID(A459,5,1)*5+--MID(A459,6,1)*9+--MID(A459,7,1)*4+--MID(A459,8,1)*6+--MID(A459,9,1)*8, IF(LEN(TRIM(A459))=12, --MID(A459,1,1)*7+--MID(A459,2,1)*2+--MID(A459,3,1)*4+--MID(A459,4,1)*10+--MID(A459,5,1)*3+--MID(A459,6,1)*5+--MID(A459,7,1)*9+--MID(A459,8,1)*4+--MID(A459,9,1)*6+--MID(A459,10,1)*8, ""))</f>
        <v/>
      </c>
      <c r="I459">
        <f>IF(LEN(TRIM(A459))=12, --MID(A459,1,1)*3+--MID(A459,2,1)*7+--MID(A459,3,1)*2+--MID(A459,4,1)*4+--MID(A459,5,1)*10+--MID(A459,6,1)*3+--MID(A459,7,1)*5+--MID(A459,8,1)*9+--MID(A459,9,1)*4+--MID(A459,10,1)*6+--MID(A459,11,1)*8, "")</f>
        <v/>
      </c>
    </row>
    <row r="460">
      <c r="A460">
        <f>SUBSTITUTE(SUBSTITUTE(SUBSTITUTE(SUBSTITUTE(TRIM(INDEX(Реестр!$B:$B,ROW())),CHAR(160),""),CHAR(9),""),CHAR(10),""),CHAR(13),"")</f>
        <v/>
      </c>
      <c r="B460">
        <f>SUBSTITUTE(SUBSTITUTE(SUBSTITUTE(SUBSTITUTE(SUBSTITUTE(SUBSTITUTE(SUBSTITUTE(TRIM(INDEX(Реестр!$D:$D, ROW())), "-", ""), " ", ""), CHAR(160), ""), CHAR(9), ""), CHAR(10), ""), CHAR(13), ""), CHAR(32), "")</f>
        <v/>
      </c>
      <c r="C460">
        <f>INDEX(Реестр!$H:$H, ROW())</f>
        <v/>
      </c>
      <c r="D460">
        <f>IF(OR(ISBLANK(INDEX(Реестр!$B:$B, ROW())), INDEX(Реестр!$B:$B, ROW())=""), " ", IF(IFERROR(ISNUMBER(--A460),FALSE), IF(LEN(A460)=10, IF(MOD(MOD(H460,11),10)=--RIGHT(A460,1), "OK", "ОШИБКА"), IF(LEN(A460)=12, IF(AND(MOD(MOD(H460,11),10)=--MID(A460,11,1), MOD(MOD(I460,11),10)=--RIGHT(A460,1)), "OK", "ОШИБКА"), "ДЛИНА (10 или 12)")), "НЕ ЦИФРЫ"))</f>
        <v/>
      </c>
      <c r="E460">
        <f>MID(B460,1,1)*9+MID(B460,2,1)*8+MID(B460,3,1)*7+MID(B460,4,1)*6+MID(B460,5,1)*5+MID(B460,6,1)*4+MID(B460,7,1)*3+MID(B460,8,1)*2+MID(B460,9,1)</f>
        <v/>
      </c>
      <c r="F460">
        <f>IF(B460="", " ", IF(LEN(B460)&lt;&gt;11, "ДЛИНА", IF(NOT(ISNUMBER(--B460)), "НЕ ЦИФРЫ", IF(LEFT(B460,9)*1&lt;=1001998, "OK", IF(RIGHT(B460,2)*1=IF(MOD(E460,101)&gt;=100,0,MOD(E460,101)),"OK","ОШИБКА")))))</f>
        <v/>
      </c>
      <c r="G4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0">
        <f>IF(LEN(TRIM(A460))=10, --MID(A460,1,1)*2+--MID(A460,2,1)*4+--MID(A460,3,1)*10+--MID(A460,4,1)*3+--MID(A460,5,1)*5+--MID(A460,6,1)*9+--MID(A460,7,1)*4+--MID(A460,8,1)*6+--MID(A460,9,1)*8, IF(LEN(TRIM(A460))=12, --MID(A460,1,1)*7+--MID(A460,2,1)*2+--MID(A460,3,1)*4+--MID(A460,4,1)*10+--MID(A460,5,1)*3+--MID(A460,6,1)*5+--MID(A460,7,1)*9+--MID(A460,8,1)*4+--MID(A460,9,1)*6+--MID(A460,10,1)*8, ""))</f>
        <v/>
      </c>
      <c r="I460">
        <f>IF(LEN(TRIM(A460))=12, --MID(A460,1,1)*3+--MID(A460,2,1)*7+--MID(A460,3,1)*2+--MID(A460,4,1)*4+--MID(A460,5,1)*10+--MID(A460,6,1)*3+--MID(A460,7,1)*5+--MID(A460,8,1)*9+--MID(A460,9,1)*4+--MID(A460,10,1)*6+--MID(A460,11,1)*8, "")</f>
        <v/>
      </c>
    </row>
    <row r="461">
      <c r="A461">
        <f>SUBSTITUTE(SUBSTITUTE(SUBSTITUTE(SUBSTITUTE(TRIM(INDEX(Реестр!$B:$B,ROW())),CHAR(160),""),CHAR(9),""),CHAR(10),""),CHAR(13),"")</f>
        <v/>
      </c>
      <c r="B461">
        <f>SUBSTITUTE(SUBSTITUTE(SUBSTITUTE(SUBSTITUTE(SUBSTITUTE(SUBSTITUTE(SUBSTITUTE(TRIM(INDEX(Реестр!$D:$D, ROW())), "-", ""), " ", ""), CHAR(160), ""), CHAR(9), ""), CHAR(10), ""), CHAR(13), ""), CHAR(32), "")</f>
        <v/>
      </c>
      <c r="C461">
        <f>INDEX(Реестр!$H:$H, ROW())</f>
        <v/>
      </c>
      <c r="D461">
        <f>IF(OR(ISBLANK(INDEX(Реестр!$B:$B, ROW())), INDEX(Реестр!$B:$B, ROW())=""), " ", IF(IFERROR(ISNUMBER(--A461),FALSE), IF(LEN(A461)=10, IF(MOD(MOD(H461,11),10)=--RIGHT(A461,1), "OK", "ОШИБКА"), IF(LEN(A461)=12, IF(AND(MOD(MOD(H461,11),10)=--MID(A461,11,1), MOD(MOD(I461,11),10)=--RIGHT(A461,1)), "OK", "ОШИБКА"), "ДЛИНА (10 или 12)")), "НЕ ЦИФРЫ"))</f>
        <v/>
      </c>
      <c r="E461">
        <f>MID(B461,1,1)*9+MID(B461,2,1)*8+MID(B461,3,1)*7+MID(B461,4,1)*6+MID(B461,5,1)*5+MID(B461,6,1)*4+MID(B461,7,1)*3+MID(B461,8,1)*2+MID(B461,9,1)</f>
        <v/>
      </c>
      <c r="F461">
        <f>IF(B461="", " ", IF(LEN(B461)&lt;&gt;11, "ДЛИНА", IF(NOT(ISNUMBER(--B461)), "НЕ ЦИФРЫ", IF(LEFT(B461,9)*1&lt;=1001998, "OK", IF(RIGHT(B461,2)*1=IF(MOD(E461,101)&gt;=100,0,MOD(E461,101)),"OK","ОШИБКА")))))</f>
        <v/>
      </c>
      <c r="G4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1">
        <f>IF(LEN(TRIM(A461))=10, --MID(A461,1,1)*2+--MID(A461,2,1)*4+--MID(A461,3,1)*10+--MID(A461,4,1)*3+--MID(A461,5,1)*5+--MID(A461,6,1)*9+--MID(A461,7,1)*4+--MID(A461,8,1)*6+--MID(A461,9,1)*8, IF(LEN(TRIM(A461))=12, --MID(A461,1,1)*7+--MID(A461,2,1)*2+--MID(A461,3,1)*4+--MID(A461,4,1)*10+--MID(A461,5,1)*3+--MID(A461,6,1)*5+--MID(A461,7,1)*9+--MID(A461,8,1)*4+--MID(A461,9,1)*6+--MID(A461,10,1)*8, ""))</f>
        <v/>
      </c>
      <c r="I461">
        <f>IF(LEN(TRIM(A461))=12, --MID(A461,1,1)*3+--MID(A461,2,1)*7+--MID(A461,3,1)*2+--MID(A461,4,1)*4+--MID(A461,5,1)*10+--MID(A461,6,1)*3+--MID(A461,7,1)*5+--MID(A461,8,1)*9+--MID(A461,9,1)*4+--MID(A461,10,1)*6+--MID(A461,11,1)*8, "")</f>
        <v/>
      </c>
    </row>
    <row r="462">
      <c r="A462">
        <f>SUBSTITUTE(SUBSTITUTE(SUBSTITUTE(SUBSTITUTE(TRIM(INDEX(Реестр!$B:$B,ROW())),CHAR(160),""),CHAR(9),""),CHAR(10),""),CHAR(13),"")</f>
        <v/>
      </c>
      <c r="B462">
        <f>SUBSTITUTE(SUBSTITUTE(SUBSTITUTE(SUBSTITUTE(SUBSTITUTE(SUBSTITUTE(SUBSTITUTE(TRIM(INDEX(Реестр!$D:$D, ROW())), "-", ""), " ", ""), CHAR(160), ""), CHAR(9), ""), CHAR(10), ""), CHAR(13), ""), CHAR(32), "")</f>
        <v/>
      </c>
      <c r="C462">
        <f>INDEX(Реестр!$H:$H, ROW())</f>
        <v/>
      </c>
      <c r="D462">
        <f>IF(OR(ISBLANK(INDEX(Реестр!$B:$B, ROW())), INDEX(Реестр!$B:$B, ROW())=""), " ", IF(IFERROR(ISNUMBER(--A462),FALSE), IF(LEN(A462)=10, IF(MOD(MOD(H462,11),10)=--RIGHT(A462,1), "OK", "ОШИБКА"), IF(LEN(A462)=12, IF(AND(MOD(MOD(H462,11),10)=--MID(A462,11,1), MOD(MOD(I462,11),10)=--RIGHT(A462,1)), "OK", "ОШИБКА"), "ДЛИНА (10 или 12)")), "НЕ ЦИФРЫ"))</f>
        <v/>
      </c>
      <c r="E462">
        <f>MID(B462,1,1)*9+MID(B462,2,1)*8+MID(B462,3,1)*7+MID(B462,4,1)*6+MID(B462,5,1)*5+MID(B462,6,1)*4+MID(B462,7,1)*3+MID(B462,8,1)*2+MID(B462,9,1)</f>
        <v/>
      </c>
      <c r="F462">
        <f>IF(B462="", " ", IF(LEN(B462)&lt;&gt;11, "ДЛИНА", IF(NOT(ISNUMBER(--B462)), "НЕ ЦИФРЫ", IF(LEFT(B462,9)*1&lt;=1001998, "OK", IF(RIGHT(B462,2)*1=IF(MOD(E462,101)&gt;=100,0,MOD(E462,101)),"OK","ОШИБКА")))))</f>
        <v/>
      </c>
      <c r="G4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2">
        <f>IF(LEN(TRIM(A462))=10, --MID(A462,1,1)*2+--MID(A462,2,1)*4+--MID(A462,3,1)*10+--MID(A462,4,1)*3+--MID(A462,5,1)*5+--MID(A462,6,1)*9+--MID(A462,7,1)*4+--MID(A462,8,1)*6+--MID(A462,9,1)*8, IF(LEN(TRIM(A462))=12, --MID(A462,1,1)*7+--MID(A462,2,1)*2+--MID(A462,3,1)*4+--MID(A462,4,1)*10+--MID(A462,5,1)*3+--MID(A462,6,1)*5+--MID(A462,7,1)*9+--MID(A462,8,1)*4+--MID(A462,9,1)*6+--MID(A462,10,1)*8, ""))</f>
        <v/>
      </c>
      <c r="I462">
        <f>IF(LEN(TRIM(A462))=12, --MID(A462,1,1)*3+--MID(A462,2,1)*7+--MID(A462,3,1)*2+--MID(A462,4,1)*4+--MID(A462,5,1)*10+--MID(A462,6,1)*3+--MID(A462,7,1)*5+--MID(A462,8,1)*9+--MID(A462,9,1)*4+--MID(A462,10,1)*6+--MID(A462,11,1)*8, "")</f>
        <v/>
      </c>
    </row>
    <row r="463">
      <c r="A463">
        <f>SUBSTITUTE(SUBSTITUTE(SUBSTITUTE(SUBSTITUTE(TRIM(INDEX(Реестр!$B:$B,ROW())),CHAR(160),""),CHAR(9),""),CHAR(10),""),CHAR(13),"")</f>
        <v/>
      </c>
      <c r="B463">
        <f>SUBSTITUTE(SUBSTITUTE(SUBSTITUTE(SUBSTITUTE(SUBSTITUTE(SUBSTITUTE(SUBSTITUTE(TRIM(INDEX(Реестр!$D:$D, ROW())), "-", ""), " ", ""), CHAR(160), ""), CHAR(9), ""), CHAR(10), ""), CHAR(13), ""), CHAR(32), "")</f>
        <v/>
      </c>
      <c r="C463">
        <f>INDEX(Реестр!$H:$H, ROW())</f>
        <v/>
      </c>
      <c r="D463">
        <f>IF(OR(ISBLANK(INDEX(Реестр!$B:$B, ROW())), INDEX(Реестр!$B:$B, ROW())=""), " ", IF(IFERROR(ISNUMBER(--A463),FALSE), IF(LEN(A463)=10, IF(MOD(MOD(H463,11),10)=--RIGHT(A463,1), "OK", "ОШИБКА"), IF(LEN(A463)=12, IF(AND(MOD(MOD(H463,11),10)=--MID(A463,11,1), MOD(MOD(I463,11),10)=--RIGHT(A463,1)), "OK", "ОШИБКА"), "ДЛИНА (10 или 12)")), "НЕ ЦИФРЫ"))</f>
        <v/>
      </c>
      <c r="E463">
        <f>MID(B463,1,1)*9+MID(B463,2,1)*8+MID(B463,3,1)*7+MID(B463,4,1)*6+MID(B463,5,1)*5+MID(B463,6,1)*4+MID(B463,7,1)*3+MID(B463,8,1)*2+MID(B463,9,1)</f>
        <v/>
      </c>
      <c r="F463">
        <f>IF(B463="", " ", IF(LEN(B463)&lt;&gt;11, "ДЛИНА", IF(NOT(ISNUMBER(--B463)), "НЕ ЦИФРЫ", IF(LEFT(B463,9)*1&lt;=1001998, "OK", IF(RIGHT(B463,2)*1=IF(MOD(E463,101)&gt;=100,0,MOD(E463,101)),"OK","ОШИБКА")))))</f>
        <v/>
      </c>
      <c r="G4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3">
        <f>IF(LEN(TRIM(A463))=10, --MID(A463,1,1)*2+--MID(A463,2,1)*4+--MID(A463,3,1)*10+--MID(A463,4,1)*3+--MID(A463,5,1)*5+--MID(A463,6,1)*9+--MID(A463,7,1)*4+--MID(A463,8,1)*6+--MID(A463,9,1)*8, IF(LEN(TRIM(A463))=12, --MID(A463,1,1)*7+--MID(A463,2,1)*2+--MID(A463,3,1)*4+--MID(A463,4,1)*10+--MID(A463,5,1)*3+--MID(A463,6,1)*5+--MID(A463,7,1)*9+--MID(A463,8,1)*4+--MID(A463,9,1)*6+--MID(A463,10,1)*8, ""))</f>
        <v/>
      </c>
      <c r="I463">
        <f>IF(LEN(TRIM(A463))=12, --MID(A463,1,1)*3+--MID(A463,2,1)*7+--MID(A463,3,1)*2+--MID(A463,4,1)*4+--MID(A463,5,1)*10+--MID(A463,6,1)*3+--MID(A463,7,1)*5+--MID(A463,8,1)*9+--MID(A463,9,1)*4+--MID(A463,10,1)*6+--MID(A463,11,1)*8, "")</f>
        <v/>
      </c>
    </row>
    <row r="464">
      <c r="A464">
        <f>SUBSTITUTE(SUBSTITUTE(SUBSTITUTE(SUBSTITUTE(TRIM(INDEX(Реестр!$B:$B,ROW())),CHAR(160),""),CHAR(9),""),CHAR(10),""),CHAR(13),"")</f>
        <v/>
      </c>
      <c r="B464">
        <f>SUBSTITUTE(SUBSTITUTE(SUBSTITUTE(SUBSTITUTE(SUBSTITUTE(SUBSTITUTE(SUBSTITUTE(TRIM(INDEX(Реестр!$D:$D, ROW())), "-", ""), " ", ""), CHAR(160), ""), CHAR(9), ""), CHAR(10), ""), CHAR(13), ""), CHAR(32), "")</f>
        <v/>
      </c>
      <c r="C464">
        <f>INDEX(Реестр!$H:$H, ROW())</f>
        <v/>
      </c>
      <c r="D464">
        <f>IF(OR(ISBLANK(INDEX(Реестр!$B:$B, ROW())), INDEX(Реестр!$B:$B, ROW())=""), " ", IF(IFERROR(ISNUMBER(--A464),FALSE), IF(LEN(A464)=10, IF(MOD(MOD(H464,11),10)=--RIGHT(A464,1), "OK", "ОШИБКА"), IF(LEN(A464)=12, IF(AND(MOD(MOD(H464,11),10)=--MID(A464,11,1), MOD(MOD(I464,11),10)=--RIGHT(A464,1)), "OK", "ОШИБКА"), "ДЛИНА (10 или 12)")), "НЕ ЦИФРЫ"))</f>
        <v/>
      </c>
      <c r="E464">
        <f>MID(B464,1,1)*9+MID(B464,2,1)*8+MID(B464,3,1)*7+MID(B464,4,1)*6+MID(B464,5,1)*5+MID(B464,6,1)*4+MID(B464,7,1)*3+MID(B464,8,1)*2+MID(B464,9,1)</f>
        <v/>
      </c>
      <c r="F464">
        <f>IF(B464="", " ", IF(LEN(B464)&lt;&gt;11, "ДЛИНА", IF(NOT(ISNUMBER(--B464)), "НЕ ЦИФРЫ", IF(LEFT(B464,9)*1&lt;=1001998, "OK", IF(RIGHT(B464,2)*1=IF(MOD(E464,101)&gt;=100,0,MOD(E464,101)),"OK","ОШИБКА")))))</f>
        <v/>
      </c>
      <c r="G4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4">
        <f>IF(LEN(TRIM(A464))=10, --MID(A464,1,1)*2+--MID(A464,2,1)*4+--MID(A464,3,1)*10+--MID(A464,4,1)*3+--MID(A464,5,1)*5+--MID(A464,6,1)*9+--MID(A464,7,1)*4+--MID(A464,8,1)*6+--MID(A464,9,1)*8, IF(LEN(TRIM(A464))=12, --MID(A464,1,1)*7+--MID(A464,2,1)*2+--MID(A464,3,1)*4+--MID(A464,4,1)*10+--MID(A464,5,1)*3+--MID(A464,6,1)*5+--MID(A464,7,1)*9+--MID(A464,8,1)*4+--MID(A464,9,1)*6+--MID(A464,10,1)*8, ""))</f>
        <v/>
      </c>
      <c r="I464">
        <f>IF(LEN(TRIM(A464))=12, --MID(A464,1,1)*3+--MID(A464,2,1)*7+--MID(A464,3,1)*2+--MID(A464,4,1)*4+--MID(A464,5,1)*10+--MID(A464,6,1)*3+--MID(A464,7,1)*5+--MID(A464,8,1)*9+--MID(A464,9,1)*4+--MID(A464,10,1)*6+--MID(A464,11,1)*8, "")</f>
        <v/>
      </c>
    </row>
    <row r="465">
      <c r="A465">
        <f>SUBSTITUTE(SUBSTITUTE(SUBSTITUTE(SUBSTITUTE(TRIM(INDEX(Реестр!$B:$B,ROW())),CHAR(160),""),CHAR(9),""),CHAR(10),""),CHAR(13),"")</f>
        <v/>
      </c>
      <c r="B465">
        <f>SUBSTITUTE(SUBSTITUTE(SUBSTITUTE(SUBSTITUTE(SUBSTITUTE(SUBSTITUTE(SUBSTITUTE(TRIM(INDEX(Реестр!$D:$D, ROW())), "-", ""), " ", ""), CHAR(160), ""), CHAR(9), ""), CHAR(10), ""), CHAR(13), ""), CHAR(32), "")</f>
        <v/>
      </c>
      <c r="C465">
        <f>INDEX(Реестр!$H:$H, ROW())</f>
        <v/>
      </c>
      <c r="D465">
        <f>IF(OR(ISBLANK(INDEX(Реестр!$B:$B, ROW())), INDEX(Реестр!$B:$B, ROW())=""), " ", IF(IFERROR(ISNUMBER(--A465),FALSE), IF(LEN(A465)=10, IF(MOD(MOD(H465,11),10)=--RIGHT(A465,1), "OK", "ОШИБКА"), IF(LEN(A465)=12, IF(AND(MOD(MOD(H465,11),10)=--MID(A465,11,1), MOD(MOD(I465,11),10)=--RIGHT(A465,1)), "OK", "ОШИБКА"), "ДЛИНА (10 или 12)")), "НЕ ЦИФРЫ"))</f>
        <v/>
      </c>
      <c r="E465">
        <f>MID(B465,1,1)*9+MID(B465,2,1)*8+MID(B465,3,1)*7+MID(B465,4,1)*6+MID(B465,5,1)*5+MID(B465,6,1)*4+MID(B465,7,1)*3+MID(B465,8,1)*2+MID(B465,9,1)</f>
        <v/>
      </c>
      <c r="F465">
        <f>IF(B465="", " ", IF(LEN(B465)&lt;&gt;11, "ДЛИНА", IF(NOT(ISNUMBER(--B465)), "НЕ ЦИФРЫ", IF(LEFT(B465,9)*1&lt;=1001998, "OK", IF(RIGHT(B465,2)*1=IF(MOD(E465,101)&gt;=100,0,MOD(E465,101)),"OK","ОШИБКА")))))</f>
        <v/>
      </c>
      <c r="G4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5">
        <f>IF(LEN(TRIM(A465))=10, --MID(A465,1,1)*2+--MID(A465,2,1)*4+--MID(A465,3,1)*10+--MID(A465,4,1)*3+--MID(A465,5,1)*5+--MID(A465,6,1)*9+--MID(A465,7,1)*4+--MID(A465,8,1)*6+--MID(A465,9,1)*8, IF(LEN(TRIM(A465))=12, --MID(A465,1,1)*7+--MID(A465,2,1)*2+--MID(A465,3,1)*4+--MID(A465,4,1)*10+--MID(A465,5,1)*3+--MID(A465,6,1)*5+--MID(A465,7,1)*9+--MID(A465,8,1)*4+--MID(A465,9,1)*6+--MID(A465,10,1)*8, ""))</f>
        <v/>
      </c>
      <c r="I465">
        <f>IF(LEN(TRIM(A465))=12, --MID(A465,1,1)*3+--MID(A465,2,1)*7+--MID(A465,3,1)*2+--MID(A465,4,1)*4+--MID(A465,5,1)*10+--MID(A465,6,1)*3+--MID(A465,7,1)*5+--MID(A465,8,1)*9+--MID(A465,9,1)*4+--MID(A465,10,1)*6+--MID(A465,11,1)*8, "")</f>
        <v/>
      </c>
    </row>
    <row r="466">
      <c r="A466">
        <f>SUBSTITUTE(SUBSTITUTE(SUBSTITUTE(SUBSTITUTE(TRIM(INDEX(Реестр!$B:$B,ROW())),CHAR(160),""),CHAR(9),""),CHAR(10),""),CHAR(13),"")</f>
        <v/>
      </c>
      <c r="B466">
        <f>SUBSTITUTE(SUBSTITUTE(SUBSTITUTE(SUBSTITUTE(SUBSTITUTE(SUBSTITUTE(SUBSTITUTE(TRIM(INDEX(Реестр!$D:$D, ROW())), "-", ""), " ", ""), CHAR(160), ""), CHAR(9), ""), CHAR(10), ""), CHAR(13), ""), CHAR(32), "")</f>
        <v/>
      </c>
      <c r="C466">
        <f>INDEX(Реестр!$H:$H, ROW())</f>
        <v/>
      </c>
      <c r="D466">
        <f>IF(OR(ISBLANK(INDEX(Реестр!$B:$B, ROW())), INDEX(Реестр!$B:$B, ROW())=""), " ", IF(IFERROR(ISNUMBER(--A466),FALSE), IF(LEN(A466)=10, IF(MOD(MOD(H466,11),10)=--RIGHT(A466,1), "OK", "ОШИБКА"), IF(LEN(A466)=12, IF(AND(MOD(MOD(H466,11),10)=--MID(A466,11,1), MOD(MOD(I466,11),10)=--RIGHT(A466,1)), "OK", "ОШИБКА"), "ДЛИНА (10 или 12)")), "НЕ ЦИФРЫ"))</f>
        <v/>
      </c>
      <c r="E466">
        <f>MID(B466,1,1)*9+MID(B466,2,1)*8+MID(B466,3,1)*7+MID(B466,4,1)*6+MID(B466,5,1)*5+MID(B466,6,1)*4+MID(B466,7,1)*3+MID(B466,8,1)*2+MID(B466,9,1)</f>
        <v/>
      </c>
      <c r="F466">
        <f>IF(B466="", " ", IF(LEN(B466)&lt;&gt;11, "ДЛИНА", IF(NOT(ISNUMBER(--B466)), "НЕ ЦИФРЫ", IF(LEFT(B466,9)*1&lt;=1001998, "OK", IF(RIGHT(B466,2)*1=IF(MOD(E466,101)&gt;=100,0,MOD(E466,101)),"OK","ОШИБКА")))))</f>
        <v/>
      </c>
      <c r="G4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6">
        <f>IF(LEN(TRIM(A466))=10, --MID(A466,1,1)*2+--MID(A466,2,1)*4+--MID(A466,3,1)*10+--MID(A466,4,1)*3+--MID(A466,5,1)*5+--MID(A466,6,1)*9+--MID(A466,7,1)*4+--MID(A466,8,1)*6+--MID(A466,9,1)*8, IF(LEN(TRIM(A466))=12, --MID(A466,1,1)*7+--MID(A466,2,1)*2+--MID(A466,3,1)*4+--MID(A466,4,1)*10+--MID(A466,5,1)*3+--MID(A466,6,1)*5+--MID(A466,7,1)*9+--MID(A466,8,1)*4+--MID(A466,9,1)*6+--MID(A466,10,1)*8, ""))</f>
        <v/>
      </c>
      <c r="I466">
        <f>IF(LEN(TRIM(A466))=12, --MID(A466,1,1)*3+--MID(A466,2,1)*7+--MID(A466,3,1)*2+--MID(A466,4,1)*4+--MID(A466,5,1)*10+--MID(A466,6,1)*3+--MID(A466,7,1)*5+--MID(A466,8,1)*9+--MID(A466,9,1)*4+--MID(A466,10,1)*6+--MID(A466,11,1)*8, "")</f>
        <v/>
      </c>
    </row>
    <row r="467">
      <c r="A467">
        <f>SUBSTITUTE(SUBSTITUTE(SUBSTITUTE(SUBSTITUTE(TRIM(INDEX(Реестр!$B:$B,ROW())),CHAR(160),""),CHAR(9),""),CHAR(10),""),CHAR(13),"")</f>
        <v/>
      </c>
      <c r="B467">
        <f>SUBSTITUTE(SUBSTITUTE(SUBSTITUTE(SUBSTITUTE(SUBSTITUTE(SUBSTITUTE(SUBSTITUTE(TRIM(INDEX(Реестр!$D:$D, ROW())), "-", ""), " ", ""), CHAR(160), ""), CHAR(9), ""), CHAR(10), ""), CHAR(13), ""), CHAR(32), "")</f>
        <v/>
      </c>
      <c r="C467">
        <f>INDEX(Реестр!$H:$H, ROW())</f>
        <v/>
      </c>
      <c r="D467">
        <f>IF(OR(ISBLANK(INDEX(Реестр!$B:$B, ROW())), INDEX(Реестр!$B:$B, ROW())=""), " ", IF(IFERROR(ISNUMBER(--A467),FALSE), IF(LEN(A467)=10, IF(MOD(MOD(H467,11),10)=--RIGHT(A467,1), "OK", "ОШИБКА"), IF(LEN(A467)=12, IF(AND(MOD(MOD(H467,11),10)=--MID(A467,11,1), MOD(MOD(I467,11),10)=--RIGHT(A467,1)), "OK", "ОШИБКА"), "ДЛИНА (10 или 12)")), "НЕ ЦИФРЫ"))</f>
        <v/>
      </c>
      <c r="E467">
        <f>MID(B467,1,1)*9+MID(B467,2,1)*8+MID(B467,3,1)*7+MID(B467,4,1)*6+MID(B467,5,1)*5+MID(B467,6,1)*4+MID(B467,7,1)*3+MID(B467,8,1)*2+MID(B467,9,1)</f>
        <v/>
      </c>
      <c r="F467">
        <f>IF(B467="", " ", IF(LEN(B467)&lt;&gt;11, "ДЛИНА", IF(NOT(ISNUMBER(--B467)), "НЕ ЦИФРЫ", IF(LEFT(B467,9)*1&lt;=1001998, "OK", IF(RIGHT(B467,2)*1=IF(MOD(E467,101)&gt;=100,0,MOD(E467,101)),"OK","ОШИБКА")))))</f>
        <v/>
      </c>
      <c r="G4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7">
        <f>IF(LEN(TRIM(A467))=10, --MID(A467,1,1)*2+--MID(A467,2,1)*4+--MID(A467,3,1)*10+--MID(A467,4,1)*3+--MID(A467,5,1)*5+--MID(A467,6,1)*9+--MID(A467,7,1)*4+--MID(A467,8,1)*6+--MID(A467,9,1)*8, IF(LEN(TRIM(A467))=12, --MID(A467,1,1)*7+--MID(A467,2,1)*2+--MID(A467,3,1)*4+--MID(A467,4,1)*10+--MID(A467,5,1)*3+--MID(A467,6,1)*5+--MID(A467,7,1)*9+--MID(A467,8,1)*4+--MID(A467,9,1)*6+--MID(A467,10,1)*8, ""))</f>
        <v/>
      </c>
      <c r="I467">
        <f>IF(LEN(TRIM(A467))=12, --MID(A467,1,1)*3+--MID(A467,2,1)*7+--MID(A467,3,1)*2+--MID(A467,4,1)*4+--MID(A467,5,1)*10+--MID(A467,6,1)*3+--MID(A467,7,1)*5+--MID(A467,8,1)*9+--MID(A467,9,1)*4+--MID(A467,10,1)*6+--MID(A467,11,1)*8, "")</f>
        <v/>
      </c>
    </row>
    <row r="468">
      <c r="A468">
        <f>SUBSTITUTE(SUBSTITUTE(SUBSTITUTE(SUBSTITUTE(TRIM(INDEX(Реестр!$B:$B,ROW())),CHAR(160),""),CHAR(9),""),CHAR(10),""),CHAR(13),"")</f>
        <v/>
      </c>
      <c r="B468">
        <f>SUBSTITUTE(SUBSTITUTE(SUBSTITUTE(SUBSTITUTE(SUBSTITUTE(SUBSTITUTE(SUBSTITUTE(TRIM(INDEX(Реестр!$D:$D, ROW())), "-", ""), " ", ""), CHAR(160), ""), CHAR(9), ""), CHAR(10), ""), CHAR(13), ""), CHAR(32), "")</f>
        <v/>
      </c>
      <c r="C468">
        <f>INDEX(Реестр!$H:$H, ROW())</f>
        <v/>
      </c>
      <c r="D468">
        <f>IF(OR(ISBLANK(INDEX(Реестр!$B:$B, ROW())), INDEX(Реестр!$B:$B, ROW())=""), " ", IF(IFERROR(ISNUMBER(--A468),FALSE), IF(LEN(A468)=10, IF(MOD(MOD(H468,11),10)=--RIGHT(A468,1), "OK", "ОШИБКА"), IF(LEN(A468)=12, IF(AND(MOD(MOD(H468,11),10)=--MID(A468,11,1), MOD(MOD(I468,11),10)=--RIGHT(A468,1)), "OK", "ОШИБКА"), "ДЛИНА (10 или 12)")), "НЕ ЦИФРЫ"))</f>
        <v/>
      </c>
      <c r="E468">
        <f>MID(B468,1,1)*9+MID(B468,2,1)*8+MID(B468,3,1)*7+MID(B468,4,1)*6+MID(B468,5,1)*5+MID(B468,6,1)*4+MID(B468,7,1)*3+MID(B468,8,1)*2+MID(B468,9,1)</f>
        <v/>
      </c>
      <c r="F468">
        <f>IF(B468="", " ", IF(LEN(B468)&lt;&gt;11, "ДЛИНА", IF(NOT(ISNUMBER(--B468)), "НЕ ЦИФРЫ", IF(LEFT(B468,9)*1&lt;=1001998, "OK", IF(RIGHT(B468,2)*1=IF(MOD(E468,101)&gt;=100,0,MOD(E468,101)),"OK","ОШИБКА")))))</f>
        <v/>
      </c>
      <c r="G4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8">
        <f>IF(LEN(TRIM(A468))=10, --MID(A468,1,1)*2+--MID(A468,2,1)*4+--MID(A468,3,1)*10+--MID(A468,4,1)*3+--MID(A468,5,1)*5+--MID(A468,6,1)*9+--MID(A468,7,1)*4+--MID(A468,8,1)*6+--MID(A468,9,1)*8, IF(LEN(TRIM(A468))=12, --MID(A468,1,1)*7+--MID(A468,2,1)*2+--MID(A468,3,1)*4+--MID(A468,4,1)*10+--MID(A468,5,1)*3+--MID(A468,6,1)*5+--MID(A468,7,1)*9+--MID(A468,8,1)*4+--MID(A468,9,1)*6+--MID(A468,10,1)*8, ""))</f>
        <v/>
      </c>
      <c r="I468">
        <f>IF(LEN(TRIM(A468))=12, --MID(A468,1,1)*3+--MID(A468,2,1)*7+--MID(A468,3,1)*2+--MID(A468,4,1)*4+--MID(A468,5,1)*10+--MID(A468,6,1)*3+--MID(A468,7,1)*5+--MID(A468,8,1)*9+--MID(A468,9,1)*4+--MID(A468,10,1)*6+--MID(A468,11,1)*8, "")</f>
        <v/>
      </c>
    </row>
    <row r="469">
      <c r="A469">
        <f>SUBSTITUTE(SUBSTITUTE(SUBSTITUTE(SUBSTITUTE(TRIM(INDEX(Реестр!$B:$B,ROW())),CHAR(160),""),CHAR(9),""),CHAR(10),""),CHAR(13),"")</f>
        <v/>
      </c>
      <c r="B469">
        <f>SUBSTITUTE(SUBSTITUTE(SUBSTITUTE(SUBSTITUTE(SUBSTITUTE(SUBSTITUTE(SUBSTITUTE(TRIM(INDEX(Реестр!$D:$D, ROW())), "-", ""), " ", ""), CHAR(160), ""), CHAR(9), ""), CHAR(10), ""), CHAR(13), ""), CHAR(32), "")</f>
        <v/>
      </c>
      <c r="C469">
        <f>INDEX(Реестр!$H:$H, ROW())</f>
        <v/>
      </c>
      <c r="D469">
        <f>IF(OR(ISBLANK(INDEX(Реестр!$B:$B, ROW())), INDEX(Реестр!$B:$B, ROW())=""), " ", IF(IFERROR(ISNUMBER(--A469),FALSE), IF(LEN(A469)=10, IF(MOD(MOD(H469,11),10)=--RIGHT(A469,1), "OK", "ОШИБКА"), IF(LEN(A469)=12, IF(AND(MOD(MOD(H469,11),10)=--MID(A469,11,1), MOD(MOD(I469,11),10)=--RIGHT(A469,1)), "OK", "ОШИБКА"), "ДЛИНА (10 или 12)")), "НЕ ЦИФРЫ"))</f>
        <v/>
      </c>
      <c r="E469">
        <f>MID(B469,1,1)*9+MID(B469,2,1)*8+MID(B469,3,1)*7+MID(B469,4,1)*6+MID(B469,5,1)*5+MID(B469,6,1)*4+MID(B469,7,1)*3+MID(B469,8,1)*2+MID(B469,9,1)</f>
        <v/>
      </c>
      <c r="F469">
        <f>IF(B469="", " ", IF(LEN(B469)&lt;&gt;11, "ДЛИНА", IF(NOT(ISNUMBER(--B469)), "НЕ ЦИФРЫ", IF(LEFT(B469,9)*1&lt;=1001998, "OK", IF(RIGHT(B469,2)*1=IF(MOD(E469,101)&gt;=100,0,MOD(E469,101)),"OK","ОШИБКА")))))</f>
        <v/>
      </c>
      <c r="G4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69">
        <f>IF(LEN(TRIM(A469))=10, --MID(A469,1,1)*2+--MID(A469,2,1)*4+--MID(A469,3,1)*10+--MID(A469,4,1)*3+--MID(A469,5,1)*5+--MID(A469,6,1)*9+--MID(A469,7,1)*4+--MID(A469,8,1)*6+--MID(A469,9,1)*8, IF(LEN(TRIM(A469))=12, --MID(A469,1,1)*7+--MID(A469,2,1)*2+--MID(A469,3,1)*4+--MID(A469,4,1)*10+--MID(A469,5,1)*3+--MID(A469,6,1)*5+--MID(A469,7,1)*9+--MID(A469,8,1)*4+--MID(A469,9,1)*6+--MID(A469,10,1)*8, ""))</f>
        <v/>
      </c>
      <c r="I469">
        <f>IF(LEN(TRIM(A469))=12, --MID(A469,1,1)*3+--MID(A469,2,1)*7+--MID(A469,3,1)*2+--MID(A469,4,1)*4+--MID(A469,5,1)*10+--MID(A469,6,1)*3+--MID(A469,7,1)*5+--MID(A469,8,1)*9+--MID(A469,9,1)*4+--MID(A469,10,1)*6+--MID(A469,11,1)*8, "")</f>
        <v/>
      </c>
    </row>
    <row r="470">
      <c r="A470">
        <f>SUBSTITUTE(SUBSTITUTE(SUBSTITUTE(SUBSTITUTE(TRIM(INDEX(Реестр!$B:$B,ROW())),CHAR(160),""),CHAR(9),""),CHAR(10),""),CHAR(13),"")</f>
        <v/>
      </c>
      <c r="B470">
        <f>SUBSTITUTE(SUBSTITUTE(SUBSTITUTE(SUBSTITUTE(SUBSTITUTE(SUBSTITUTE(SUBSTITUTE(TRIM(INDEX(Реестр!$D:$D, ROW())), "-", ""), " ", ""), CHAR(160), ""), CHAR(9), ""), CHAR(10), ""), CHAR(13), ""), CHAR(32), "")</f>
        <v/>
      </c>
      <c r="C470">
        <f>INDEX(Реестр!$H:$H, ROW())</f>
        <v/>
      </c>
      <c r="D470">
        <f>IF(OR(ISBLANK(INDEX(Реестр!$B:$B, ROW())), INDEX(Реестр!$B:$B, ROW())=""), " ", IF(IFERROR(ISNUMBER(--A470),FALSE), IF(LEN(A470)=10, IF(MOD(MOD(H470,11),10)=--RIGHT(A470,1), "OK", "ОШИБКА"), IF(LEN(A470)=12, IF(AND(MOD(MOD(H470,11),10)=--MID(A470,11,1), MOD(MOD(I470,11),10)=--RIGHT(A470,1)), "OK", "ОШИБКА"), "ДЛИНА (10 или 12)")), "НЕ ЦИФРЫ"))</f>
        <v/>
      </c>
      <c r="E470">
        <f>MID(B470,1,1)*9+MID(B470,2,1)*8+MID(B470,3,1)*7+MID(B470,4,1)*6+MID(B470,5,1)*5+MID(B470,6,1)*4+MID(B470,7,1)*3+MID(B470,8,1)*2+MID(B470,9,1)</f>
        <v/>
      </c>
      <c r="F470">
        <f>IF(B470="", " ", IF(LEN(B470)&lt;&gt;11, "ДЛИНА", IF(NOT(ISNUMBER(--B470)), "НЕ ЦИФРЫ", IF(LEFT(B470,9)*1&lt;=1001998, "OK", IF(RIGHT(B470,2)*1=IF(MOD(E470,101)&gt;=100,0,MOD(E470,101)),"OK","ОШИБКА")))))</f>
        <v/>
      </c>
      <c r="G4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0">
        <f>IF(LEN(TRIM(A470))=10, --MID(A470,1,1)*2+--MID(A470,2,1)*4+--MID(A470,3,1)*10+--MID(A470,4,1)*3+--MID(A470,5,1)*5+--MID(A470,6,1)*9+--MID(A470,7,1)*4+--MID(A470,8,1)*6+--MID(A470,9,1)*8, IF(LEN(TRIM(A470))=12, --MID(A470,1,1)*7+--MID(A470,2,1)*2+--MID(A470,3,1)*4+--MID(A470,4,1)*10+--MID(A470,5,1)*3+--MID(A470,6,1)*5+--MID(A470,7,1)*9+--MID(A470,8,1)*4+--MID(A470,9,1)*6+--MID(A470,10,1)*8, ""))</f>
        <v/>
      </c>
      <c r="I470">
        <f>IF(LEN(TRIM(A470))=12, --MID(A470,1,1)*3+--MID(A470,2,1)*7+--MID(A470,3,1)*2+--MID(A470,4,1)*4+--MID(A470,5,1)*10+--MID(A470,6,1)*3+--MID(A470,7,1)*5+--MID(A470,8,1)*9+--MID(A470,9,1)*4+--MID(A470,10,1)*6+--MID(A470,11,1)*8, "")</f>
        <v/>
      </c>
    </row>
    <row r="471">
      <c r="A471">
        <f>SUBSTITUTE(SUBSTITUTE(SUBSTITUTE(SUBSTITUTE(TRIM(INDEX(Реестр!$B:$B,ROW())),CHAR(160),""),CHAR(9),""),CHAR(10),""),CHAR(13),"")</f>
        <v/>
      </c>
      <c r="B471">
        <f>SUBSTITUTE(SUBSTITUTE(SUBSTITUTE(SUBSTITUTE(SUBSTITUTE(SUBSTITUTE(SUBSTITUTE(TRIM(INDEX(Реестр!$D:$D, ROW())), "-", ""), " ", ""), CHAR(160), ""), CHAR(9), ""), CHAR(10), ""), CHAR(13), ""), CHAR(32), "")</f>
        <v/>
      </c>
      <c r="C471">
        <f>INDEX(Реестр!$H:$H, ROW())</f>
        <v/>
      </c>
      <c r="D471">
        <f>IF(OR(ISBLANK(INDEX(Реестр!$B:$B, ROW())), INDEX(Реестр!$B:$B, ROW())=""), " ", IF(IFERROR(ISNUMBER(--A471),FALSE), IF(LEN(A471)=10, IF(MOD(MOD(H471,11),10)=--RIGHT(A471,1), "OK", "ОШИБКА"), IF(LEN(A471)=12, IF(AND(MOD(MOD(H471,11),10)=--MID(A471,11,1), MOD(MOD(I471,11),10)=--RIGHT(A471,1)), "OK", "ОШИБКА"), "ДЛИНА (10 или 12)")), "НЕ ЦИФРЫ"))</f>
        <v/>
      </c>
      <c r="E471">
        <f>MID(B471,1,1)*9+MID(B471,2,1)*8+MID(B471,3,1)*7+MID(B471,4,1)*6+MID(B471,5,1)*5+MID(B471,6,1)*4+MID(B471,7,1)*3+MID(B471,8,1)*2+MID(B471,9,1)</f>
        <v/>
      </c>
      <c r="F471">
        <f>IF(B471="", " ", IF(LEN(B471)&lt;&gt;11, "ДЛИНА", IF(NOT(ISNUMBER(--B471)), "НЕ ЦИФРЫ", IF(LEFT(B471,9)*1&lt;=1001998, "OK", IF(RIGHT(B471,2)*1=IF(MOD(E471,101)&gt;=100,0,MOD(E471,101)),"OK","ОШИБКА")))))</f>
        <v/>
      </c>
      <c r="G4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1">
        <f>IF(LEN(TRIM(A471))=10, --MID(A471,1,1)*2+--MID(A471,2,1)*4+--MID(A471,3,1)*10+--MID(A471,4,1)*3+--MID(A471,5,1)*5+--MID(A471,6,1)*9+--MID(A471,7,1)*4+--MID(A471,8,1)*6+--MID(A471,9,1)*8, IF(LEN(TRIM(A471))=12, --MID(A471,1,1)*7+--MID(A471,2,1)*2+--MID(A471,3,1)*4+--MID(A471,4,1)*10+--MID(A471,5,1)*3+--MID(A471,6,1)*5+--MID(A471,7,1)*9+--MID(A471,8,1)*4+--MID(A471,9,1)*6+--MID(A471,10,1)*8, ""))</f>
        <v/>
      </c>
      <c r="I471">
        <f>IF(LEN(TRIM(A471))=12, --MID(A471,1,1)*3+--MID(A471,2,1)*7+--MID(A471,3,1)*2+--MID(A471,4,1)*4+--MID(A471,5,1)*10+--MID(A471,6,1)*3+--MID(A471,7,1)*5+--MID(A471,8,1)*9+--MID(A471,9,1)*4+--MID(A471,10,1)*6+--MID(A471,11,1)*8, "")</f>
        <v/>
      </c>
    </row>
    <row r="472">
      <c r="A472">
        <f>SUBSTITUTE(SUBSTITUTE(SUBSTITUTE(SUBSTITUTE(TRIM(INDEX(Реестр!$B:$B,ROW())),CHAR(160),""),CHAR(9),""),CHAR(10),""),CHAR(13),"")</f>
        <v/>
      </c>
      <c r="B472">
        <f>SUBSTITUTE(SUBSTITUTE(SUBSTITUTE(SUBSTITUTE(SUBSTITUTE(SUBSTITUTE(SUBSTITUTE(TRIM(INDEX(Реестр!$D:$D, ROW())), "-", ""), " ", ""), CHAR(160), ""), CHAR(9), ""), CHAR(10), ""), CHAR(13), ""), CHAR(32), "")</f>
        <v/>
      </c>
      <c r="C472">
        <f>INDEX(Реестр!$H:$H, ROW())</f>
        <v/>
      </c>
      <c r="D472">
        <f>IF(OR(ISBLANK(INDEX(Реестр!$B:$B, ROW())), INDEX(Реестр!$B:$B, ROW())=""), " ", IF(IFERROR(ISNUMBER(--A472),FALSE), IF(LEN(A472)=10, IF(MOD(MOD(H472,11),10)=--RIGHT(A472,1), "OK", "ОШИБКА"), IF(LEN(A472)=12, IF(AND(MOD(MOD(H472,11),10)=--MID(A472,11,1), MOD(MOD(I472,11),10)=--RIGHT(A472,1)), "OK", "ОШИБКА"), "ДЛИНА (10 или 12)")), "НЕ ЦИФРЫ"))</f>
        <v/>
      </c>
      <c r="E472">
        <f>MID(B472,1,1)*9+MID(B472,2,1)*8+MID(B472,3,1)*7+MID(B472,4,1)*6+MID(B472,5,1)*5+MID(B472,6,1)*4+MID(B472,7,1)*3+MID(B472,8,1)*2+MID(B472,9,1)</f>
        <v/>
      </c>
      <c r="F472">
        <f>IF(B472="", " ", IF(LEN(B472)&lt;&gt;11, "ДЛИНА", IF(NOT(ISNUMBER(--B472)), "НЕ ЦИФРЫ", IF(LEFT(B472,9)*1&lt;=1001998, "OK", IF(RIGHT(B472,2)*1=IF(MOD(E472,101)&gt;=100,0,MOD(E472,101)),"OK","ОШИБКА")))))</f>
        <v/>
      </c>
      <c r="G4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2">
        <f>IF(LEN(TRIM(A472))=10, --MID(A472,1,1)*2+--MID(A472,2,1)*4+--MID(A472,3,1)*10+--MID(A472,4,1)*3+--MID(A472,5,1)*5+--MID(A472,6,1)*9+--MID(A472,7,1)*4+--MID(A472,8,1)*6+--MID(A472,9,1)*8, IF(LEN(TRIM(A472))=12, --MID(A472,1,1)*7+--MID(A472,2,1)*2+--MID(A472,3,1)*4+--MID(A472,4,1)*10+--MID(A472,5,1)*3+--MID(A472,6,1)*5+--MID(A472,7,1)*9+--MID(A472,8,1)*4+--MID(A472,9,1)*6+--MID(A472,10,1)*8, ""))</f>
        <v/>
      </c>
      <c r="I472">
        <f>IF(LEN(TRIM(A472))=12, --MID(A472,1,1)*3+--MID(A472,2,1)*7+--MID(A472,3,1)*2+--MID(A472,4,1)*4+--MID(A472,5,1)*10+--MID(A472,6,1)*3+--MID(A472,7,1)*5+--MID(A472,8,1)*9+--MID(A472,9,1)*4+--MID(A472,10,1)*6+--MID(A472,11,1)*8, "")</f>
        <v/>
      </c>
    </row>
    <row r="473">
      <c r="A473">
        <f>SUBSTITUTE(SUBSTITUTE(SUBSTITUTE(SUBSTITUTE(TRIM(INDEX(Реестр!$B:$B,ROW())),CHAR(160),""),CHAR(9),""),CHAR(10),""),CHAR(13),"")</f>
        <v/>
      </c>
      <c r="B473">
        <f>SUBSTITUTE(SUBSTITUTE(SUBSTITUTE(SUBSTITUTE(SUBSTITUTE(SUBSTITUTE(SUBSTITUTE(TRIM(INDEX(Реестр!$D:$D, ROW())), "-", ""), " ", ""), CHAR(160), ""), CHAR(9), ""), CHAR(10), ""), CHAR(13), ""), CHAR(32), "")</f>
        <v/>
      </c>
      <c r="C473">
        <f>INDEX(Реестр!$H:$H, ROW())</f>
        <v/>
      </c>
      <c r="D473">
        <f>IF(OR(ISBLANK(INDEX(Реестр!$B:$B, ROW())), INDEX(Реестр!$B:$B, ROW())=""), " ", IF(IFERROR(ISNUMBER(--A473),FALSE), IF(LEN(A473)=10, IF(MOD(MOD(H473,11),10)=--RIGHT(A473,1), "OK", "ОШИБКА"), IF(LEN(A473)=12, IF(AND(MOD(MOD(H473,11),10)=--MID(A473,11,1), MOD(MOD(I473,11),10)=--RIGHT(A473,1)), "OK", "ОШИБКА"), "ДЛИНА (10 или 12)")), "НЕ ЦИФРЫ"))</f>
        <v/>
      </c>
      <c r="E473">
        <f>MID(B473,1,1)*9+MID(B473,2,1)*8+MID(B473,3,1)*7+MID(B473,4,1)*6+MID(B473,5,1)*5+MID(B473,6,1)*4+MID(B473,7,1)*3+MID(B473,8,1)*2+MID(B473,9,1)</f>
        <v/>
      </c>
      <c r="F473">
        <f>IF(B473="", " ", IF(LEN(B473)&lt;&gt;11, "ДЛИНА", IF(NOT(ISNUMBER(--B473)), "НЕ ЦИФРЫ", IF(LEFT(B473,9)*1&lt;=1001998, "OK", IF(RIGHT(B473,2)*1=IF(MOD(E473,101)&gt;=100,0,MOD(E473,101)),"OK","ОШИБКА")))))</f>
        <v/>
      </c>
      <c r="G4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3">
        <f>IF(LEN(TRIM(A473))=10, --MID(A473,1,1)*2+--MID(A473,2,1)*4+--MID(A473,3,1)*10+--MID(A473,4,1)*3+--MID(A473,5,1)*5+--MID(A473,6,1)*9+--MID(A473,7,1)*4+--MID(A473,8,1)*6+--MID(A473,9,1)*8, IF(LEN(TRIM(A473))=12, --MID(A473,1,1)*7+--MID(A473,2,1)*2+--MID(A473,3,1)*4+--MID(A473,4,1)*10+--MID(A473,5,1)*3+--MID(A473,6,1)*5+--MID(A473,7,1)*9+--MID(A473,8,1)*4+--MID(A473,9,1)*6+--MID(A473,10,1)*8, ""))</f>
        <v/>
      </c>
      <c r="I473">
        <f>IF(LEN(TRIM(A473))=12, --MID(A473,1,1)*3+--MID(A473,2,1)*7+--MID(A473,3,1)*2+--MID(A473,4,1)*4+--MID(A473,5,1)*10+--MID(A473,6,1)*3+--MID(A473,7,1)*5+--MID(A473,8,1)*9+--MID(A473,9,1)*4+--MID(A473,10,1)*6+--MID(A473,11,1)*8, "")</f>
        <v/>
      </c>
    </row>
    <row r="474">
      <c r="A474">
        <f>SUBSTITUTE(SUBSTITUTE(SUBSTITUTE(SUBSTITUTE(TRIM(INDEX(Реестр!$B:$B,ROW())),CHAR(160),""),CHAR(9),""),CHAR(10),""),CHAR(13),"")</f>
        <v/>
      </c>
      <c r="B474">
        <f>SUBSTITUTE(SUBSTITUTE(SUBSTITUTE(SUBSTITUTE(SUBSTITUTE(SUBSTITUTE(SUBSTITUTE(TRIM(INDEX(Реестр!$D:$D, ROW())), "-", ""), " ", ""), CHAR(160), ""), CHAR(9), ""), CHAR(10), ""), CHAR(13), ""), CHAR(32), "")</f>
        <v/>
      </c>
      <c r="C474">
        <f>INDEX(Реестр!$H:$H, ROW())</f>
        <v/>
      </c>
      <c r="D474">
        <f>IF(OR(ISBLANK(INDEX(Реестр!$B:$B, ROW())), INDEX(Реестр!$B:$B, ROW())=""), " ", IF(IFERROR(ISNUMBER(--A474),FALSE), IF(LEN(A474)=10, IF(MOD(MOD(H474,11),10)=--RIGHT(A474,1), "OK", "ОШИБКА"), IF(LEN(A474)=12, IF(AND(MOD(MOD(H474,11),10)=--MID(A474,11,1), MOD(MOD(I474,11),10)=--RIGHT(A474,1)), "OK", "ОШИБКА"), "ДЛИНА (10 или 12)")), "НЕ ЦИФРЫ"))</f>
        <v/>
      </c>
      <c r="E474">
        <f>MID(B474,1,1)*9+MID(B474,2,1)*8+MID(B474,3,1)*7+MID(B474,4,1)*6+MID(B474,5,1)*5+MID(B474,6,1)*4+MID(B474,7,1)*3+MID(B474,8,1)*2+MID(B474,9,1)</f>
        <v/>
      </c>
      <c r="F474">
        <f>IF(B474="", " ", IF(LEN(B474)&lt;&gt;11, "ДЛИНА", IF(NOT(ISNUMBER(--B474)), "НЕ ЦИФРЫ", IF(LEFT(B474,9)*1&lt;=1001998, "OK", IF(RIGHT(B474,2)*1=IF(MOD(E474,101)&gt;=100,0,MOD(E474,101)),"OK","ОШИБКА")))))</f>
        <v/>
      </c>
      <c r="G4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4">
        <f>IF(LEN(TRIM(A474))=10, --MID(A474,1,1)*2+--MID(A474,2,1)*4+--MID(A474,3,1)*10+--MID(A474,4,1)*3+--MID(A474,5,1)*5+--MID(A474,6,1)*9+--MID(A474,7,1)*4+--MID(A474,8,1)*6+--MID(A474,9,1)*8, IF(LEN(TRIM(A474))=12, --MID(A474,1,1)*7+--MID(A474,2,1)*2+--MID(A474,3,1)*4+--MID(A474,4,1)*10+--MID(A474,5,1)*3+--MID(A474,6,1)*5+--MID(A474,7,1)*9+--MID(A474,8,1)*4+--MID(A474,9,1)*6+--MID(A474,10,1)*8, ""))</f>
        <v/>
      </c>
      <c r="I474">
        <f>IF(LEN(TRIM(A474))=12, --MID(A474,1,1)*3+--MID(A474,2,1)*7+--MID(A474,3,1)*2+--MID(A474,4,1)*4+--MID(A474,5,1)*10+--MID(A474,6,1)*3+--MID(A474,7,1)*5+--MID(A474,8,1)*9+--MID(A474,9,1)*4+--MID(A474,10,1)*6+--MID(A474,11,1)*8, "")</f>
        <v/>
      </c>
    </row>
    <row r="475">
      <c r="A475">
        <f>SUBSTITUTE(SUBSTITUTE(SUBSTITUTE(SUBSTITUTE(TRIM(INDEX(Реестр!$B:$B,ROW())),CHAR(160),""),CHAR(9),""),CHAR(10),""),CHAR(13),"")</f>
        <v/>
      </c>
      <c r="B475">
        <f>SUBSTITUTE(SUBSTITUTE(SUBSTITUTE(SUBSTITUTE(SUBSTITUTE(SUBSTITUTE(SUBSTITUTE(TRIM(INDEX(Реестр!$D:$D, ROW())), "-", ""), " ", ""), CHAR(160), ""), CHAR(9), ""), CHAR(10), ""), CHAR(13), ""), CHAR(32), "")</f>
        <v/>
      </c>
      <c r="C475">
        <f>INDEX(Реестр!$H:$H, ROW())</f>
        <v/>
      </c>
      <c r="D475">
        <f>IF(OR(ISBLANK(INDEX(Реестр!$B:$B, ROW())), INDEX(Реестр!$B:$B, ROW())=""), " ", IF(IFERROR(ISNUMBER(--A475),FALSE), IF(LEN(A475)=10, IF(MOD(MOD(H475,11),10)=--RIGHT(A475,1), "OK", "ОШИБКА"), IF(LEN(A475)=12, IF(AND(MOD(MOD(H475,11),10)=--MID(A475,11,1), MOD(MOD(I475,11),10)=--RIGHT(A475,1)), "OK", "ОШИБКА"), "ДЛИНА (10 или 12)")), "НЕ ЦИФРЫ"))</f>
        <v/>
      </c>
      <c r="E475">
        <f>MID(B475,1,1)*9+MID(B475,2,1)*8+MID(B475,3,1)*7+MID(B475,4,1)*6+MID(B475,5,1)*5+MID(B475,6,1)*4+MID(B475,7,1)*3+MID(B475,8,1)*2+MID(B475,9,1)</f>
        <v/>
      </c>
      <c r="F475">
        <f>IF(B475="", " ", IF(LEN(B475)&lt;&gt;11, "ДЛИНА", IF(NOT(ISNUMBER(--B475)), "НЕ ЦИФРЫ", IF(LEFT(B475,9)*1&lt;=1001998, "OK", IF(RIGHT(B475,2)*1=IF(MOD(E475,101)&gt;=100,0,MOD(E475,101)),"OK","ОШИБКА")))))</f>
        <v/>
      </c>
      <c r="G4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5">
        <f>IF(LEN(TRIM(A475))=10, --MID(A475,1,1)*2+--MID(A475,2,1)*4+--MID(A475,3,1)*10+--MID(A475,4,1)*3+--MID(A475,5,1)*5+--MID(A475,6,1)*9+--MID(A475,7,1)*4+--MID(A475,8,1)*6+--MID(A475,9,1)*8, IF(LEN(TRIM(A475))=12, --MID(A475,1,1)*7+--MID(A475,2,1)*2+--MID(A475,3,1)*4+--MID(A475,4,1)*10+--MID(A475,5,1)*3+--MID(A475,6,1)*5+--MID(A475,7,1)*9+--MID(A475,8,1)*4+--MID(A475,9,1)*6+--MID(A475,10,1)*8, ""))</f>
        <v/>
      </c>
      <c r="I475">
        <f>IF(LEN(TRIM(A475))=12, --MID(A475,1,1)*3+--MID(A475,2,1)*7+--MID(A475,3,1)*2+--MID(A475,4,1)*4+--MID(A475,5,1)*10+--MID(A475,6,1)*3+--MID(A475,7,1)*5+--MID(A475,8,1)*9+--MID(A475,9,1)*4+--MID(A475,10,1)*6+--MID(A475,11,1)*8, "")</f>
        <v/>
      </c>
    </row>
    <row r="476">
      <c r="A476">
        <f>SUBSTITUTE(SUBSTITUTE(SUBSTITUTE(SUBSTITUTE(TRIM(INDEX(Реестр!$B:$B,ROW())),CHAR(160),""),CHAR(9),""),CHAR(10),""),CHAR(13),"")</f>
        <v/>
      </c>
      <c r="B476">
        <f>SUBSTITUTE(SUBSTITUTE(SUBSTITUTE(SUBSTITUTE(SUBSTITUTE(SUBSTITUTE(SUBSTITUTE(TRIM(INDEX(Реестр!$D:$D, ROW())), "-", ""), " ", ""), CHAR(160), ""), CHAR(9), ""), CHAR(10), ""), CHAR(13), ""), CHAR(32), "")</f>
        <v/>
      </c>
      <c r="C476">
        <f>INDEX(Реестр!$H:$H, ROW())</f>
        <v/>
      </c>
      <c r="D476">
        <f>IF(OR(ISBLANK(INDEX(Реестр!$B:$B, ROW())), INDEX(Реестр!$B:$B, ROW())=""), " ", IF(IFERROR(ISNUMBER(--A476),FALSE), IF(LEN(A476)=10, IF(MOD(MOD(H476,11),10)=--RIGHT(A476,1), "OK", "ОШИБКА"), IF(LEN(A476)=12, IF(AND(MOD(MOD(H476,11),10)=--MID(A476,11,1), MOD(MOD(I476,11),10)=--RIGHT(A476,1)), "OK", "ОШИБКА"), "ДЛИНА (10 или 12)")), "НЕ ЦИФРЫ"))</f>
        <v/>
      </c>
      <c r="E476">
        <f>MID(B476,1,1)*9+MID(B476,2,1)*8+MID(B476,3,1)*7+MID(B476,4,1)*6+MID(B476,5,1)*5+MID(B476,6,1)*4+MID(B476,7,1)*3+MID(B476,8,1)*2+MID(B476,9,1)</f>
        <v/>
      </c>
      <c r="F476">
        <f>IF(B476="", " ", IF(LEN(B476)&lt;&gt;11, "ДЛИНА", IF(NOT(ISNUMBER(--B476)), "НЕ ЦИФРЫ", IF(LEFT(B476,9)*1&lt;=1001998, "OK", IF(RIGHT(B476,2)*1=IF(MOD(E476,101)&gt;=100,0,MOD(E476,101)),"OK","ОШИБКА")))))</f>
        <v/>
      </c>
      <c r="G4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6">
        <f>IF(LEN(TRIM(A476))=10, --MID(A476,1,1)*2+--MID(A476,2,1)*4+--MID(A476,3,1)*10+--MID(A476,4,1)*3+--MID(A476,5,1)*5+--MID(A476,6,1)*9+--MID(A476,7,1)*4+--MID(A476,8,1)*6+--MID(A476,9,1)*8, IF(LEN(TRIM(A476))=12, --MID(A476,1,1)*7+--MID(A476,2,1)*2+--MID(A476,3,1)*4+--MID(A476,4,1)*10+--MID(A476,5,1)*3+--MID(A476,6,1)*5+--MID(A476,7,1)*9+--MID(A476,8,1)*4+--MID(A476,9,1)*6+--MID(A476,10,1)*8, ""))</f>
        <v/>
      </c>
      <c r="I476">
        <f>IF(LEN(TRIM(A476))=12, --MID(A476,1,1)*3+--MID(A476,2,1)*7+--MID(A476,3,1)*2+--MID(A476,4,1)*4+--MID(A476,5,1)*10+--MID(A476,6,1)*3+--MID(A476,7,1)*5+--MID(A476,8,1)*9+--MID(A476,9,1)*4+--MID(A476,10,1)*6+--MID(A476,11,1)*8, "")</f>
        <v/>
      </c>
    </row>
    <row r="477">
      <c r="A477">
        <f>SUBSTITUTE(SUBSTITUTE(SUBSTITUTE(SUBSTITUTE(TRIM(INDEX(Реестр!$B:$B,ROW())),CHAR(160),""),CHAR(9),""),CHAR(10),""),CHAR(13),"")</f>
        <v/>
      </c>
      <c r="B477">
        <f>SUBSTITUTE(SUBSTITUTE(SUBSTITUTE(SUBSTITUTE(SUBSTITUTE(SUBSTITUTE(SUBSTITUTE(TRIM(INDEX(Реестр!$D:$D, ROW())), "-", ""), " ", ""), CHAR(160), ""), CHAR(9), ""), CHAR(10), ""), CHAR(13), ""), CHAR(32), "")</f>
        <v/>
      </c>
      <c r="C477">
        <f>INDEX(Реестр!$H:$H, ROW())</f>
        <v/>
      </c>
      <c r="D477">
        <f>IF(OR(ISBLANK(INDEX(Реестр!$B:$B, ROW())), INDEX(Реестр!$B:$B, ROW())=""), " ", IF(IFERROR(ISNUMBER(--A477),FALSE), IF(LEN(A477)=10, IF(MOD(MOD(H477,11),10)=--RIGHT(A477,1), "OK", "ОШИБКА"), IF(LEN(A477)=12, IF(AND(MOD(MOD(H477,11),10)=--MID(A477,11,1), MOD(MOD(I477,11),10)=--RIGHT(A477,1)), "OK", "ОШИБКА"), "ДЛИНА (10 или 12)")), "НЕ ЦИФРЫ"))</f>
        <v/>
      </c>
      <c r="E477">
        <f>MID(B477,1,1)*9+MID(B477,2,1)*8+MID(B477,3,1)*7+MID(B477,4,1)*6+MID(B477,5,1)*5+MID(B477,6,1)*4+MID(B477,7,1)*3+MID(B477,8,1)*2+MID(B477,9,1)</f>
        <v/>
      </c>
      <c r="F477">
        <f>IF(B477="", " ", IF(LEN(B477)&lt;&gt;11, "ДЛИНА", IF(NOT(ISNUMBER(--B477)), "НЕ ЦИФРЫ", IF(LEFT(B477,9)*1&lt;=1001998, "OK", IF(RIGHT(B477,2)*1=IF(MOD(E477,101)&gt;=100,0,MOD(E477,101)),"OK","ОШИБКА")))))</f>
        <v/>
      </c>
      <c r="G4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7">
        <f>IF(LEN(TRIM(A477))=10, --MID(A477,1,1)*2+--MID(A477,2,1)*4+--MID(A477,3,1)*10+--MID(A477,4,1)*3+--MID(A477,5,1)*5+--MID(A477,6,1)*9+--MID(A477,7,1)*4+--MID(A477,8,1)*6+--MID(A477,9,1)*8, IF(LEN(TRIM(A477))=12, --MID(A477,1,1)*7+--MID(A477,2,1)*2+--MID(A477,3,1)*4+--MID(A477,4,1)*10+--MID(A477,5,1)*3+--MID(A477,6,1)*5+--MID(A477,7,1)*9+--MID(A477,8,1)*4+--MID(A477,9,1)*6+--MID(A477,10,1)*8, ""))</f>
        <v/>
      </c>
      <c r="I477">
        <f>IF(LEN(TRIM(A477))=12, --MID(A477,1,1)*3+--MID(A477,2,1)*7+--MID(A477,3,1)*2+--MID(A477,4,1)*4+--MID(A477,5,1)*10+--MID(A477,6,1)*3+--MID(A477,7,1)*5+--MID(A477,8,1)*9+--MID(A477,9,1)*4+--MID(A477,10,1)*6+--MID(A477,11,1)*8, "")</f>
        <v/>
      </c>
    </row>
    <row r="478">
      <c r="A478">
        <f>SUBSTITUTE(SUBSTITUTE(SUBSTITUTE(SUBSTITUTE(TRIM(INDEX(Реестр!$B:$B,ROW())),CHAR(160),""),CHAR(9),""),CHAR(10),""),CHAR(13),"")</f>
        <v/>
      </c>
      <c r="B478">
        <f>SUBSTITUTE(SUBSTITUTE(SUBSTITUTE(SUBSTITUTE(SUBSTITUTE(SUBSTITUTE(SUBSTITUTE(TRIM(INDEX(Реестр!$D:$D, ROW())), "-", ""), " ", ""), CHAR(160), ""), CHAR(9), ""), CHAR(10), ""), CHAR(13), ""), CHAR(32), "")</f>
        <v/>
      </c>
      <c r="C478">
        <f>INDEX(Реестр!$H:$H, ROW())</f>
        <v/>
      </c>
      <c r="D478">
        <f>IF(OR(ISBLANK(INDEX(Реестр!$B:$B, ROW())), INDEX(Реестр!$B:$B, ROW())=""), " ", IF(IFERROR(ISNUMBER(--A478),FALSE), IF(LEN(A478)=10, IF(MOD(MOD(H478,11),10)=--RIGHT(A478,1), "OK", "ОШИБКА"), IF(LEN(A478)=12, IF(AND(MOD(MOD(H478,11),10)=--MID(A478,11,1), MOD(MOD(I478,11),10)=--RIGHT(A478,1)), "OK", "ОШИБКА"), "ДЛИНА (10 или 12)")), "НЕ ЦИФРЫ"))</f>
        <v/>
      </c>
      <c r="E478">
        <f>MID(B478,1,1)*9+MID(B478,2,1)*8+MID(B478,3,1)*7+MID(B478,4,1)*6+MID(B478,5,1)*5+MID(B478,6,1)*4+MID(B478,7,1)*3+MID(B478,8,1)*2+MID(B478,9,1)</f>
        <v/>
      </c>
      <c r="F478">
        <f>IF(B478="", " ", IF(LEN(B478)&lt;&gt;11, "ДЛИНА", IF(NOT(ISNUMBER(--B478)), "НЕ ЦИФРЫ", IF(LEFT(B478,9)*1&lt;=1001998, "OK", IF(RIGHT(B478,2)*1=IF(MOD(E478,101)&gt;=100,0,MOD(E478,101)),"OK","ОШИБКА")))))</f>
        <v/>
      </c>
      <c r="G4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8">
        <f>IF(LEN(TRIM(A478))=10, --MID(A478,1,1)*2+--MID(A478,2,1)*4+--MID(A478,3,1)*10+--MID(A478,4,1)*3+--MID(A478,5,1)*5+--MID(A478,6,1)*9+--MID(A478,7,1)*4+--MID(A478,8,1)*6+--MID(A478,9,1)*8, IF(LEN(TRIM(A478))=12, --MID(A478,1,1)*7+--MID(A478,2,1)*2+--MID(A478,3,1)*4+--MID(A478,4,1)*10+--MID(A478,5,1)*3+--MID(A478,6,1)*5+--MID(A478,7,1)*9+--MID(A478,8,1)*4+--MID(A478,9,1)*6+--MID(A478,10,1)*8, ""))</f>
        <v/>
      </c>
      <c r="I478">
        <f>IF(LEN(TRIM(A478))=12, --MID(A478,1,1)*3+--MID(A478,2,1)*7+--MID(A478,3,1)*2+--MID(A478,4,1)*4+--MID(A478,5,1)*10+--MID(A478,6,1)*3+--MID(A478,7,1)*5+--MID(A478,8,1)*9+--MID(A478,9,1)*4+--MID(A478,10,1)*6+--MID(A478,11,1)*8, "")</f>
        <v/>
      </c>
    </row>
    <row r="479">
      <c r="A479">
        <f>SUBSTITUTE(SUBSTITUTE(SUBSTITUTE(SUBSTITUTE(TRIM(INDEX(Реестр!$B:$B,ROW())),CHAR(160),""),CHAR(9),""),CHAR(10),""),CHAR(13),"")</f>
        <v/>
      </c>
      <c r="B479">
        <f>SUBSTITUTE(SUBSTITUTE(SUBSTITUTE(SUBSTITUTE(SUBSTITUTE(SUBSTITUTE(SUBSTITUTE(TRIM(INDEX(Реестр!$D:$D, ROW())), "-", ""), " ", ""), CHAR(160), ""), CHAR(9), ""), CHAR(10), ""), CHAR(13), ""), CHAR(32), "")</f>
        <v/>
      </c>
      <c r="C479">
        <f>INDEX(Реестр!$H:$H, ROW())</f>
        <v/>
      </c>
      <c r="D479">
        <f>IF(OR(ISBLANK(INDEX(Реестр!$B:$B, ROW())), INDEX(Реестр!$B:$B, ROW())=""), " ", IF(IFERROR(ISNUMBER(--A479),FALSE), IF(LEN(A479)=10, IF(MOD(MOD(H479,11),10)=--RIGHT(A479,1), "OK", "ОШИБКА"), IF(LEN(A479)=12, IF(AND(MOD(MOD(H479,11),10)=--MID(A479,11,1), MOD(MOD(I479,11),10)=--RIGHT(A479,1)), "OK", "ОШИБКА"), "ДЛИНА (10 или 12)")), "НЕ ЦИФРЫ"))</f>
        <v/>
      </c>
      <c r="E479">
        <f>MID(B479,1,1)*9+MID(B479,2,1)*8+MID(B479,3,1)*7+MID(B479,4,1)*6+MID(B479,5,1)*5+MID(B479,6,1)*4+MID(B479,7,1)*3+MID(B479,8,1)*2+MID(B479,9,1)</f>
        <v/>
      </c>
      <c r="F479">
        <f>IF(B479="", " ", IF(LEN(B479)&lt;&gt;11, "ДЛИНА", IF(NOT(ISNUMBER(--B479)), "НЕ ЦИФРЫ", IF(LEFT(B479,9)*1&lt;=1001998, "OK", IF(RIGHT(B479,2)*1=IF(MOD(E479,101)&gt;=100,0,MOD(E479,101)),"OK","ОШИБКА")))))</f>
        <v/>
      </c>
      <c r="G4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79">
        <f>IF(LEN(TRIM(A479))=10, --MID(A479,1,1)*2+--MID(A479,2,1)*4+--MID(A479,3,1)*10+--MID(A479,4,1)*3+--MID(A479,5,1)*5+--MID(A479,6,1)*9+--MID(A479,7,1)*4+--MID(A479,8,1)*6+--MID(A479,9,1)*8, IF(LEN(TRIM(A479))=12, --MID(A479,1,1)*7+--MID(A479,2,1)*2+--MID(A479,3,1)*4+--MID(A479,4,1)*10+--MID(A479,5,1)*3+--MID(A479,6,1)*5+--MID(A479,7,1)*9+--MID(A479,8,1)*4+--MID(A479,9,1)*6+--MID(A479,10,1)*8, ""))</f>
        <v/>
      </c>
      <c r="I479">
        <f>IF(LEN(TRIM(A479))=12, --MID(A479,1,1)*3+--MID(A479,2,1)*7+--MID(A479,3,1)*2+--MID(A479,4,1)*4+--MID(A479,5,1)*10+--MID(A479,6,1)*3+--MID(A479,7,1)*5+--MID(A479,8,1)*9+--MID(A479,9,1)*4+--MID(A479,10,1)*6+--MID(A479,11,1)*8, "")</f>
        <v/>
      </c>
    </row>
    <row r="480">
      <c r="A480">
        <f>SUBSTITUTE(SUBSTITUTE(SUBSTITUTE(SUBSTITUTE(TRIM(INDEX(Реестр!$B:$B,ROW())),CHAR(160),""),CHAR(9),""),CHAR(10),""),CHAR(13),"")</f>
        <v/>
      </c>
      <c r="B480">
        <f>SUBSTITUTE(SUBSTITUTE(SUBSTITUTE(SUBSTITUTE(SUBSTITUTE(SUBSTITUTE(SUBSTITUTE(TRIM(INDEX(Реестр!$D:$D, ROW())), "-", ""), " ", ""), CHAR(160), ""), CHAR(9), ""), CHAR(10), ""), CHAR(13), ""), CHAR(32), "")</f>
        <v/>
      </c>
      <c r="C480">
        <f>INDEX(Реестр!$H:$H, ROW())</f>
        <v/>
      </c>
      <c r="D480">
        <f>IF(OR(ISBLANK(INDEX(Реестр!$B:$B, ROW())), INDEX(Реестр!$B:$B, ROW())=""), " ", IF(IFERROR(ISNUMBER(--A480),FALSE), IF(LEN(A480)=10, IF(MOD(MOD(H480,11),10)=--RIGHT(A480,1), "OK", "ОШИБКА"), IF(LEN(A480)=12, IF(AND(MOD(MOD(H480,11),10)=--MID(A480,11,1), MOD(MOD(I480,11),10)=--RIGHT(A480,1)), "OK", "ОШИБКА"), "ДЛИНА (10 или 12)")), "НЕ ЦИФРЫ"))</f>
        <v/>
      </c>
      <c r="E480">
        <f>MID(B480,1,1)*9+MID(B480,2,1)*8+MID(B480,3,1)*7+MID(B480,4,1)*6+MID(B480,5,1)*5+MID(B480,6,1)*4+MID(B480,7,1)*3+MID(B480,8,1)*2+MID(B480,9,1)</f>
        <v/>
      </c>
      <c r="F480">
        <f>IF(B480="", " ", IF(LEN(B480)&lt;&gt;11, "ДЛИНА", IF(NOT(ISNUMBER(--B480)), "НЕ ЦИФРЫ", IF(LEFT(B480,9)*1&lt;=1001998, "OK", IF(RIGHT(B480,2)*1=IF(MOD(E480,101)&gt;=100,0,MOD(E480,101)),"OK","ОШИБКА")))))</f>
        <v/>
      </c>
      <c r="G4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0">
        <f>IF(LEN(TRIM(A480))=10, --MID(A480,1,1)*2+--MID(A480,2,1)*4+--MID(A480,3,1)*10+--MID(A480,4,1)*3+--MID(A480,5,1)*5+--MID(A480,6,1)*9+--MID(A480,7,1)*4+--MID(A480,8,1)*6+--MID(A480,9,1)*8, IF(LEN(TRIM(A480))=12, --MID(A480,1,1)*7+--MID(A480,2,1)*2+--MID(A480,3,1)*4+--MID(A480,4,1)*10+--MID(A480,5,1)*3+--MID(A480,6,1)*5+--MID(A480,7,1)*9+--MID(A480,8,1)*4+--MID(A480,9,1)*6+--MID(A480,10,1)*8, ""))</f>
        <v/>
      </c>
      <c r="I480">
        <f>IF(LEN(TRIM(A480))=12, --MID(A480,1,1)*3+--MID(A480,2,1)*7+--MID(A480,3,1)*2+--MID(A480,4,1)*4+--MID(A480,5,1)*10+--MID(A480,6,1)*3+--MID(A480,7,1)*5+--MID(A480,8,1)*9+--MID(A480,9,1)*4+--MID(A480,10,1)*6+--MID(A480,11,1)*8, "")</f>
        <v/>
      </c>
    </row>
    <row r="481">
      <c r="A481">
        <f>SUBSTITUTE(SUBSTITUTE(SUBSTITUTE(SUBSTITUTE(TRIM(INDEX(Реестр!$B:$B,ROW())),CHAR(160),""),CHAR(9),""),CHAR(10),""),CHAR(13),"")</f>
        <v/>
      </c>
      <c r="B481">
        <f>SUBSTITUTE(SUBSTITUTE(SUBSTITUTE(SUBSTITUTE(SUBSTITUTE(SUBSTITUTE(SUBSTITUTE(TRIM(INDEX(Реестр!$D:$D, ROW())), "-", ""), " ", ""), CHAR(160), ""), CHAR(9), ""), CHAR(10), ""), CHAR(13), ""), CHAR(32), "")</f>
        <v/>
      </c>
      <c r="C481">
        <f>INDEX(Реестр!$H:$H, ROW())</f>
        <v/>
      </c>
      <c r="D481">
        <f>IF(OR(ISBLANK(INDEX(Реестр!$B:$B, ROW())), INDEX(Реестр!$B:$B, ROW())=""), " ", IF(IFERROR(ISNUMBER(--A481),FALSE), IF(LEN(A481)=10, IF(MOD(MOD(H481,11),10)=--RIGHT(A481,1), "OK", "ОШИБКА"), IF(LEN(A481)=12, IF(AND(MOD(MOD(H481,11),10)=--MID(A481,11,1), MOD(MOD(I481,11),10)=--RIGHT(A481,1)), "OK", "ОШИБКА"), "ДЛИНА (10 или 12)")), "НЕ ЦИФРЫ"))</f>
        <v/>
      </c>
      <c r="E481">
        <f>MID(B481,1,1)*9+MID(B481,2,1)*8+MID(B481,3,1)*7+MID(B481,4,1)*6+MID(B481,5,1)*5+MID(B481,6,1)*4+MID(B481,7,1)*3+MID(B481,8,1)*2+MID(B481,9,1)</f>
        <v/>
      </c>
      <c r="F481">
        <f>IF(B481="", " ", IF(LEN(B481)&lt;&gt;11, "ДЛИНА", IF(NOT(ISNUMBER(--B481)), "НЕ ЦИФРЫ", IF(LEFT(B481,9)*1&lt;=1001998, "OK", IF(RIGHT(B481,2)*1=IF(MOD(E481,101)&gt;=100,0,MOD(E481,101)),"OK","ОШИБКА")))))</f>
        <v/>
      </c>
      <c r="G4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1">
        <f>IF(LEN(TRIM(A481))=10, --MID(A481,1,1)*2+--MID(A481,2,1)*4+--MID(A481,3,1)*10+--MID(A481,4,1)*3+--MID(A481,5,1)*5+--MID(A481,6,1)*9+--MID(A481,7,1)*4+--MID(A481,8,1)*6+--MID(A481,9,1)*8, IF(LEN(TRIM(A481))=12, --MID(A481,1,1)*7+--MID(A481,2,1)*2+--MID(A481,3,1)*4+--MID(A481,4,1)*10+--MID(A481,5,1)*3+--MID(A481,6,1)*5+--MID(A481,7,1)*9+--MID(A481,8,1)*4+--MID(A481,9,1)*6+--MID(A481,10,1)*8, ""))</f>
        <v/>
      </c>
      <c r="I481">
        <f>IF(LEN(TRIM(A481))=12, --MID(A481,1,1)*3+--MID(A481,2,1)*7+--MID(A481,3,1)*2+--MID(A481,4,1)*4+--MID(A481,5,1)*10+--MID(A481,6,1)*3+--MID(A481,7,1)*5+--MID(A481,8,1)*9+--MID(A481,9,1)*4+--MID(A481,10,1)*6+--MID(A481,11,1)*8, "")</f>
        <v/>
      </c>
    </row>
    <row r="482">
      <c r="A482">
        <f>SUBSTITUTE(SUBSTITUTE(SUBSTITUTE(SUBSTITUTE(TRIM(INDEX(Реестр!$B:$B,ROW())),CHAR(160),""),CHAR(9),""),CHAR(10),""),CHAR(13),"")</f>
        <v/>
      </c>
      <c r="B482">
        <f>SUBSTITUTE(SUBSTITUTE(SUBSTITUTE(SUBSTITUTE(SUBSTITUTE(SUBSTITUTE(SUBSTITUTE(TRIM(INDEX(Реестр!$D:$D, ROW())), "-", ""), " ", ""), CHAR(160), ""), CHAR(9), ""), CHAR(10), ""), CHAR(13), ""), CHAR(32), "")</f>
        <v/>
      </c>
      <c r="C482">
        <f>INDEX(Реестр!$H:$H, ROW())</f>
        <v/>
      </c>
      <c r="D482">
        <f>IF(OR(ISBLANK(INDEX(Реестр!$B:$B, ROW())), INDEX(Реестр!$B:$B, ROW())=""), " ", IF(IFERROR(ISNUMBER(--A482),FALSE), IF(LEN(A482)=10, IF(MOD(MOD(H482,11),10)=--RIGHT(A482,1), "OK", "ОШИБКА"), IF(LEN(A482)=12, IF(AND(MOD(MOD(H482,11),10)=--MID(A482,11,1), MOD(MOD(I482,11),10)=--RIGHT(A482,1)), "OK", "ОШИБКА"), "ДЛИНА (10 или 12)")), "НЕ ЦИФРЫ"))</f>
        <v/>
      </c>
      <c r="E482">
        <f>MID(B482,1,1)*9+MID(B482,2,1)*8+MID(B482,3,1)*7+MID(B482,4,1)*6+MID(B482,5,1)*5+MID(B482,6,1)*4+MID(B482,7,1)*3+MID(B482,8,1)*2+MID(B482,9,1)</f>
        <v/>
      </c>
      <c r="F482">
        <f>IF(B482="", " ", IF(LEN(B482)&lt;&gt;11, "ДЛИНА", IF(NOT(ISNUMBER(--B482)), "НЕ ЦИФРЫ", IF(LEFT(B482,9)*1&lt;=1001998, "OK", IF(RIGHT(B482,2)*1=IF(MOD(E482,101)&gt;=100,0,MOD(E482,101)),"OK","ОШИБКА")))))</f>
        <v/>
      </c>
      <c r="G4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2">
        <f>IF(LEN(TRIM(A482))=10, --MID(A482,1,1)*2+--MID(A482,2,1)*4+--MID(A482,3,1)*10+--MID(A482,4,1)*3+--MID(A482,5,1)*5+--MID(A482,6,1)*9+--MID(A482,7,1)*4+--MID(A482,8,1)*6+--MID(A482,9,1)*8, IF(LEN(TRIM(A482))=12, --MID(A482,1,1)*7+--MID(A482,2,1)*2+--MID(A482,3,1)*4+--MID(A482,4,1)*10+--MID(A482,5,1)*3+--MID(A482,6,1)*5+--MID(A482,7,1)*9+--MID(A482,8,1)*4+--MID(A482,9,1)*6+--MID(A482,10,1)*8, ""))</f>
        <v/>
      </c>
      <c r="I482">
        <f>IF(LEN(TRIM(A482))=12, --MID(A482,1,1)*3+--MID(A482,2,1)*7+--MID(A482,3,1)*2+--MID(A482,4,1)*4+--MID(A482,5,1)*10+--MID(A482,6,1)*3+--MID(A482,7,1)*5+--MID(A482,8,1)*9+--MID(A482,9,1)*4+--MID(A482,10,1)*6+--MID(A482,11,1)*8, "")</f>
        <v/>
      </c>
    </row>
    <row r="483">
      <c r="A483">
        <f>SUBSTITUTE(SUBSTITUTE(SUBSTITUTE(SUBSTITUTE(TRIM(INDEX(Реестр!$B:$B,ROW())),CHAR(160),""),CHAR(9),""),CHAR(10),""),CHAR(13),"")</f>
        <v/>
      </c>
      <c r="B483">
        <f>SUBSTITUTE(SUBSTITUTE(SUBSTITUTE(SUBSTITUTE(SUBSTITUTE(SUBSTITUTE(SUBSTITUTE(TRIM(INDEX(Реестр!$D:$D, ROW())), "-", ""), " ", ""), CHAR(160), ""), CHAR(9), ""), CHAR(10), ""), CHAR(13), ""), CHAR(32), "")</f>
        <v/>
      </c>
      <c r="C483">
        <f>INDEX(Реестр!$H:$H, ROW())</f>
        <v/>
      </c>
      <c r="D483">
        <f>IF(OR(ISBLANK(INDEX(Реестр!$B:$B, ROW())), INDEX(Реестр!$B:$B, ROW())=""), " ", IF(IFERROR(ISNUMBER(--A483),FALSE), IF(LEN(A483)=10, IF(MOD(MOD(H483,11),10)=--RIGHT(A483,1), "OK", "ОШИБКА"), IF(LEN(A483)=12, IF(AND(MOD(MOD(H483,11),10)=--MID(A483,11,1), MOD(MOD(I483,11),10)=--RIGHT(A483,1)), "OK", "ОШИБКА"), "ДЛИНА (10 или 12)")), "НЕ ЦИФРЫ"))</f>
        <v/>
      </c>
      <c r="E483">
        <f>MID(B483,1,1)*9+MID(B483,2,1)*8+MID(B483,3,1)*7+MID(B483,4,1)*6+MID(B483,5,1)*5+MID(B483,6,1)*4+MID(B483,7,1)*3+MID(B483,8,1)*2+MID(B483,9,1)</f>
        <v/>
      </c>
      <c r="F483">
        <f>IF(B483="", " ", IF(LEN(B483)&lt;&gt;11, "ДЛИНА", IF(NOT(ISNUMBER(--B483)), "НЕ ЦИФРЫ", IF(LEFT(B483,9)*1&lt;=1001998, "OK", IF(RIGHT(B483,2)*1=IF(MOD(E483,101)&gt;=100,0,MOD(E483,101)),"OK","ОШИБКА")))))</f>
        <v/>
      </c>
      <c r="G4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3">
        <f>IF(LEN(TRIM(A483))=10, --MID(A483,1,1)*2+--MID(A483,2,1)*4+--MID(A483,3,1)*10+--MID(A483,4,1)*3+--MID(A483,5,1)*5+--MID(A483,6,1)*9+--MID(A483,7,1)*4+--MID(A483,8,1)*6+--MID(A483,9,1)*8, IF(LEN(TRIM(A483))=12, --MID(A483,1,1)*7+--MID(A483,2,1)*2+--MID(A483,3,1)*4+--MID(A483,4,1)*10+--MID(A483,5,1)*3+--MID(A483,6,1)*5+--MID(A483,7,1)*9+--MID(A483,8,1)*4+--MID(A483,9,1)*6+--MID(A483,10,1)*8, ""))</f>
        <v/>
      </c>
      <c r="I483">
        <f>IF(LEN(TRIM(A483))=12, --MID(A483,1,1)*3+--MID(A483,2,1)*7+--MID(A483,3,1)*2+--MID(A483,4,1)*4+--MID(A483,5,1)*10+--MID(A483,6,1)*3+--MID(A483,7,1)*5+--MID(A483,8,1)*9+--MID(A483,9,1)*4+--MID(A483,10,1)*6+--MID(A483,11,1)*8, "")</f>
        <v/>
      </c>
    </row>
    <row r="484">
      <c r="A484">
        <f>SUBSTITUTE(SUBSTITUTE(SUBSTITUTE(SUBSTITUTE(TRIM(INDEX(Реестр!$B:$B,ROW())),CHAR(160),""),CHAR(9),""),CHAR(10),""),CHAR(13),"")</f>
        <v/>
      </c>
      <c r="B484">
        <f>SUBSTITUTE(SUBSTITUTE(SUBSTITUTE(SUBSTITUTE(SUBSTITUTE(SUBSTITUTE(SUBSTITUTE(TRIM(INDEX(Реестр!$D:$D, ROW())), "-", ""), " ", ""), CHAR(160), ""), CHAR(9), ""), CHAR(10), ""), CHAR(13), ""), CHAR(32), "")</f>
        <v/>
      </c>
      <c r="C484">
        <f>INDEX(Реестр!$H:$H, ROW())</f>
        <v/>
      </c>
      <c r="D484">
        <f>IF(OR(ISBLANK(INDEX(Реестр!$B:$B, ROW())), INDEX(Реестр!$B:$B, ROW())=""), " ", IF(IFERROR(ISNUMBER(--A484),FALSE), IF(LEN(A484)=10, IF(MOD(MOD(H484,11),10)=--RIGHT(A484,1), "OK", "ОШИБКА"), IF(LEN(A484)=12, IF(AND(MOD(MOD(H484,11),10)=--MID(A484,11,1), MOD(MOD(I484,11),10)=--RIGHT(A484,1)), "OK", "ОШИБКА"), "ДЛИНА (10 или 12)")), "НЕ ЦИФРЫ"))</f>
        <v/>
      </c>
      <c r="E484">
        <f>MID(B484,1,1)*9+MID(B484,2,1)*8+MID(B484,3,1)*7+MID(B484,4,1)*6+MID(B484,5,1)*5+MID(B484,6,1)*4+MID(B484,7,1)*3+MID(B484,8,1)*2+MID(B484,9,1)</f>
        <v/>
      </c>
      <c r="F484">
        <f>IF(B484="", " ", IF(LEN(B484)&lt;&gt;11, "ДЛИНА", IF(NOT(ISNUMBER(--B484)), "НЕ ЦИФРЫ", IF(LEFT(B484,9)*1&lt;=1001998, "OK", IF(RIGHT(B484,2)*1=IF(MOD(E484,101)&gt;=100,0,MOD(E484,101)),"OK","ОШИБКА")))))</f>
        <v/>
      </c>
      <c r="G4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4">
        <f>IF(LEN(TRIM(A484))=10, --MID(A484,1,1)*2+--MID(A484,2,1)*4+--MID(A484,3,1)*10+--MID(A484,4,1)*3+--MID(A484,5,1)*5+--MID(A484,6,1)*9+--MID(A484,7,1)*4+--MID(A484,8,1)*6+--MID(A484,9,1)*8, IF(LEN(TRIM(A484))=12, --MID(A484,1,1)*7+--MID(A484,2,1)*2+--MID(A484,3,1)*4+--MID(A484,4,1)*10+--MID(A484,5,1)*3+--MID(A484,6,1)*5+--MID(A484,7,1)*9+--MID(A484,8,1)*4+--MID(A484,9,1)*6+--MID(A484,10,1)*8, ""))</f>
        <v/>
      </c>
      <c r="I484">
        <f>IF(LEN(TRIM(A484))=12, --MID(A484,1,1)*3+--MID(A484,2,1)*7+--MID(A484,3,1)*2+--MID(A484,4,1)*4+--MID(A484,5,1)*10+--MID(A484,6,1)*3+--MID(A484,7,1)*5+--MID(A484,8,1)*9+--MID(A484,9,1)*4+--MID(A484,10,1)*6+--MID(A484,11,1)*8, "")</f>
        <v/>
      </c>
    </row>
    <row r="485">
      <c r="A485">
        <f>SUBSTITUTE(SUBSTITUTE(SUBSTITUTE(SUBSTITUTE(TRIM(INDEX(Реестр!$B:$B,ROW())),CHAR(160),""),CHAR(9),""),CHAR(10),""),CHAR(13),"")</f>
        <v/>
      </c>
      <c r="B485">
        <f>SUBSTITUTE(SUBSTITUTE(SUBSTITUTE(SUBSTITUTE(SUBSTITUTE(SUBSTITUTE(SUBSTITUTE(TRIM(INDEX(Реестр!$D:$D, ROW())), "-", ""), " ", ""), CHAR(160), ""), CHAR(9), ""), CHAR(10), ""), CHAR(13), ""), CHAR(32), "")</f>
        <v/>
      </c>
      <c r="C485">
        <f>INDEX(Реестр!$H:$H, ROW())</f>
        <v/>
      </c>
      <c r="D485">
        <f>IF(OR(ISBLANK(INDEX(Реестр!$B:$B, ROW())), INDEX(Реестр!$B:$B, ROW())=""), " ", IF(IFERROR(ISNUMBER(--A485),FALSE), IF(LEN(A485)=10, IF(MOD(MOD(H485,11),10)=--RIGHT(A485,1), "OK", "ОШИБКА"), IF(LEN(A485)=12, IF(AND(MOD(MOD(H485,11),10)=--MID(A485,11,1), MOD(MOD(I485,11),10)=--RIGHT(A485,1)), "OK", "ОШИБКА"), "ДЛИНА (10 или 12)")), "НЕ ЦИФРЫ"))</f>
        <v/>
      </c>
      <c r="E485">
        <f>MID(B485,1,1)*9+MID(B485,2,1)*8+MID(B485,3,1)*7+MID(B485,4,1)*6+MID(B485,5,1)*5+MID(B485,6,1)*4+MID(B485,7,1)*3+MID(B485,8,1)*2+MID(B485,9,1)</f>
        <v/>
      </c>
      <c r="F485">
        <f>IF(B485="", " ", IF(LEN(B485)&lt;&gt;11, "ДЛИНА", IF(NOT(ISNUMBER(--B485)), "НЕ ЦИФРЫ", IF(LEFT(B485,9)*1&lt;=1001998, "OK", IF(RIGHT(B485,2)*1=IF(MOD(E485,101)&gt;=100,0,MOD(E485,101)),"OK","ОШИБКА")))))</f>
        <v/>
      </c>
      <c r="G4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5">
        <f>IF(LEN(TRIM(A485))=10, --MID(A485,1,1)*2+--MID(A485,2,1)*4+--MID(A485,3,1)*10+--MID(A485,4,1)*3+--MID(A485,5,1)*5+--MID(A485,6,1)*9+--MID(A485,7,1)*4+--MID(A485,8,1)*6+--MID(A485,9,1)*8, IF(LEN(TRIM(A485))=12, --MID(A485,1,1)*7+--MID(A485,2,1)*2+--MID(A485,3,1)*4+--MID(A485,4,1)*10+--MID(A485,5,1)*3+--MID(A485,6,1)*5+--MID(A485,7,1)*9+--MID(A485,8,1)*4+--MID(A485,9,1)*6+--MID(A485,10,1)*8, ""))</f>
        <v/>
      </c>
      <c r="I485">
        <f>IF(LEN(TRIM(A485))=12, --MID(A485,1,1)*3+--MID(A485,2,1)*7+--MID(A485,3,1)*2+--MID(A485,4,1)*4+--MID(A485,5,1)*10+--MID(A485,6,1)*3+--MID(A485,7,1)*5+--MID(A485,8,1)*9+--MID(A485,9,1)*4+--MID(A485,10,1)*6+--MID(A485,11,1)*8, "")</f>
        <v/>
      </c>
    </row>
    <row r="486">
      <c r="A486">
        <f>SUBSTITUTE(SUBSTITUTE(SUBSTITUTE(SUBSTITUTE(TRIM(INDEX(Реестр!$B:$B,ROW())),CHAR(160),""),CHAR(9),""),CHAR(10),""),CHAR(13),"")</f>
        <v/>
      </c>
      <c r="B486">
        <f>SUBSTITUTE(SUBSTITUTE(SUBSTITUTE(SUBSTITUTE(SUBSTITUTE(SUBSTITUTE(SUBSTITUTE(TRIM(INDEX(Реестр!$D:$D, ROW())), "-", ""), " ", ""), CHAR(160), ""), CHAR(9), ""), CHAR(10), ""), CHAR(13), ""), CHAR(32), "")</f>
        <v/>
      </c>
      <c r="C486">
        <f>INDEX(Реестр!$H:$H, ROW())</f>
        <v/>
      </c>
      <c r="D486">
        <f>IF(OR(ISBLANK(INDEX(Реестр!$B:$B, ROW())), INDEX(Реестр!$B:$B, ROW())=""), " ", IF(IFERROR(ISNUMBER(--A486),FALSE), IF(LEN(A486)=10, IF(MOD(MOD(H486,11),10)=--RIGHT(A486,1), "OK", "ОШИБКА"), IF(LEN(A486)=12, IF(AND(MOD(MOD(H486,11),10)=--MID(A486,11,1), MOD(MOD(I486,11),10)=--RIGHT(A486,1)), "OK", "ОШИБКА"), "ДЛИНА (10 или 12)")), "НЕ ЦИФРЫ"))</f>
        <v/>
      </c>
      <c r="E486">
        <f>MID(B486,1,1)*9+MID(B486,2,1)*8+MID(B486,3,1)*7+MID(B486,4,1)*6+MID(B486,5,1)*5+MID(B486,6,1)*4+MID(B486,7,1)*3+MID(B486,8,1)*2+MID(B486,9,1)</f>
        <v/>
      </c>
      <c r="F486">
        <f>IF(B486="", " ", IF(LEN(B486)&lt;&gt;11, "ДЛИНА", IF(NOT(ISNUMBER(--B486)), "НЕ ЦИФРЫ", IF(LEFT(B486,9)*1&lt;=1001998, "OK", IF(RIGHT(B486,2)*1=IF(MOD(E486,101)&gt;=100,0,MOD(E486,101)),"OK","ОШИБКА")))))</f>
        <v/>
      </c>
      <c r="G4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6">
        <f>IF(LEN(TRIM(A486))=10, --MID(A486,1,1)*2+--MID(A486,2,1)*4+--MID(A486,3,1)*10+--MID(A486,4,1)*3+--MID(A486,5,1)*5+--MID(A486,6,1)*9+--MID(A486,7,1)*4+--MID(A486,8,1)*6+--MID(A486,9,1)*8, IF(LEN(TRIM(A486))=12, --MID(A486,1,1)*7+--MID(A486,2,1)*2+--MID(A486,3,1)*4+--MID(A486,4,1)*10+--MID(A486,5,1)*3+--MID(A486,6,1)*5+--MID(A486,7,1)*9+--MID(A486,8,1)*4+--MID(A486,9,1)*6+--MID(A486,10,1)*8, ""))</f>
        <v/>
      </c>
      <c r="I486">
        <f>IF(LEN(TRIM(A486))=12, --MID(A486,1,1)*3+--MID(A486,2,1)*7+--MID(A486,3,1)*2+--MID(A486,4,1)*4+--MID(A486,5,1)*10+--MID(A486,6,1)*3+--MID(A486,7,1)*5+--MID(A486,8,1)*9+--MID(A486,9,1)*4+--MID(A486,10,1)*6+--MID(A486,11,1)*8, "")</f>
        <v/>
      </c>
    </row>
    <row r="487">
      <c r="A487">
        <f>SUBSTITUTE(SUBSTITUTE(SUBSTITUTE(SUBSTITUTE(TRIM(INDEX(Реестр!$B:$B,ROW())),CHAR(160),""),CHAR(9),""),CHAR(10),""),CHAR(13),"")</f>
        <v/>
      </c>
      <c r="B487">
        <f>SUBSTITUTE(SUBSTITUTE(SUBSTITUTE(SUBSTITUTE(SUBSTITUTE(SUBSTITUTE(SUBSTITUTE(TRIM(INDEX(Реестр!$D:$D, ROW())), "-", ""), " ", ""), CHAR(160), ""), CHAR(9), ""), CHAR(10), ""), CHAR(13), ""), CHAR(32), "")</f>
        <v/>
      </c>
      <c r="C487">
        <f>INDEX(Реестр!$H:$H, ROW())</f>
        <v/>
      </c>
      <c r="D487">
        <f>IF(OR(ISBLANK(INDEX(Реестр!$B:$B, ROW())), INDEX(Реестр!$B:$B, ROW())=""), " ", IF(IFERROR(ISNUMBER(--A487),FALSE), IF(LEN(A487)=10, IF(MOD(MOD(H487,11),10)=--RIGHT(A487,1), "OK", "ОШИБКА"), IF(LEN(A487)=12, IF(AND(MOD(MOD(H487,11),10)=--MID(A487,11,1), MOD(MOD(I487,11),10)=--RIGHT(A487,1)), "OK", "ОШИБКА"), "ДЛИНА (10 или 12)")), "НЕ ЦИФРЫ"))</f>
        <v/>
      </c>
      <c r="E487">
        <f>MID(B487,1,1)*9+MID(B487,2,1)*8+MID(B487,3,1)*7+MID(B487,4,1)*6+MID(B487,5,1)*5+MID(B487,6,1)*4+MID(B487,7,1)*3+MID(B487,8,1)*2+MID(B487,9,1)</f>
        <v/>
      </c>
      <c r="F487">
        <f>IF(B487="", " ", IF(LEN(B487)&lt;&gt;11, "ДЛИНА", IF(NOT(ISNUMBER(--B487)), "НЕ ЦИФРЫ", IF(LEFT(B487,9)*1&lt;=1001998, "OK", IF(RIGHT(B487,2)*1=IF(MOD(E487,101)&gt;=100,0,MOD(E487,101)),"OK","ОШИБКА")))))</f>
        <v/>
      </c>
      <c r="G4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7">
        <f>IF(LEN(TRIM(A487))=10, --MID(A487,1,1)*2+--MID(A487,2,1)*4+--MID(A487,3,1)*10+--MID(A487,4,1)*3+--MID(A487,5,1)*5+--MID(A487,6,1)*9+--MID(A487,7,1)*4+--MID(A487,8,1)*6+--MID(A487,9,1)*8, IF(LEN(TRIM(A487))=12, --MID(A487,1,1)*7+--MID(A487,2,1)*2+--MID(A487,3,1)*4+--MID(A487,4,1)*10+--MID(A487,5,1)*3+--MID(A487,6,1)*5+--MID(A487,7,1)*9+--MID(A487,8,1)*4+--MID(A487,9,1)*6+--MID(A487,10,1)*8, ""))</f>
        <v/>
      </c>
      <c r="I487">
        <f>IF(LEN(TRIM(A487))=12, --MID(A487,1,1)*3+--MID(A487,2,1)*7+--MID(A487,3,1)*2+--MID(A487,4,1)*4+--MID(A487,5,1)*10+--MID(A487,6,1)*3+--MID(A487,7,1)*5+--MID(A487,8,1)*9+--MID(A487,9,1)*4+--MID(A487,10,1)*6+--MID(A487,11,1)*8, "")</f>
        <v/>
      </c>
    </row>
    <row r="488">
      <c r="A488">
        <f>SUBSTITUTE(SUBSTITUTE(SUBSTITUTE(SUBSTITUTE(TRIM(INDEX(Реестр!$B:$B,ROW())),CHAR(160),""),CHAR(9),""),CHAR(10),""),CHAR(13),"")</f>
        <v/>
      </c>
      <c r="B488">
        <f>SUBSTITUTE(SUBSTITUTE(SUBSTITUTE(SUBSTITUTE(SUBSTITUTE(SUBSTITUTE(SUBSTITUTE(TRIM(INDEX(Реестр!$D:$D, ROW())), "-", ""), " ", ""), CHAR(160), ""), CHAR(9), ""), CHAR(10), ""), CHAR(13), ""), CHAR(32), "")</f>
        <v/>
      </c>
      <c r="C488">
        <f>INDEX(Реестр!$H:$H, ROW())</f>
        <v/>
      </c>
      <c r="D488">
        <f>IF(OR(ISBLANK(INDEX(Реестр!$B:$B, ROW())), INDEX(Реестр!$B:$B, ROW())=""), " ", IF(IFERROR(ISNUMBER(--A488),FALSE), IF(LEN(A488)=10, IF(MOD(MOD(H488,11),10)=--RIGHT(A488,1), "OK", "ОШИБКА"), IF(LEN(A488)=12, IF(AND(MOD(MOD(H488,11),10)=--MID(A488,11,1), MOD(MOD(I488,11),10)=--RIGHT(A488,1)), "OK", "ОШИБКА"), "ДЛИНА (10 или 12)")), "НЕ ЦИФРЫ"))</f>
        <v/>
      </c>
      <c r="E488">
        <f>MID(B488,1,1)*9+MID(B488,2,1)*8+MID(B488,3,1)*7+MID(B488,4,1)*6+MID(B488,5,1)*5+MID(B488,6,1)*4+MID(B488,7,1)*3+MID(B488,8,1)*2+MID(B488,9,1)</f>
        <v/>
      </c>
      <c r="F488">
        <f>IF(B488="", " ", IF(LEN(B488)&lt;&gt;11, "ДЛИНА", IF(NOT(ISNUMBER(--B488)), "НЕ ЦИФРЫ", IF(LEFT(B488,9)*1&lt;=1001998, "OK", IF(RIGHT(B488,2)*1=IF(MOD(E488,101)&gt;=100,0,MOD(E488,101)),"OK","ОШИБКА")))))</f>
        <v/>
      </c>
      <c r="G4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8">
        <f>IF(LEN(TRIM(A488))=10, --MID(A488,1,1)*2+--MID(A488,2,1)*4+--MID(A488,3,1)*10+--MID(A488,4,1)*3+--MID(A488,5,1)*5+--MID(A488,6,1)*9+--MID(A488,7,1)*4+--MID(A488,8,1)*6+--MID(A488,9,1)*8, IF(LEN(TRIM(A488))=12, --MID(A488,1,1)*7+--MID(A488,2,1)*2+--MID(A488,3,1)*4+--MID(A488,4,1)*10+--MID(A488,5,1)*3+--MID(A488,6,1)*5+--MID(A488,7,1)*9+--MID(A488,8,1)*4+--MID(A488,9,1)*6+--MID(A488,10,1)*8, ""))</f>
        <v/>
      </c>
      <c r="I488">
        <f>IF(LEN(TRIM(A488))=12, --MID(A488,1,1)*3+--MID(A488,2,1)*7+--MID(A488,3,1)*2+--MID(A488,4,1)*4+--MID(A488,5,1)*10+--MID(A488,6,1)*3+--MID(A488,7,1)*5+--MID(A488,8,1)*9+--MID(A488,9,1)*4+--MID(A488,10,1)*6+--MID(A488,11,1)*8, "")</f>
        <v/>
      </c>
    </row>
    <row r="489">
      <c r="A489">
        <f>SUBSTITUTE(SUBSTITUTE(SUBSTITUTE(SUBSTITUTE(TRIM(INDEX(Реестр!$B:$B,ROW())),CHAR(160),""),CHAR(9),""),CHAR(10),""),CHAR(13),"")</f>
        <v/>
      </c>
      <c r="B489">
        <f>SUBSTITUTE(SUBSTITUTE(SUBSTITUTE(SUBSTITUTE(SUBSTITUTE(SUBSTITUTE(SUBSTITUTE(TRIM(INDEX(Реестр!$D:$D, ROW())), "-", ""), " ", ""), CHAR(160), ""), CHAR(9), ""), CHAR(10), ""), CHAR(13), ""), CHAR(32), "")</f>
        <v/>
      </c>
      <c r="C489">
        <f>INDEX(Реестр!$H:$H, ROW())</f>
        <v/>
      </c>
      <c r="D489">
        <f>IF(OR(ISBLANK(INDEX(Реестр!$B:$B, ROW())), INDEX(Реестр!$B:$B, ROW())=""), " ", IF(IFERROR(ISNUMBER(--A489),FALSE), IF(LEN(A489)=10, IF(MOD(MOD(H489,11),10)=--RIGHT(A489,1), "OK", "ОШИБКА"), IF(LEN(A489)=12, IF(AND(MOD(MOD(H489,11),10)=--MID(A489,11,1), MOD(MOD(I489,11),10)=--RIGHT(A489,1)), "OK", "ОШИБКА"), "ДЛИНА (10 или 12)")), "НЕ ЦИФРЫ"))</f>
        <v/>
      </c>
      <c r="E489">
        <f>MID(B489,1,1)*9+MID(B489,2,1)*8+MID(B489,3,1)*7+MID(B489,4,1)*6+MID(B489,5,1)*5+MID(B489,6,1)*4+MID(B489,7,1)*3+MID(B489,8,1)*2+MID(B489,9,1)</f>
        <v/>
      </c>
      <c r="F489">
        <f>IF(B489="", " ", IF(LEN(B489)&lt;&gt;11, "ДЛИНА", IF(NOT(ISNUMBER(--B489)), "НЕ ЦИФРЫ", IF(LEFT(B489,9)*1&lt;=1001998, "OK", IF(RIGHT(B489,2)*1=IF(MOD(E489,101)&gt;=100,0,MOD(E489,101)),"OK","ОШИБКА")))))</f>
        <v/>
      </c>
      <c r="G4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89">
        <f>IF(LEN(TRIM(A489))=10, --MID(A489,1,1)*2+--MID(A489,2,1)*4+--MID(A489,3,1)*10+--MID(A489,4,1)*3+--MID(A489,5,1)*5+--MID(A489,6,1)*9+--MID(A489,7,1)*4+--MID(A489,8,1)*6+--MID(A489,9,1)*8, IF(LEN(TRIM(A489))=12, --MID(A489,1,1)*7+--MID(A489,2,1)*2+--MID(A489,3,1)*4+--MID(A489,4,1)*10+--MID(A489,5,1)*3+--MID(A489,6,1)*5+--MID(A489,7,1)*9+--MID(A489,8,1)*4+--MID(A489,9,1)*6+--MID(A489,10,1)*8, ""))</f>
        <v/>
      </c>
      <c r="I489">
        <f>IF(LEN(TRIM(A489))=12, --MID(A489,1,1)*3+--MID(A489,2,1)*7+--MID(A489,3,1)*2+--MID(A489,4,1)*4+--MID(A489,5,1)*10+--MID(A489,6,1)*3+--MID(A489,7,1)*5+--MID(A489,8,1)*9+--MID(A489,9,1)*4+--MID(A489,10,1)*6+--MID(A489,11,1)*8, "")</f>
        <v/>
      </c>
    </row>
    <row r="490">
      <c r="A490">
        <f>SUBSTITUTE(SUBSTITUTE(SUBSTITUTE(SUBSTITUTE(TRIM(INDEX(Реестр!$B:$B,ROW())),CHAR(160),""),CHAR(9),""),CHAR(10),""),CHAR(13),"")</f>
        <v/>
      </c>
      <c r="B490">
        <f>SUBSTITUTE(SUBSTITUTE(SUBSTITUTE(SUBSTITUTE(SUBSTITUTE(SUBSTITUTE(SUBSTITUTE(TRIM(INDEX(Реестр!$D:$D, ROW())), "-", ""), " ", ""), CHAR(160), ""), CHAR(9), ""), CHAR(10), ""), CHAR(13), ""), CHAR(32), "")</f>
        <v/>
      </c>
      <c r="C490">
        <f>INDEX(Реестр!$H:$H, ROW())</f>
        <v/>
      </c>
      <c r="D490">
        <f>IF(OR(ISBLANK(INDEX(Реестр!$B:$B, ROW())), INDEX(Реестр!$B:$B, ROW())=""), " ", IF(IFERROR(ISNUMBER(--A490),FALSE), IF(LEN(A490)=10, IF(MOD(MOD(H490,11),10)=--RIGHT(A490,1), "OK", "ОШИБКА"), IF(LEN(A490)=12, IF(AND(MOD(MOD(H490,11),10)=--MID(A490,11,1), MOD(MOD(I490,11),10)=--RIGHT(A490,1)), "OK", "ОШИБКА"), "ДЛИНА (10 или 12)")), "НЕ ЦИФРЫ"))</f>
        <v/>
      </c>
      <c r="E490">
        <f>MID(B490,1,1)*9+MID(B490,2,1)*8+MID(B490,3,1)*7+MID(B490,4,1)*6+MID(B490,5,1)*5+MID(B490,6,1)*4+MID(B490,7,1)*3+MID(B490,8,1)*2+MID(B490,9,1)</f>
        <v/>
      </c>
      <c r="F490">
        <f>IF(B490="", " ", IF(LEN(B490)&lt;&gt;11, "ДЛИНА", IF(NOT(ISNUMBER(--B490)), "НЕ ЦИФРЫ", IF(LEFT(B490,9)*1&lt;=1001998, "OK", IF(RIGHT(B490,2)*1=IF(MOD(E490,101)&gt;=100,0,MOD(E490,101)),"OK","ОШИБКА")))))</f>
        <v/>
      </c>
      <c r="G4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0">
        <f>IF(LEN(TRIM(A490))=10, --MID(A490,1,1)*2+--MID(A490,2,1)*4+--MID(A490,3,1)*10+--MID(A490,4,1)*3+--MID(A490,5,1)*5+--MID(A490,6,1)*9+--MID(A490,7,1)*4+--MID(A490,8,1)*6+--MID(A490,9,1)*8, IF(LEN(TRIM(A490))=12, --MID(A490,1,1)*7+--MID(A490,2,1)*2+--MID(A490,3,1)*4+--MID(A490,4,1)*10+--MID(A490,5,1)*3+--MID(A490,6,1)*5+--MID(A490,7,1)*9+--MID(A490,8,1)*4+--MID(A490,9,1)*6+--MID(A490,10,1)*8, ""))</f>
        <v/>
      </c>
      <c r="I490">
        <f>IF(LEN(TRIM(A490))=12, --MID(A490,1,1)*3+--MID(A490,2,1)*7+--MID(A490,3,1)*2+--MID(A490,4,1)*4+--MID(A490,5,1)*10+--MID(A490,6,1)*3+--MID(A490,7,1)*5+--MID(A490,8,1)*9+--MID(A490,9,1)*4+--MID(A490,10,1)*6+--MID(A490,11,1)*8, "")</f>
        <v/>
      </c>
    </row>
    <row r="491">
      <c r="A491">
        <f>SUBSTITUTE(SUBSTITUTE(SUBSTITUTE(SUBSTITUTE(TRIM(INDEX(Реестр!$B:$B,ROW())),CHAR(160),""),CHAR(9),""),CHAR(10),""),CHAR(13),"")</f>
        <v/>
      </c>
      <c r="B491">
        <f>SUBSTITUTE(SUBSTITUTE(SUBSTITUTE(SUBSTITUTE(SUBSTITUTE(SUBSTITUTE(SUBSTITUTE(TRIM(INDEX(Реестр!$D:$D, ROW())), "-", ""), " ", ""), CHAR(160), ""), CHAR(9), ""), CHAR(10), ""), CHAR(13), ""), CHAR(32), "")</f>
        <v/>
      </c>
      <c r="C491">
        <f>INDEX(Реестр!$H:$H, ROW())</f>
        <v/>
      </c>
      <c r="D491">
        <f>IF(OR(ISBLANK(INDEX(Реестр!$B:$B, ROW())), INDEX(Реестр!$B:$B, ROW())=""), " ", IF(IFERROR(ISNUMBER(--A491),FALSE), IF(LEN(A491)=10, IF(MOD(MOD(H491,11),10)=--RIGHT(A491,1), "OK", "ОШИБКА"), IF(LEN(A491)=12, IF(AND(MOD(MOD(H491,11),10)=--MID(A491,11,1), MOD(MOD(I491,11),10)=--RIGHT(A491,1)), "OK", "ОШИБКА"), "ДЛИНА (10 или 12)")), "НЕ ЦИФРЫ"))</f>
        <v/>
      </c>
      <c r="E491">
        <f>MID(B491,1,1)*9+MID(B491,2,1)*8+MID(B491,3,1)*7+MID(B491,4,1)*6+MID(B491,5,1)*5+MID(B491,6,1)*4+MID(B491,7,1)*3+MID(B491,8,1)*2+MID(B491,9,1)</f>
        <v/>
      </c>
      <c r="F491">
        <f>IF(B491="", " ", IF(LEN(B491)&lt;&gt;11, "ДЛИНА", IF(NOT(ISNUMBER(--B491)), "НЕ ЦИФРЫ", IF(LEFT(B491,9)*1&lt;=1001998, "OK", IF(RIGHT(B491,2)*1=IF(MOD(E491,101)&gt;=100,0,MOD(E491,101)),"OK","ОШИБКА")))))</f>
        <v/>
      </c>
      <c r="G4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1">
        <f>IF(LEN(TRIM(A491))=10, --MID(A491,1,1)*2+--MID(A491,2,1)*4+--MID(A491,3,1)*10+--MID(A491,4,1)*3+--MID(A491,5,1)*5+--MID(A491,6,1)*9+--MID(A491,7,1)*4+--MID(A491,8,1)*6+--MID(A491,9,1)*8, IF(LEN(TRIM(A491))=12, --MID(A491,1,1)*7+--MID(A491,2,1)*2+--MID(A491,3,1)*4+--MID(A491,4,1)*10+--MID(A491,5,1)*3+--MID(A491,6,1)*5+--MID(A491,7,1)*9+--MID(A491,8,1)*4+--MID(A491,9,1)*6+--MID(A491,10,1)*8, ""))</f>
        <v/>
      </c>
      <c r="I491">
        <f>IF(LEN(TRIM(A491))=12, --MID(A491,1,1)*3+--MID(A491,2,1)*7+--MID(A491,3,1)*2+--MID(A491,4,1)*4+--MID(A491,5,1)*10+--MID(A491,6,1)*3+--MID(A491,7,1)*5+--MID(A491,8,1)*9+--MID(A491,9,1)*4+--MID(A491,10,1)*6+--MID(A491,11,1)*8, "")</f>
        <v/>
      </c>
    </row>
    <row r="492">
      <c r="A492">
        <f>SUBSTITUTE(SUBSTITUTE(SUBSTITUTE(SUBSTITUTE(TRIM(INDEX(Реестр!$B:$B,ROW())),CHAR(160),""),CHAR(9),""),CHAR(10),""),CHAR(13),"")</f>
        <v/>
      </c>
      <c r="B492">
        <f>SUBSTITUTE(SUBSTITUTE(SUBSTITUTE(SUBSTITUTE(SUBSTITUTE(SUBSTITUTE(SUBSTITUTE(TRIM(INDEX(Реестр!$D:$D, ROW())), "-", ""), " ", ""), CHAR(160), ""), CHAR(9), ""), CHAR(10), ""), CHAR(13), ""), CHAR(32), "")</f>
        <v/>
      </c>
      <c r="C492">
        <f>INDEX(Реестр!$H:$H, ROW())</f>
        <v/>
      </c>
      <c r="D492">
        <f>IF(OR(ISBLANK(INDEX(Реестр!$B:$B, ROW())), INDEX(Реестр!$B:$B, ROW())=""), " ", IF(IFERROR(ISNUMBER(--A492),FALSE), IF(LEN(A492)=10, IF(MOD(MOD(H492,11),10)=--RIGHT(A492,1), "OK", "ОШИБКА"), IF(LEN(A492)=12, IF(AND(MOD(MOD(H492,11),10)=--MID(A492,11,1), MOD(MOD(I492,11),10)=--RIGHT(A492,1)), "OK", "ОШИБКА"), "ДЛИНА (10 или 12)")), "НЕ ЦИФРЫ"))</f>
        <v/>
      </c>
      <c r="E492">
        <f>MID(B492,1,1)*9+MID(B492,2,1)*8+MID(B492,3,1)*7+MID(B492,4,1)*6+MID(B492,5,1)*5+MID(B492,6,1)*4+MID(B492,7,1)*3+MID(B492,8,1)*2+MID(B492,9,1)</f>
        <v/>
      </c>
      <c r="F492">
        <f>IF(B492="", " ", IF(LEN(B492)&lt;&gt;11, "ДЛИНА", IF(NOT(ISNUMBER(--B492)), "НЕ ЦИФРЫ", IF(LEFT(B492,9)*1&lt;=1001998, "OK", IF(RIGHT(B492,2)*1=IF(MOD(E492,101)&gt;=100,0,MOD(E492,101)),"OK","ОШИБКА")))))</f>
        <v/>
      </c>
      <c r="G4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2">
        <f>IF(LEN(TRIM(A492))=10, --MID(A492,1,1)*2+--MID(A492,2,1)*4+--MID(A492,3,1)*10+--MID(A492,4,1)*3+--MID(A492,5,1)*5+--MID(A492,6,1)*9+--MID(A492,7,1)*4+--MID(A492,8,1)*6+--MID(A492,9,1)*8, IF(LEN(TRIM(A492))=12, --MID(A492,1,1)*7+--MID(A492,2,1)*2+--MID(A492,3,1)*4+--MID(A492,4,1)*10+--MID(A492,5,1)*3+--MID(A492,6,1)*5+--MID(A492,7,1)*9+--MID(A492,8,1)*4+--MID(A492,9,1)*6+--MID(A492,10,1)*8, ""))</f>
        <v/>
      </c>
      <c r="I492">
        <f>IF(LEN(TRIM(A492))=12, --MID(A492,1,1)*3+--MID(A492,2,1)*7+--MID(A492,3,1)*2+--MID(A492,4,1)*4+--MID(A492,5,1)*10+--MID(A492,6,1)*3+--MID(A492,7,1)*5+--MID(A492,8,1)*9+--MID(A492,9,1)*4+--MID(A492,10,1)*6+--MID(A492,11,1)*8, "")</f>
        <v/>
      </c>
    </row>
    <row r="493">
      <c r="A493">
        <f>SUBSTITUTE(SUBSTITUTE(SUBSTITUTE(SUBSTITUTE(TRIM(INDEX(Реестр!$B:$B,ROW())),CHAR(160),""),CHAR(9),""),CHAR(10),""),CHAR(13),"")</f>
        <v/>
      </c>
      <c r="B493">
        <f>SUBSTITUTE(SUBSTITUTE(SUBSTITUTE(SUBSTITUTE(SUBSTITUTE(SUBSTITUTE(SUBSTITUTE(TRIM(INDEX(Реестр!$D:$D, ROW())), "-", ""), " ", ""), CHAR(160), ""), CHAR(9), ""), CHAR(10), ""), CHAR(13), ""), CHAR(32), "")</f>
        <v/>
      </c>
      <c r="C493">
        <f>INDEX(Реестр!$H:$H, ROW())</f>
        <v/>
      </c>
      <c r="D493">
        <f>IF(OR(ISBLANK(INDEX(Реестр!$B:$B, ROW())), INDEX(Реестр!$B:$B, ROW())=""), " ", IF(IFERROR(ISNUMBER(--A493),FALSE), IF(LEN(A493)=10, IF(MOD(MOD(H493,11),10)=--RIGHT(A493,1), "OK", "ОШИБКА"), IF(LEN(A493)=12, IF(AND(MOD(MOD(H493,11),10)=--MID(A493,11,1), MOD(MOD(I493,11),10)=--RIGHT(A493,1)), "OK", "ОШИБКА"), "ДЛИНА (10 или 12)")), "НЕ ЦИФРЫ"))</f>
        <v/>
      </c>
      <c r="E493">
        <f>MID(B493,1,1)*9+MID(B493,2,1)*8+MID(B493,3,1)*7+MID(B493,4,1)*6+MID(B493,5,1)*5+MID(B493,6,1)*4+MID(B493,7,1)*3+MID(B493,8,1)*2+MID(B493,9,1)</f>
        <v/>
      </c>
      <c r="F493">
        <f>IF(B493="", " ", IF(LEN(B493)&lt;&gt;11, "ДЛИНА", IF(NOT(ISNUMBER(--B493)), "НЕ ЦИФРЫ", IF(LEFT(B493,9)*1&lt;=1001998, "OK", IF(RIGHT(B493,2)*1=IF(MOD(E493,101)&gt;=100,0,MOD(E493,101)),"OK","ОШИБКА")))))</f>
        <v/>
      </c>
      <c r="G4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3">
        <f>IF(LEN(TRIM(A493))=10, --MID(A493,1,1)*2+--MID(A493,2,1)*4+--MID(A493,3,1)*10+--MID(A493,4,1)*3+--MID(A493,5,1)*5+--MID(A493,6,1)*9+--MID(A493,7,1)*4+--MID(A493,8,1)*6+--MID(A493,9,1)*8, IF(LEN(TRIM(A493))=12, --MID(A493,1,1)*7+--MID(A493,2,1)*2+--MID(A493,3,1)*4+--MID(A493,4,1)*10+--MID(A493,5,1)*3+--MID(A493,6,1)*5+--MID(A493,7,1)*9+--MID(A493,8,1)*4+--MID(A493,9,1)*6+--MID(A493,10,1)*8, ""))</f>
        <v/>
      </c>
      <c r="I493">
        <f>IF(LEN(TRIM(A493))=12, --MID(A493,1,1)*3+--MID(A493,2,1)*7+--MID(A493,3,1)*2+--MID(A493,4,1)*4+--MID(A493,5,1)*10+--MID(A493,6,1)*3+--MID(A493,7,1)*5+--MID(A493,8,1)*9+--MID(A493,9,1)*4+--MID(A493,10,1)*6+--MID(A493,11,1)*8, "")</f>
        <v/>
      </c>
    </row>
    <row r="494">
      <c r="A494">
        <f>SUBSTITUTE(SUBSTITUTE(SUBSTITUTE(SUBSTITUTE(TRIM(INDEX(Реестр!$B:$B,ROW())),CHAR(160),""),CHAR(9),""),CHAR(10),""),CHAR(13),"")</f>
        <v/>
      </c>
      <c r="B494">
        <f>SUBSTITUTE(SUBSTITUTE(SUBSTITUTE(SUBSTITUTE(SUBSTITUTE(SUBSTITUTE(SUBSTITUTE(TRIM(INDEX(Реестр!$D:$D, ROW())), "-", ""), " ", ""), CHAR(160), ""), CHAR(9), ""), CHAR(10), ""), CHAR(13), ""), CHAR(32), "")</f>
        <v/>
      </c>
      <c r="C494">
        <f>INDEX(Реестр!$H:$H, ROW())</f>
        <v/>
      </c>
      <c r="D494">
        <f>IF(OR(ISBLANK(INDEX(Реестр!$B:$B, ROW())), INDEX(Реестр!$B:$B, ROW())=""), " ", IF(IFERROR(ISNUMBER(--A494),FALSE), IF(LEN(A494)=10, IF(MOD(MOD(H494,11),10)=--RIGHT(A494,1), "OK", "ОШИБКА"), IF(LEN(A494)=12, IF(AND(MOD(MOD(H494,11),10)=--MID(A494,11,1), MOD(MOD(I494,11),10)=--RIGHT(A494,1)), "OK", "ОШИБКА"), "ДЛИНА (10 или 12)")), "НЕ ЦИФРЫ"))</f>
        <v/>
      </c>
      <c r="E494">
        <f>MID(B494,1,1)*9+MID(B494,2,1)*8+MID(B494,3,1)*7+MID(B494,4,1)*6+MID(B494,5,1)*5+MID(B494,6,1)*4+MID(B494,7,1)*3+MID(B494,8,1)*2+MID(B494,9,1)</f>
        <v/>
      </c>
      <c r="F494">
        <f>IF(B494="", " ", IF(LEN(B494)&lt;&gt;11, "ДЛИНА", IF(NOT(ISNUMBER(--B494)), "НЕ ЦИФРЫ", IF(LEFT(B494,9)*1&lt;=1001998, "OK", IF(RIGHT(B494,2)*1=IF(MOD(E494,101)&gt;=100,0,MOD(E494,101)),"OK","ОШИБКА")))))</f>
        <v/>
      </c>
      <c r="G4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4">
        <f>IF(LEN(TRIM(A494))=10, --MID(A494,1,1)*2+--MID(A494,2,1)*4+--MID(A494,3,1)*10+--MID(A494,4,1)*3+--MID(A494,5,1)*5+--MID(A494,6,1)*9+--MID(A494,7,1)*4+--MID(A494,8,1)*6+--MID(A494,9,1)*8, IF(LEN(TRIM(A494))=12, --MID(A494,1,1)*7+--MID(A494,2,1)*2+--MID(A494,3,1)*4+--MID(A494,4,1)*10+--MID(A494,5,1)*3+--MID(A494,6,1)*5+--MID(A494,7,1)*9+--MID(A494,8,1)*4+--MID(A494,9,1)*6+--MID(A494,10,1)*8, ""))</f>
        <v/>
      </c>
      <c r="I494">
        <f>IF(LEN(TRIM(A494))=12, --MID(A494,1,1)*3+--MID(A494,2,1)*7+--MID(A494,3,1)*2+--MID(A494,4,1)*4+--MID(A494,5,1)*10+--MID(A494,6,1)*3+--MID(A494,7,1)*5+--MID(A494,8,1)*9+--MID(A494,9,1)*4+--MID(A494,10,1)*6+--MID(A494,11,1)*8, "")</f>
        <v/>
      </c>
    </row>
    <row r="495">
      <c r="A495">
        <f>SUBSTITUTE(SUBSTITUTE(SUBSTITUTE(SUBSTITUTE(TRIM(INDEX(Реестр!$B:$B,ROW())),CHAR(160),""),CHAR(9),""),CHAR(10),""),CHAR(13),"")</f>
        <v/>
      </c>
      <c r="B495">
        <f>SUBSTITUTE(SUBSTITUTE(SUBSTITUTE(SUBSTITUTE(SUBSTITUTE(SUBSTITUTE(SUBSTITUTE(TRIM(INDEX(Реестр!$D:$D, ROW())), "-", ""), " ", ""), CHAR(160), ""), CHAR(9), ""), CHAR(10), ""), CHAR(13), ""), CHAR(32), "")</f>
        <v/>
      </c>
      <c r="C495">
        <f>INDEX(Реестр!$H:$H, ROW())</f>
        <v/>
      </c>
      <c r="D495">
        <f>IF(OR(ISBLANK(INDEX(Реестр!$B:$B, ROW())), INDEX(Реестр!$B:$B, ROW())=""), " ", IF(IFERROR(ISNUMBER(--A495),FALSE), IF(LEN(A495)=10, IF(MOD(MOD(H495,11),10)=--RIGHT(A495,1), "OK", "ОШИБКА"), IF(LEN(A495)=12, IF(AND(MOD(MOD(H495,11),10)=--MID(A495,11,1), MOD(MOD(I495,11),10)=--RIGHT(A495,1)), "OK", "ОШИБКА"), "ДЛИНА (10 или 12)")), "НЕ ЦИФРЫ"))</f>
        <v/>
      </c>
      <c r="E495">
        <f>MID(B495,1,1)*9+MID(B495,2,1)*8+MID(B495,3,1)*7+MID(B495,4,1)*6+MID(B495,5,1)*5+MID(B495,6,1)*4+MID(B495,7,1)*3+MID(B495,8,1)*2+MID(B495,9,1)</f>
        <v/>
      </c>
      <c r="F495">
        <f>IF(B495="", " ", IF(LEN(B495)&lt;&gt;11, "ДЛИНА", IF(NOT(ISNUMBER(--B495)), "НЕ ЦИФРЫ", IF(LEFT(B495,9)*1&lt;=1001998, "OK", IF(RIGHT(B495,2)*1=IF(MOD(E495,101)&gt;=100,0,MOD(E495,101)),"OK","ОШИБКА")))))</f>
        <v/>
      </c>
      <c r="G4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5">
        <f>IF(LEN(TRIM(A495))=10, --MID(A495,1,1)*2+--MID(A495,2,1)*4+--MID(A495,3,1)*10+--MID(A495,4,1)*3+--MID(A495,5,1)*5+--MID(A495,6,1)*9+--MID(A495,7,1)*4+--MID(A495,8,1)*6+--MID(A495,9,1)*8, IF(LEN(TRIM(A495))=12, --MID(A495,1,1)*7+--MID(A495,2,1)*2+--MID(A495,3,1)*4+--MID(A495,4,1)*10+--MID(A495,5,1)*3+--MID(A495,6,1)*5+--MID(A495,7,1)*9+--MID(A495,8,1)*4+--MID(A495,9,1)*6+--MID(A495,10,1)*8, ""))</f>
        <v/>
      </c>
      <c r="I495">
        <f>IF(LEN(TRIM(A495))=12, --MID(A495,1,1)*3+--MID(A495,2,1)*7+--MID(A495,3,1)*2+--MID(A495,4,1)*4+--MID(A495,5,1)*10+--MID(A495,6,1)*3+--MID(A495,7,1)*5+--MID(A495,8,1)*9+--MID(A495,9,1)*4+--MID(A495,10,1)*6+--MID(A495,11,1)*8, "")</f>
        <v/>
      </c>
    </row>
    <row r="496">
      <c r="A496">
        <f>SUBSTITUTE(SUBSTITUTE(SUBSTITUTE(SUBSTITUTE(TRIM(INDEX(Реестр!$B:$B,ROW())),CHAR(160),""),CHAR(9),""),CHAR(10),""),CHAR(13),"")</f>
        <v/>
      </c>
      <c r="B496">
        <f>SUBSTITUTE(SUBSTITUTE(SUBSTITUTE(SUBSTITUTE(SUBSTITUTE(SUBSTITUTE(SUBSTITUTE(TRIM(INDEX(Реестр!$D:$D, ROW())), "-", ""), " ", ""), CHAR(160), ""), CHAR(9), ""), CHAR(10), ""), CHAR(13), ""), CHAR(32), "")</f>
        <v/>
      </c>
      <c r="C496">
        <f>INDEX(Реестр!$H:$H, ROW())</f>
        <v/>
      </c>
      <c r="D496">
        <f>IF(OR(ISBLANK(INDEX(Реестр!$B:$B, ROW())), INDEX(Реестр!$B:$B, ROW())=""), " ", IF(IFERROR(ISNUMBER(--A496),FALSE), IF(LEN(A496)=10, IF(MOD(MOD(H496,11),10)=--RIGHT(A496,1), "OK", "ОШИБКА"), IF(LEN(A496)=12, IF(AND(MOD(MOD(H496,11),10)=--MID(A496,11,1), MOD(MOD(I496,11),10)=--RIGHT(A496,1)), "OK", "ОШИБКА"), "ДЛИНА (10 или 12)")), "НЕ ЦИФРЫ"))</f>
        <v/>
      </c>
      <c r="E496">
        <f>MID(B496,1,1)*9+MID(B496,2,1)*8+MID(B496,3,1)*7+MID(B496,4,1)*6+MID(B496,5,1)*5+MID(B496,6,1)*4+MID(B496,7,1)*3+MID(B496,8,1)*2+MID(B496,9,1)</f>
        <v/>
      </c>
      <c r="F496">
        <f>IF(B496="", " ", IF(LEN(B496)&lt;&gt;11, "ДЛИНА", IF(NOT(ISNUMBER(--B496)), "НЕ ЦИФРЫ", IF(LEFT(B496,9)*1&lt;=1001998, "OK", IF(RIGHT(B496,2)*1=IF(MOD(E496,101)&gt;=100,0,MOD(E496,101)),"OK","ОШИБКА")))))</f>
        <v/>
      </c>
      <c r="G4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6">
        <f>IF(LEN(TRIM(A496))=10, --MID(A496,1,1)*2+--MID(A496,2,1)*4+--MID(A496,3,1)*10+--MID(A496,4,1)*3+--MID(A496,5,1)*5+--MID(A496,6,1)*9+--MID(A496,7,1)*4+--MID(A496,8,1)*6+--MID(A496,9,1)*8, IF(LEN(TRIM(A496))=12, --MID(A496,1,1)*7+--MID(A496,2,1)*2+--MID(A496,3,1)*4+--MID(A496,4,1)*10+--MID(A496,5,1)*3+--MID(A496,6,1)*5+--MID(A496,7,1)*9+--MID(A496,8,1)*4+--MID(A496,9,1)*6+--MID(A496,10,1)*8, ""))</f>
        <v/>
      </c>
      <c r="I496">
        <f>IF(LEN(TRIM(A496))=12, --MID(A496,1,1)*3+--MID(A496,2,1)*7+--MID(A496,3,1)*2+--MID(A496,4,1)*4+--MID(A496,5,1)*10+--MID(A496,6,1)*3+--MID(A496,7,1)*5+--MID(A496,8,1)*9+--MID(A496,9,1)*4+--MID(A496,10,1)*6+--MID(A496,11,1)*8, "")</f>
        <v/>
      </c>
    </row>
    <row r="497">
      <c r="A497">
        <f>SUBSTITUTE(SUBSTITUTE(SUBSTITUTE(SUBSTITUTE(TRIM(INDEX(Реестр!$B:$B,ROW())),CHAR(160),""),CHAR(9),""),CHAR(10),""),CHAR(13),"")</f>
        <v/>
      </c>
      <c r="B497">
        <f>SUBSTITUTE(SUBSTITUTE(SUBSTITUTE(SUBSTITUTE(SUBSTITUTE(SUBSTITUTE(SUBSTITUTE(TRIM(INDEX(Реестр!$D:$D, ROW())), "-", ""), " ", ""), CHAR(160), ""), CHAR(9), ""), CHAR(10), ""), CHAR(13), ""), CHAR(32), "")</f>
        <v/>
      </c>
      <c r="C497">
        <f>INDEX(Реестр!$H:$H, ROW())</f>
        <v/>
      </c>
      <c r="D497">
        <f>IF(OR(ISBLANK(INDEX(Реестр!$B:$B, ROW())), INDEX(Реестр!$B:$B, ROW())=""), " ", IF(IFERROR(ISNUMBER(--A497),FALSE), IF(LEN(A497)=10, IF(MOD(MOD(H497,11),10)=--RIGHT(A497,1), "OK", "ОШИБКА"), IF(LEN(A497)=12, IF(AND(MOD(MOD(H497,11),10)=--MID(A497,11,1), MOD(MOD(I497,11),10)=--RIGHT(A497,1)), "OK", "ОШИБКА"), "ДЛИНА (10 или 12)")), "НЕ ЦИФРЫ"))</f>
        <v/>
      </c>
      <c r="E497">
        <f>MID(B497,1,1)*9+MID(B497,2,1)*8+MID(B497,3,1)*7+MID(B497,4,1)*6+MID(B497,5,1)*5+MID(B497,6,1)*4+MID(B497,7,1)*3+MID(B497,8,1)*2+MID(B497,9,1)</f>
        <v/>
      </c>
      <c r="F497">
        <f>IF(B497="", " ", IF(LEN(B497)&lt;&gt;11, "ДЛИНА", IF(NOT(ISNUMBER(--B497)), "НЕ ЦИФРЫ", IF(LEFT(B497,9)*1&lt;=1001998, "OK", IF(RIGHT(B497,2)*1=IF(MOD(E497,101)&gt;=100,0,MOD(E497,101)),"OK","ОШИБКА")))))</f>
        <v/>
      </c>
      <c r="G4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7">
        <f>IF(LEN(TRIM(A497))=10, --MID(A497,1,1)*2+--MID(A497,2,1)*4+--MID(A497,3,1)*10+--MID(A497,4,1)*3+--MID(A497,5,1)*5+--MID(A497,6,1)*9+--MID(A497,7,1)*4+--MID(A497,8,1)*6+--MID(A497,9,1)*8, IF(LEN(TRIM(A497))=12, --MID(A497,1,1)*7+--MID(A497,2,1)*2+--MID(A497,3,1)*4+--MID(A497,4,1)*10+--MID(A497,5,1)*3+--MID(A497,6,1)*5+--MID(A497,7,1)*9+--MID(A497,8,1)*4+--MID(A497,9,1)*6+--MID(A497,10,1)*8, ""))</f>
        <v/>
      </c>
      <c r="I497">
        <f>IF(LEN(TRIM(A497))=12, --MID(A497,1,1)*3+--MID(A497,2,1)*7+--MID(A497,3,1)*2+--MID(A497,4,1)*4+--MID(A497,5,1)*10+--MID(A497,6,1)*3+--MID(A497,7,1)*5+--MID(A497,8,1)*9+--MID(A497,9,1)*4+--MID(A497,10,1)*6+--MID(A497,11,1)*8, "")</f>
        <v/>
      </c>
    </row>
    <row r="498">
      <c r="A498">
        <f>SUBSTITUTE(SUBSTITUTE(SUBSTITUTE(SUBSTITUTE(TRIM(INDEX(Реестр!$B:$B,ROW())),CHAR(160),""),CHAR(9),""),CHAR(10),""),CHAR(13),"")</f>
        <v/>
      </c>
      <c r="B498">
        <f>SUBSTITUTE(SUBSTITUTE(SUBSTITUTE(SUBSTITUTE(SUBSTITUTE(SUBSTITUTE(SUBSTITUTE(TRIM(INDEX(Реестр!$D:$D, ROW())), "-", ""), " ", ""), CHAR(160), ""), CHAR(9), ""), CHAR(10), ""), CHAR(13), ""), CHAR(32), "")</f>
        <v/>
      </c>
      <c r="C498">
        <f>INDEX(Реестр!$H:$H, ROW())</f>
        <v/>
      </c>
      <c r="D498">
        <f>IF(OR(ISBLANK(INDEX(Реестр!$B:$B, ROW())), INDEX(Реестр!$B:$B, ROW())=""), " ", IF(IFERROR(ISNUMBER(--A498),FALSE), IF(LEN(A498)=10, IF(MOD(MOD(H498,11),10)=--RIGHT(A498,1), "OK", "ОШИБКА"), IF(LEN(A498)=12, IF(AND(MOD(MOD(H498,11),10)=--MID(A498,11,1), MOD(MOD(I498,11),10)=--RIGHT(A498,1)), "OK", "ОШИБКА"), "ДЛИНА (10 или 12)")), "НЕ ЦИФРЫ"))</f>
        <v/>
      </c>
      <c r="E498">
        <f>MID(B498,1,1)*9+MID(B498,2,1)*8+MID(B498,3,1)*7+MID(B498,4,1)*6+MID(B498,5,1)*5+MID(B498,6,1)*4+MID(B498,7,1)*3+MID(B498,8,1)*2+MID(B498,9,1)</f>
        <v/>
      </c>
      <c r="F498">
        <f>IF(B498="", " ", IF(LEN(B498)&lt;&gt;11, "ДЛИНА", IF(NOT(ISNUMBER(--B498)), "НЕ ЦИФРЫ", IF(LEFT(B498,9)*1&lt;=1001998, "OK", IF(RIGHT(B498,2)*1=IF(MOD(E498,101)&gt;=100,0,MOD(E498,101)),"OK","ОШИБКА")))))</f>
        <v/>
      </c>
      <c r="G4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8">
        <f>IF(LEN(TRIM(A498))=10, --MID(A498,1,1)*2+--MID(A498,2,1)*4+--MID(A498,3,1)*10+--MID(A498,4,1)*3+--MID(A498,5,1)*5+--MID(A498,6,1)*9+--MID(A498,7,1)*4+--MID(A498,8,1)*6+--MID(A498,9,1)*8, IF(LEN(TRIM(A498))=12, --MID(A498,1,1)*7+--MID(A498,2,1)*2+--MID(A498,3,1)*4+--MID(A498,4,1)*10+--MID(A498,5,1)*3+--MID(A498,6,1)*5+--MID(A498,7,1)*9+--MID(A498,8,1)*4+--MID(A498,9,1)*6+--MID(A498,10,1)*8, ""))</f>
        <v/>
      </c>
      <c r="I498">
        <f>IF(LEN(TRIM(A498))=12, --MID(A498,1,1)*3+--MID(A498,2,1)*7+--MID(A498,3,1)*2+--MID(A498,4,1)*4+--MID(A498,5,1)*10+--MID(A498,6,1)*3+--MID(A498,7,1)*5+--MID(A498,8,1)*9+--MID(A498,9,1)*4+--MID(A498,10,1)*6+--MID(A498,11,1)*8, "")</f>
        <v/>
      </c>
    </row>
    <row r="499">
      <c r="A499">
        <f>SUBSTITUTE(SUBSTITUTE(SUBSTITUTE(SUBSTITUTE(TRIM(INDEX(Реестр!$B:$B,ROW())),CHAR(160),""),CHAR(9),""),CHAR(10),""),CHAR(13),"")</f>
        <v/>
      </c>
      <c r="B499">
        <f>SUBSTITUTE(SUBSTITUTE(SUBSTITUTE(SUBSTITUTE(SUBSTITUTE(SUBSTITUTE(SUBSTITUTE(TRIM(INDEX(Реестр!$D:$D, ROW())), "-", ""), " ", ""), CHAR(160), ""), CHAR(9), ""), CHAR(10), ""), CHAR(13), ""), CHAR(32), "")</f>
        <v/>
      </c>
      <c r="C499">
        <f>INDEX(Реестр!$H:$H, ROW())</f>
        <v/>
      </c>
      <c r="D499">
        <f>IF(OR(ISBLANK(INDEX(Реестр!$B:$B, ROW())), INDEX(Реестр!$B:$B, ROW())=""), " ", IF(IFERROR(ISNUMBER(--A499),FALSE), IF(LEN(A499)=10, IF(MOD(MOD(H499,11),10)=--RIGHT(A499,1), "OK", "ОШИБКА"), IF(LEN(A499)=12, IF(AND(MOD(MOD(H499,11),10)=--MID(A499,11,1), MOD(MOD(I499,11),10)=--RIGHT(A499,1)), "OK", "ОШИБКА"), "ДЛИНА (10 или 12)")), "НЕ ЦИФРЫ"))</f>
        <v/>
      </c>
      <c r="E499">
        <f>MID(B499,1,1)*9+MID(B499,2,1)*8+MID(B499,3,1)*7+MID(B499,4,1)*6+MID(B499,5,1)*5+MID(B499,6,1)*4+MID(B499,7,1)*3+MID(B499,8,1)*2+MID(B499,9,1)</f>
        <v/>
      </c>
      <c r="F499">
        <f>IF(B499="", " ", IF(LEN(B499)&lt;&gt;11, "ДЛИНА", IF(NOT(ISNUMBER(--B499)), "НЕ ЦИФРЫ", IF(LEFT(B499,9)*1&lt;=1001998, "OK", IF(RIGHT(B499,2)*1=IF(MOD(E499,101)&gt;=100,0,MOD(E499,101)),"OK","ОШИБКА")))))</f>
        <v/>
      </c>
      <c r="G4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499">
        <f>IF(LEN(TRIM(A499))=10, --MID(A499,1,1)*2+--MID(A499,2,1)*4+--MID(A499,3,1)*10+--MID(A499,4,1)*3+--MID(A499,5,1)*5+--MID(A499,6,1)*9+--MID(A499,7,1)*4+--MID(A499,8,1)*6+--MID(A499,9,1)*8, IF(LEN(TRIM(A499))=12, --MID(A499,1,1)*7+--MID(A499,2,1)*2+--MID(A499,3,1)*4+--MID(A499,4,1)*10+--MID(A499,5,1)*3+--MID(A499,6,1)*5+--MID(A499,7,1)*9+--MID(A499,8,1)*4+--MID(A499,9,1)*6+--MID(A499,10,1)*8, ""))</f>
        <v/>
      </c>
      <c r="I499">
        <f>IF(LEN(TRIM(A499))=12, --MID(A499,1,1)*3+--MID(A499,2,1)*7+--MID(A499,3,1)*2+--MID(A499,4,1)*4+--MID(A499,5,1)*10+--MID(A499,6,1)*3+--MID(A499,7,1)*5+--MID(A499,8,1)*9+--MID(A499,9,1)*4+--MID(A499,10,1)*6+--MID(A499,11,1)*8, "")</f>
        <v/>
      </c>
    </row>
    <row r="500">
      <c r="A500">
        <f>SUBSTITUTE(SUBSTITUTE(SUBSTITUTE(SUBSTITUTE(TRIM(INDEX(Реестр!$B:$B,ROW())),CHAR(160),""),CHAR(9),""),CHAR(10),""),CHAR(13),"")</f>
        <v/>
      </c>
      <c r="B500">
        <f>SUBSTITUTE(SUBSTITUTE(SUBSTITUTE(SUBSTITUTE(SUBSTITUTE(SUBSTITUTE(SUBSTITUTE(TRIM(INDEX(Реестр!$D:$D, ROW())), "-", ""), " ", ""), CHAR(160), ""), CHAR(9), ""), CHAR(10), ""), CHAR(13), ""), CHAR(32), "")</f>
        <v/>
      </c>
      <c r="C500">
        <f>INDEX(Реестр!$H:$H, ROW())</f>
        <v/>
      </c>
      <c r="D500">
        <f>IF(OR(ISBLANK(INDEX(Реестр!$B:$B, ROW())), INDEX(Реестр!$B:$B, ROW())=""), " ", IF(IFERROR(ISNUMBER(--A500),FALSE), IF(LEN(A500)=10, IF(MOD(MOD(H500,11),10)=--RIGHT(A500,1), "OK", "ОШИБКА"), IF(LEN(A500)=12, IF(AND(MOD(MOD(H500,11),10)=--MID(A500,11,1), MOD(MOD(I500,11),10)=--RIGHT(A500,1)), "OK", "ОШИБКА"), "ДЛИНА (10 или 12)")), "НЕ ЦИФРЫ"))</f>
        <v/>
      </c>
      <c r="E500">
        <f>MID(B500,1,1)*9+MID(B500,2,1)*8+MID(B500,3,1)*7+MID(B500,4,1)*6+MID(B500,5,1)*5+MID(B500,6,1)*4+MID(B500,7,1)*3+MID(B500,8,1)*2+MID(B500,9,1)</f>
        <v/>
      </c>
      <c r="F500">
        <f>IF(B500="", " ", IF(LEN(B500)&lt;&gt;11, "ДЛИНА", IF(NOT(ISNUMBER(--B500)), "НЕ ЦИФРЫ", IF(LEFT(B500,9)*1&lt;=1001998, "OK", IF(RIGHT(B500,2)*1=IF(MOD(E500,101)&gt;=100,0,MOD(E500,101)),"OK","ОШИБКА")))))</f>
        <v/>
      </c>
      <c r="G5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0">
        <f>IF(LEN(TRIM(A500))=10, --MID(A500,1,1)*2+--MID(A500,2,1)*4+--MID(A500,3,1)*10+--MID(A500,4,1)*3+--MID(A500,5,1)*5+--MID(A500,6,1)*9+--MID(A500,7,1)*4+--MID(A500,8,1)*6+--MID(A500,9,1)*8, IF(LEN(TRIM(A500))=12, --MID(A500,1,1)*7+--MID(A500,2,1)*2+--MID(A500,3,1)*4+--MID(A500,4,1)*10+--MID(A500,5,1)*3+--MID(A500,6,1)*5+--MID(A500,7,1)*9+--MID(A500,8,1)*4+--MID(A500,9,1)*6+--MID(A500,10,1)*8, ""))</f>
        <v/>
      </c>
      <c r="I500">
        <f>IF(LEN(TRIM(A500))=12, --MID(A500,1,1)*3+--MID(A500,2,1)*7+--MID(A500,3,1)*2+--MID(A500,4,1)*4+--MID(A500,5,1)*10+--MID(A500,6,1)*3+--MID(A500,7,1)*5+--MID(A500,8,1)*9+--MID(A500,9,1)*4+--MID(A500,10,1)*6+--MID(A500,11,1)*8, "")</f>
        <v/>
      </c>
    </row>
    <row r="501">
      <c r="A501">
        <f>SUBSTITUTE(SUBSTITUTE(SUBSTITUTE(SUBSTITUTE(TRIM(INDEX(Реестр!$B:$B,ROW())),CHAR(160),""),CHAR(9),""),CHAR(10),""),CHAR(13),"")</f>
        <v/>
      </c>
      <c r="B501">
        <f>SUBSTITUTE(SUBSTITUTE(SUBSTITUTE(SUBSTITUTE(SUBSTITUTE(SUBSTITUTE(SUBSTITUTE(TRIM(INDEX(Реестр!$D:$D, ROW())), "-", ""), " ", ""), CHAR(160), ""), CHAR(9), ""), CHAR(10), ""), CHAR(13), ""), CHAR(32), "")</f>
        <v/>
      </c>
      <c r="C501">
        <f>INDEX(Реестр!$H:$H, ROW())</f>
        <v/>
      </c>
      <c r="D501">
        <f>IF(OR(ISBLANK(INDEX(Реестр!$B:$B, ROW())), INDEX(Реестр!$B:$B, ROW())=""), " ", IF(IFERROR(ISNUMBER(--A501),FALSE), IF(LEN(A501)=10, IF(MOD(MOD(H501,11),10)=--RIGHT(A501,1), "OK", "ОШИБКА"), IF(LEN(A501)=12, IF(AND(MOD(MOD(H501,11),10)=--MID(A501,11,1), MOD(MOD(I501,11),10)=--RIGHT(A501,1)), "OK", "ОШИБКА"), "ДЛИНА (10 или 12)")), "НЕ ЦИФРЫ"))</f>
        <v/>
      </c>
      <c r="E501">
        <f>MID(B501,1,1)*9+MID(B501,2,1)*8+MID(B501,3,1)*7+MID(B501,4,1)*6+MID(B501,5,1)*5+MID(B501,6,1)*4+MID(B501,7,1)*3+MID(B501,8,1)*2+MID(B501,9,1)</f>
        <v/>
      </c>
      <c r="F501">
        <f>IF(B501="", " ", IF(LEN(B501)&lt;&gt;11, "ДЛИНА", IF(NOT(ISNUMBER(--B501)), "НЕ ЦИФРЫ", IF(LEFT(B501,9)*1&lt;=1001998, "OK", IF(RIGHT(B501,2)*1=IF(MOD(E501,101)&gt;=100,0,MOD(E501,101)),"OK","ОШИБКА")))))</f>
        <v/>
      </c>
      <c r="G5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1">
        <f>IF(LEN(TRIM(A501))=10, --MID(A501,1,1)*2+--MID(A501,2,1)*4+--MID(A501,3,1)*10+--MID(A501,4,1)*3+--MID(A501,5,1)*5+--MID(A501,6,1)*9+--MID(A501,7,1)*4+--MID(A501,8,1)*6+--MID(A501,9,1)*8, IF(LEN(TRIM(A501))=12, --MID(A501,1,1)*7+--MID(A501,2,1)*2+--MID(A501,3,1)*4+--MID(A501,4,1)*10+--MID(A501,5,1)*3+--MID(A501,6,1)*5+--MID(A501,7,1)*9+--MID(A501,8,1)*4+--MID(A501,9,1)*6+--MID(A501,10,1)*8, ""))</f>
        <v/>
      </c>
      <c r="I501">
        <f>IF(LEN(TRIM(A501))=12, --MID(A501,1,1)*3+--MID(A501,2,1)*7+--MID(A501,3,1)*2+--MID(A501,4,1)*4+--MID(A501,5,1)*10+--MID(A501,6,1)*3+--MID(A501,7,1)*5+--MID(A501,8,1)*9+--MID(A501,9,1)*4+--MID(A501,10,1)*6+--MID(A501,11,1)*8, "")</f>
        <v/>
      </c>
    </row>
    <row r="502">
      <c r="A502">
        <f>SUBSTITUTE(SUBSTITUTE(SUBSTITUTE(SUBSTITUTE(TRIM(INDEX(Реестр!$B:$B,ROW())),CHAR(160),""),CHAR(9),""),CHAR(10),""),CHAR(13),"")</f>
        <v/>
      </c>
      <c r="B502">
        <f>SUBSTITUTE(SUBSTITUTE(SUBSTITUTE(SUBSTITUTE(SUBSTITUTE(SUBSTITUTE(SUBSTITUTE(TRIM(INDEX(Реестр!$D:$D, ROW())), "-", ""), " ", ""), CHAR(160), ""), CHAR(9), ""), CHAR(10), ""), CHAR(13), ""), CHAR(32), "")</f>
        <v/>
      </c>
      <c r="C502">
        <f>INDEX(Реестр!$H:$H, ROW())</f>
        <v/>
      </c>
      <c r="D502">
        <f>IF(OR(ISBLANK(INDEX(Реестр!$B:$B, ROW())), INDEX(Реестр!$B:$B, ROW())=""), " ", IF(IFERROR(ISNUMBER(--A502),FALSE), IF(LEN(A502)=10, IF(MOD(MOD(H502,11),10)=--RIGHT(A502,1), "OK", "ОШИБКА"), IF(LEN(A502)=12, IF(AND(MOD(MOD(H502,11),10)=--MID(A502,11,1), MOD(MOD(I502,11),10)=--RIGHT(A502,1)), "OK", "ОШИБКА"), "ДЛИНА (10 или 12)")), "НЕ ЦИФРЫ"))</f>
        <v/>
      </c>
      <c r="E502">
        <f>MID(B502,1,1)*9+MID(B502,2,1)*8+MID(B502,3,1)*7+MID(B502,4,1)*6+MID(B502,5,1)*5+MID(B502,6,1)*4+MID(B502,7,1)*3+MID(B502,8,1)*2+MID(B502,9,1)</f>
        <v/>
      </c>
      <c r="F502">
        <f>IF(B502="", " ", IF(LEN(B502)&lt;&gt;11, "ДЛИНА", IF(NOT(ISNUMBER(--B502)), "НЕ ЦИФРЫ", IF(LEFT(B502,9)*1&lt;=1001998, "OK", IF(RIGHT(B502,2)*1=IF(MOD(E502,101)&gt;=100,0,MOD(E502,101)),"OK","ОШИБКА")))))</f>
        <v/>
      </c>
      <c r="G5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2">
        <f>IF(LEN(TRIM(A502))=10, --MID(A502,1,1)*2+--MID(A502,2,1)*4+--MID(A502,3,1)*10+--MID(A502,4,1)*3+--MID(A502,5,1)*5+--MID(A502,6,1)*9+--MID(A502,7,1)*4+--MID(A502,8,1)*6+--MID(A502,9,1)*8, IF(LEN(TRIM(A502))=12, --MID(A502,1,1)*7+--MID(A502,2,1)*2+--MID(A502,3,1)*4+--MID(A502,4,1)*10+--MID(A502,5,1)*3+--MID(A502,6,1)*5+--MID(A502,7,1)*9+--MID(A502,8,1)*4+--MID(A502,9,1)*6+--MID(A502,10,1)*8, ""))</f>
        <v/>
      </c>
      <c r="I502">
        <f>IF(LEN(TRIM(A502))=12, --MID(A502,1,1)*3+--MID(A502,2,1)*7+--MID(A502,3,1)*2+--MID(A502,4,1)*4+--MID(A502,5,1)*10+--MID(A502,6,1)*3+--MID(A502,7,1)*5+--MID(A502,8,1)*9+--MID(A502,9,1)*4+--MID(A502,10,1)*6+--MID(A502,11,1)*8, "")</f>
        <v/>
      </c>
    </row>
    <row r="503">
      <c r="A503">
        <f>SUBSTITUTE(SUBSTITUTE(SUBSTITUTE(SUBSTITUTE(TRIM(INDEX(Реестр!$B:$B,ROW())),CHAR(160),""),CHAR(9),""),CHAR(10),""),CHAR(13),"")</f>
        <v/>
      </c>
      <c r="B503">
        <f>SUBSTITUTE(SUBSTITUTE(SUBSTITUTE(SUBSTITUTE(SUBSTITUTE(SUBSTITUTE(SUBSTITUTE(TRIM(INDEX(Реестр!$D:$D, ROW())), "-", ""), " ", ""), CHAR(160), ""), CHAR(9), ""), CHAR(10), ""), CHAR(13), ""), CHAR(32), "")</f>
        <v/>
      </c>
      <c r="C503">
        <f>INDEX(Реестр!$H:$H, ROW())</f>
        <v/>
      </c>
      <c r="D503">
        <f>IF(OR(ISBLANK(INDEX(Реестр!$B:$B, ROW())), INDEX(Реестр!$B:$B, ROW())=""), " ", IF(IFERROR(ISNUMBER(--A503),FALSE), IF(LEN(A503)=10, IF(MOD(MOD(H503,11),10)=--RIGHT(A503,1), "OK", "ОШИБКА"), IF(LEN(A503)=12, IF(AND(MOD(MOD(H503,11),10)=--MID(A503,11,1), MOD(MOD(I503,11),10)=--RIGHT(A503,1)), "OK", "ОШИБКА"), "ДЛИНА (10 или 12)")), "НЕ ЦИФРЫ"))</f>
        <v/>
      </c>
      <c r="E503">
        <f>MID(B503,1,1)*9+MID(B503,2,1)*8+MID(B503,3,1)*7+MID(B503,4,1)*6+MID(B503,5,1)*5+MID(B503,6,1)*4+MID(B503,7,1)*3+MID(B503,8,1)*2+MID(B503,9,1)</f>
        <v/>
      </c>
      <c r="F503">
        <f>IF(B503="", " ", IF(LEN(B503)&lt;&gt;11, "ДЛИНА", IF(NOT(ISNUMBER(--B503)), "НЕ ЦИФРЫ", IF(LEFT(B503,9)*1&lt;=1001998, "OK", IF(RIGHT(B503,2)*1=IF(MOD(E503,101)&gt;=100,0,MOD(E503,101)),"OK","ОШИБКА")))))</f>
        <v/>
      </c>
      <c r="G5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3">
        <f>IF(LEN(TRIM(A503))=10, --MID(A503,1,1)*2+--MID(A503,2,1)*4+--MID(A503,3,1)*10+--MID(A503,4,1)*3+--MID(A503,5,1)*5+--MID(A503,6,1)*9+--MID(A503,7,1)*4+--MID(A503,8,1)*6+--MID(A503,9,1)*8, IF(LEN(TRIM(A503))=12, --MID(A503,1,1)*7+--MID(A503,2,1)*2+--MID(A503,3,1)*4+--MID(A503,4,1)*10+--MID(A503,5,1)*3+--MID(A503,6,1)*5+--MID(A503,7,1)*9+--MID(A503,8,1)*4+--MID(A503,9,1)*6+--MID(A503,10,1)*8, ""))</f>
        <v/>
      </c>
      <c r="I503">
        <f>IF(LEN(TRIM(A503))=12, --MID(A503,1,1)*3+--MID(A503,2,1)*7+--MID(A503,3,1)*2+--MID(A503,4,1)*4+--MID(A503,5,1)*10+--MID(A503,6,1)*3+--MID(A503,7,1)*5+--MID(A503,8,1)*9+--MID(A503,9,1)*4+--MID(A503,10,1)*6+--MID(A503,11,1)*8, "")</f>
        <v/>
      </c>
    </row>
    <row r="504">
      <c r="A504">
        <f>SUBSTITUTE(SUBSTITUTE(SUBSTITUTE(SUBSTITUTE(TRIM(INDEX(Реестр!$B:$B,ROW())),CHAR(160),""),CHAR(9),""),CHAR(10),""),CHAR(13),"")</f>
        <v/>
      </c>
      <c r="B504">
        <f>SUBSTITUTE(SUBSTITUTE(SUBSTITUTE(SUBSTITUTE(SUBSTITUTE(SUBSTITUTE(SUBSTITUTE(TRIM(INDEX(Реестр!$D:$D, ROW())), "-", ""), " ", ""), CHAR(160), ""), CHAR(9), ""), CHAR(10), ""), CHAR(13), ""), CHAR(32), "")</f>
        <v/>
      </c>
      <c r="C504">
        <f>INDEX(Реестр!$H:$H, ROW())</f>
        <v/>
      </c>
      <c r="D504">
        <f>IF(OR(ISBLANK(INDEX(Реестр!$B:$B, ROW())), INDEX(Реестр!$B:$B, ROW())=""), " ", IF(IFERROR(ISNUMBER(--A504),FALSE), IF(LEN(A504)=10, IF(MOD(MOD(H504,11),10)=--RIGHT(A504,1), "OK", "ОШИБКА"), IF(LEN(A504)=12, IF(AND(MOD(MOD(H504,11),10)=--MID(A504,11,1), MOD(MOD(I504,11),10)=--RIGHT(A504,1)), "OK", "ОШИБКА"), "ДЛИНА (10 или 12)")), "НЕ ЦИФРЫ"))</f>
        <v/>
      </c>
      <c r="E504">
        <f>MID(B504,1,1)*9+MID(B504,2,1)*8+MID(B504,3,1)*7+MID(B504,4,1)*6+MID(B504,5,1)*5+MID(B504,6,1)*4+MID(B504,7,1)*3+MID(B504,8,1)*2+MID(B504,9,1)</f>
        <v/>
      </c>
      <c r="F504">
        <f>IF(B504="", " ", IF(LEN(B504)&lt;&gt;11, "ДЛИНА", IF(NOT(ISNUMBER(--B504)), "НЕ ЦИФРЫ", IF(LEFT(B504,9)*1&lt;=1001998, "OK", IF(RIGHT(B504,2)*1=IF(MOD(E504,101)&gt;=100,0,MOD(E504,101)),"OK","ОШИБКА")))))</f>
        <v/>
      </c>
      <c r="G5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4">
        <f>IF(LEN(TRIM(A504))=10, --MID(A504,1,1)*2+--MID(A504,2,1)*4+--MID(A504,3,1)*10+--MID(A504,4,1)*3+--MID(A504,5,1)*5+--MID(A504,6,1)*9+--MID(A504,7,1)*4+--MID(A504,8,1)*6+--MID(A504,9,1)*8, IF(LEN(TRIM(A504))=12, --MID(A504,1,1)*7+--MID(A504,2,1)*2+--MID(A504,3,1)*4+--MID(A504,4,1)*10+--MID(A504,5,1)*3+--MID(A504,6,1)*5+--MID(A504,7,1)*9+--MID(A504,8,1)*4+--MID(A504,9,1)*6+--MID(A504,10,1)*8, ""))</f>
        <v/>
      </c>
      <c r="I504">
        <f>IF(LEN(TRIM(A504))=12, --MID(A504,1,1)*3+--MID(A504,2,1)*7+--MID(A504,3,1)*2+--MID(A504,4,1)*4+--MID(A504,5,1)*10+--MID(A504,6,1)*3+--MID(A504,7,1)*5+--MID(A504,8,1)*9+--MID(A504,9,1)*4+--MID(A504,10,1)*6+--MID(A504,11,1)*8, "")</f>
        <v/>
      </c>
    </row>
    <row r="505">
      <c r="A505">
        <f>SUBSTITUTE(SUBSTITUTE(SUBSTITUTE(SUBSTITUTE(TRIM(INDEX(Реестр!$B:$B,ROW())),CHAR(160),""),CHAR(9),""),CHAR(10),""),CHAR(13),"")</f>
        <v/>
      </c>
      <c r="B505">
        <f>SUBSTITUTE(SUBSTITUTE(SUBSTITUTE(SUBSTITUTE(SUBSTITUTE(SUBSTITUTE(SUBSTITUTE(TRIM(INDEX(Реестр!$D:$D, ROW())), "-", ""), " ", ""), CHAR(160), ""), CHAR(9), ""), CHAR(10), ""), CHAR(13), ""), CHAR(32), "")</f>
        <v/>
      </c>
      <c r="C505">
        <f>INDEX(Реестр!$H:$H, ROW())</f>
        <v/>
      </c>
      <c r="D505">
        <f>IF(OR(ISBLANK(INDEX(Реестр!$B:$B, ROW())), INDEX(Реестр!$B:$B, ROW())=""), " ", IF(IFERROR(ISNUMBER(--A505),FALSE), IF(LEN(A505)=10, IF(MOD(MOD(H505,11),10)=--RIGHT(A505,1), "OK", "ОШИБКА"), IF(LEN(A505)=12, IF(AND(MOD(MOD(H505,11),10)=--MID(A505,11,1), MOD(MOD(I505,11),10)=--RIGHT(A505,1)), "OK", "ОШИБКА"), "ДЛИНА (10 или 12)")), "НЕ ЦИФРЫ"))</f>
        <v/>
      </c>
      <c r="E505">
        <f>MID(B505,1,1)*9+MID(B505,2,1)*8+MID(B505,3,1)*7+MID(B505,4,1)*6+MID(B505,5,1)*5+MID(B505,6,1)*4+MID(B505,7,1)*3+MID(B505,8,1)*2+MID(B505,9,1)</f>
        <v/>
      </c>
      <c r="F505">
        <f>IF(B505="", " ", IF(LEN(B505)&lt;&gt;11, "ДЛИНА", IF(NOT(ISNUMBER(--B505)), "НЕ ЦИФРЫ", IF(LEFT(B505,9)*1&lt;=1001998, "OK", IF(RIGHT(B505,2)*1=IF(MOD(E505,101)&gt;=100,0,MOD(E505,101)),"OK","ОШИБКА")))))</f>
        <v/>
      </c>
      <c r="G5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5">
        <f>IF(LEN(TRIM(A505))=10, --MID(A505,1,1)*2+--MID(A505,2,1)*4+--MID(A505,3,1)*10+--MID(A505,4,1)*3+--MID(A505,5,1)*5+--MID(A505,6,1)*9+--MID(A505,7,1)*4+--MID(A505,8,1)*6+--MID(A505,9,1)*8, IF(LEN(TRIM(A505))=12, --MID(A505,1,1)*7+--MID(A505,2,1)*2+--MID(A505,3,1)*4+--MID(A505,4,1)*10+--MID(A505,5,1)*3+--MID(A505,6,1)*5+--MID(A505,7,1)*9+--MID(A505,8,1)*4+--MID(A505,9,1)*6+--MID(A505,10,1)*8, ""))</f>
        <v/>
      </c>
      <c r="I505">
        <f>IF(LEN(TRIM(A505))=12, --MID(A505,1,1)*3+--MID(A505,2,1)*7+--MID(A505,3,1)*2+--MID(A505,4,1)*4+--MID(A505,5,1)*10+--MID(A505,6,1)*3+--MID(A505,7,1)*5+--MID(A505,8,1)*9+--MID(A505,9,1)*4+--MID(A505,10,1)*6+--MID(A505,11,1)*8, "")</f>
        <v/>
      </c>
    </row>
    <row r="506">
      <c r="A506">
        <f>SUBSTITUTE(SUBSTITUTE(SUBSTITUTE(SUBSTITUTE(TRIM(INDEX(Реестр!$B:$B,ROW())),CHAR(160),""),CHAR(9),""),CHAR(10),""),CHAR(13),"")</f>
        <v/>
      </c>
      <c r="B506">
        <f>SUBSTITUTE(SUBSTITUTE(SUBSTITUTE(SUBSTITUTE(SUBSTITUTE(SUBSTITUTE(SUBSTITUTE(TRIM(INDEX(Реестр!$D:$D, ROW())), "-", ""), " ", ""), CHAR(160), ""), CHAR(9), ""), CHAR(10), ""), CHAR(13), ""), CHAR(32), "")</f>
        <v/>
      </c>
      <c r="C506">
        <f>INDEX(Реестр!$H:$H, ROW())</f>
        <v/>
      </c>
      <c r="D506">
        <f>IF(OR(ISBLANK(INDEX(Реестр!$B:$B, ROW())), INDEX(Реестр!$B:$B, ROW())=""), " ", IF(IFERROR(ISNUMBER(--A506),FALSE), IF(LEN(A506)=10, IF(MOD(MOD(H506,11),10)=--RIGHT(A506,1), "OK", "ОШИБКА"), IF(LEN(A506)=12, IF(AND(MOD(MOD(H506,11),10)=--MID(A506,11,1), MOD(MOD(I506,11),10)=--RIGHT(A506,1)), "OK", "ОШИБКА"), "ДЛИНА (10 или 12)")), "НЕ ЦИФРЫ"))</f>
        <v/>
      </c>
      <c r="E506">
        <f>MID(B506,1,1)*9+MID(B506,2,1)*8+MID(B506,3,1)*7+MID(B506,4,1)*6+MID(B506,5,1)*5+MID(B506,6,1)*4+MID(B506,7,1)*3+MID(B506,8,1)*2+MID(B506,9,1)</f>
        <v/>
      </c>
      <c r="F506">
        <f>IF(B506="", " ", IF(LEN(B506)&lt;&gt;11, "ДЛИНА", IF(NOT(ISNUMBER(--B506)), "НЕ ЦИФРЫ", IF(LEFT(B506,9)*1&lt;=1001998, "OK", IF(RIGHT(B506,2)*1=IF(MOD(E506,101)&gt;=100,0,MOD(E506,101)),"OK","ОШИБКА")))))</f>
        <v/>
      </c>
      <c r="G5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6">
        <f>IF(LEN(TRIM(A506))=10, --MID(A506,1,1)*2+--MID(A506,2,1)*4+--MID(A506,3,1)*10+--MID(A506,4,1)*3+--MID(A506,5,1)*5+--MID(A506,6,1)*9+--MID(A506,7,1)*4+--MID(A506,8,1)*6+--MID(A506,9,1)*8, IF(LEN(TRIM(A506))=12, --MID(A506,1,1)*7+--MID(A506,2,1)*2+--MID(A506,3,1)*4+--MID(A506,4,1)*10+--MID(A506,5,1)*3+--MID(A506,6,1)*5+--MID(A506,7,1)*9+--MID(A506,8,1)*4+--MID(A506,9,1)*6+--MID(A506,10,1)*8, ""))</f>
        <v/>
      </c>
      <c r="I506">
        <f>IF(LEN(TRIM(A506))=12, --MID(A506,1,1)*3+--MID(A506,2,1)*7+--MID(A506,3,1)*2+--MID(A506,4,1)*4+--MID(A506,5,1)*10+--MID(A506,6,1)*3+--MID(A506,7,1)*5+--MID(A506,8,1)*9+--MID(A506,9,1)*4+--MID(A506,10,1)*6+--MID(A506,11,1)*8, "")</f>
        <v/>
      </c>
    </row>
    <row r="507">
      <c r="A507">
        <f>SUBSTITUTE(SUBSTITUTE(SUBSTITUTE(SUBSTITUTE(TRIM(INDEX(Реестр!$B:$B,ROW())),CHAR(160),""),CHAR(9),""),CHAR(10),""),CHAR(13),"")</f>
        <v/>
      </c>
      <c r="B507">
        <f>SUBSTITUTE(SUBSTITUTE(SUBSTITUTE(SUBSTITUTE(SUBSTITUTE(SUBSTITUTE(SUBSTITUTE(TRIM(INDEX(Реестр!$D:$D, ROW())), "-", ""), " ", ""), CHAR(160), ""), CHAR(9), ""), CHAR(10), ""), CHAR(13), ""), CHAR(32), "")</f>
        <v/>
      </c>
      <c r="C507">
        <f>INDEX(Реестр!$H:$H, ROW())</f>
        <v/>
      </c>
      <c r="D507">
        <f>IF(OR(ISBLANK(INDEX(Реестр!$B:$B, ROW())), INDEX(Реестр!$B:$B, ROW())=""), " ", IF(IFERROR(ISNUMBER(--A507),FALSE), IF(LEN(A507)=10, IF(MOD(MOD(H507,11),10)=--RIGHT(A507,1), "OK", "ОШИБКА"), IF(LEN(A507)=12, IF(AND(MOD(MOD(H507,11),10)=--MID(A507,11,1), MOD(MOD(I507,11),10)=--RIGHT(A507,1)), "OK", "ОШИБКА"), "ДЛИНА (10 или 12)")), "НЕ ЦИФРЫ"))</f>
        <v/>
      </c>
      <c r="E507">
        <f>MID(B507,1,1)*9+MID(B507,2,1)*8+MID(B507,3,1)*7+MID(B507,4,1)*6+MID(B507,5,1)*5+MID(B507,6,1)*4+MID(B507,7,1)*3+MID(B507,8,1)*2+MID(B507,9,1)</f>
        <v/>
      </c>
      <c r="F507">
        <f>IF(B507="", " ", IF(LEN(B507)&lt;&gt;11, "ДЛИНА", IF(NOT(ISNUMBER(--B507)), "НЕ ЦИФРЫ", IF(LEFT(B507,9)*1&lt;=1001998, "OK", IF(RIGHT(B507,2)*1=IF(MOD(E507,101)&gt;=100,0,MOD(E507,101)),"OK","ОШИБКА")))))</f>
        <v/>
      </c>
      <c r="G5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7">
        <f>IF(LEN(TRIM(A507))=10, --MID(A507,1,1)*2+--MID(A507,2,1)*4+--MID(A507,3,1)*10+--MID(A507,4,1)*3+--MID(A507,5,1)*5+--MID(A507,6,1)*9+--MID(A507,7,1)*4+--MID(A507,8,1)*6+--MID(A507,9,1)*8, IF(LEN(TRIM(A507))=12, --MID(A507,1,1)*7+--MID(A507,2,1)*2+--MID(A507,3,1)*4+--MID(A507,4,1)*10+--MID(A507,5,1)*3+--MID(A507,6,1)*5+--MID(A507,7,1)*9+--MID(A507,8,1)*4+--MID(A507,9,1)*6+--MID(A507,10,1)*8, ""))</f>
        <v/>
      </c>
      <c r="I507">
        <f>IF(LEN(TRIM(A507))=12, --MID(A507,1,1)*3+--MID(A507,2,1)*7+--MID(A507,3,1)*2+--MID(A507,4,1)*4+--MID(A507,5,1)*10+--MID(A507,6,1)*3+--MID(A507,7,1)*5+--MID(A507,8,1)*9+--MID(A507,9,1)*4+--MID(A507,10,1)*6+--MID(A507,11,1)*8, "")</f>
        <v/>
      </c>
    </row>
    <row r="508">
      <c r="A508">
        <f>SUBSTITUTE(SUBSTITUTE(SUBSTITUTE(SUBSTITUTE(TRIM(INDEX(Реестр!$B:$B,ROW())),CHAR(160),""),CHAR(9),""),CHAR(10),""),CHAR(13),"")</f>
        <v/>
      </c>
      <c r="B508">
        <f>SUBSTITUTE(SUBSTITUTE(SUBSTITUTE(SUBSTITUTE(SUBSTITUTE(SUBSTITUTE(SUBSTITUTE(TRIM(INDEX(Реестр!$D:$D, ROW())), "-", ""), " ", ""), CHAR(160), ""), CHAR(9), ""), CHAR(10), ""), CHAR(13), ""), CHAR(32), "")</f>
        <v/>
      </c>
      <c r="C508">
        <f>INDEX(Реестр!$H:$H, ROW())</f>
        <v/>
      </c>
      <c r="D508">
        <f>IF(OR(ISBLANK(INDEX(Реестр!$B:$B, ROW())), INDEX(Реестр!$B:$B, ROW())=""), " ", IF(IFERROR(ISNUMBER(--A508),FALSE), IF(LEN(A508)=10, IF(MOD(MOD(H508,11),10)=--RIGHT(A508,1), "OK", "ОШИБКА"), IF(LEN(A508)=12, IF(AND(MOD(MOD(H508,11),10)=--MID(A508,11,1), MOD(MOD(I508,11),10)=--RIGHT(A508,1)), "OK", "ОШИБКА"), "ДЛИНА (10 или 12)")), "НЕ ЦИФРЫ"))</f>
        <v/>
      </c>
      <c r="E508">
        <f>MID(B508,1,1)*9+MID(B508,2,1)*8+MID(B508,3,1)*7+MID(B508,4,1)*6+MID(B508,5,1)*5+MID(B508,6,1)*4+MID(B508,7,1)*3+MID(B508,8,1)*2+MID(B508,9,1)</f>
        <v/>
      </c>
      <c r="F508">
        <f>IF(B508="", " ", IF(LEN(B508)&lt;&gt;11, "ДЛИНА", IF(NOT(ISNUMBER(--B508)), "НЕ ЦИФРЫ", IF(LEFT(B508,9)*1&lt;=1001998, "OK", IF(RIGHT(B508,2)*1=IF(MOD(E508,101)&gt;=100,0,MOD(E508,101)),"OK","ОШИБКА")))))</f>
        <v/>
      </c>
      <c r="G5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8">
        <f>IF(LEN(TRIM(A508))=10, --MID(A508,1,1)*2+--MID(A508,2,1)*4+--MID(A508,3,1)*10+--MID(A508,4,1)*3+--MID(A508,5,1)*5+--MID(A508,6,1)*9+--MID(A508,7,1)*4+--MID(A508,8,1)*6+--MID(A508,9,1)*8, IF(LEN(TRIM(A508))=12, --MID(A508,1,1)*7+--MID(A508,2,1)*2+--MID(A508,3,1)*4+--MID(A508,4,1)*10+--MID(A508,5,1)*3+--MID(A508,6,1)*5+--MID(A508,7,1)*9+--MID(A508,8,1)*4+--MID(A508,9,1)*6+--MID(A508,10,1)*8, ""))</f>
        <v/>
      </c>
      <c r="I508">
        <f>IF(LEN(TRIM(A508))=12, --MID(A508,1,1)*3+--MID(A508,2,1)*7+--MID(A508,3,1)*2+--MID(A508,4,1)*4+--MID(A508,5,1)*10+--MID(A508,6,1)*3+--MID(A508,7,1)*5+--MID(A508,8,1)*9+--MID(A508,9,1)*4+--MID(A508,10,1)*6+--MID(A508,11,1)*8, "")</f>
        <v/>
      </c>
    </row>
    <row r="509">
      <c r="A509">
        <f>SUBSTITUTE(SUBSTITUTE(SUBSTITUTE(SUBSTITUTE(TRIM(INDEX(Реестр!$B:$B,ROW())),CHAR(160),""),CHAR(9),""),CHAR(10),""),CHAR(13),"")</f>
        <v/>
      </c>
      <c r="B509">
        <f>SUBSTITUTE(SUBSTITUTE(SUBSTITUTE(SUBSTITUTE(SUBSTITUTE(SUBSTITUTE(SUBSTITUTE(TRIM(INDEX(Реестр!$D:$D, ROW())), "-", ""), " ", ""), CHAR(160), ""), CHAR(9), ""), CHAR(10), ""), CHAR(13), ""), CHAR(32), "")</f>
        <v/>
      </c>
      <c r="C509">
        <f>INDEX(Реестр!$H:$H, ROW())</f>
        <v/>
      </c>
      <c r="D509">
        <f>IF(OR(ISBLANK(INDEX(Реестр!$B:$B, ROW())), INDEX(Реестр!$B:$B, ROW())=""), " ", IF(IFERROR(ISNUMBER(--A509),FALSE), IF(LEN(A509)=10, IF(MOD(MOD(H509,11),10)=--RIGHT(A509,1), "OK", "ОШИБКА"), IF(LEN(A509)=12, IF(AND(MOD(MOD(H509,11),10)=--MID(A509,11,1), MOD(MOD(I509,11),10)=--RIGHT(A509,1)), "OK", "ОШИБКА"), "ДЛИНА (10 или 12)")), "НЕ ЦИФРЫ"))</f>
        <v/>
      </c>
      <c r="E509">
        <f>MID(B509,1,1)*9+MID(B509,2,1)*8+MID(B509,3,1)*7+MID(B509,4,1)*6+MID(B509,5,1)*5+MID(B509,6,1)*4+MID(B509,7,1)*3+MID(B509,8,1)*2+MID(B509,9,1)</f>
        <v/>
      </c>
      <c r="F509">
        <f>IF(B509="", " ", IF(LEN(B509)&lt;&gt;11, "ДЛИНА", IF(NOT(ISNUMBER(--B509)), "НЕ ЦИФРЫ", IF(LEFT(B509,9)*1&lt;=1001998, "OK", IF(RIGHT(B509,2)*1=IF(MOD(E509,101)&gt;=100,0,MOD(E509,101)),"OK","ОШИБКА")))))</f>
        <v/>
      </c>
      <c r="G5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09">
        <f>IF(LEN(TRIM(A509))=10, --MID(A509,1,1)*2+--MID(A509,2,1)*4+--MID(A509,3,1)*10+--MID(A509,4,1)*3+--MID(A509,5,1)*5+--MID(A509,6,1)*9+--MID(A509,7,1)*4+--MID(A509,8,1)*6+--MID(A509,9,1)*8, IF(LEN(TRIM(A509))=12, --MID(A509,1,1)*7+--MID(A509,2,1)*2+--MID(A509,3,1)*4+--MID(A509,4,1)*10+--MID(A509,5,1)*3+--MID(A509,6,1)*5+--MID(A509,7,1)*9+--MID(A509,8,1)*4+--MID(A509,9,1)*6+--MID(A509,10,1)*8, ""))</f>
        <v/>
      </c>
      <c r="I509">
        <f>IF(LEN(TRIM(A509))=12, --MID(A509,1,1)*3+--MID(A509,2,1)*7+--MID(A509,3,1)*2+--MID(A509,4,1)*4+--MID(A509,5,1)*10+--MID(A509,6,1)*3+--MID(A509,7,1)*5+--MID(A509,8,1)*9+--MID(A509,9,1)*4+--MID(A509,10,1)*6+--MID(A509,11,1)*8, "")</f>
        <v/>
      </c>
    </row>
    <row r="510">
      <c r="A510">
        <f>SUBSTITUTE(SUBSTITUTE(SUBSTITUTE(SUBSTITUTE(TRIM(INDEX(Реестр!$B:$B,ROW())),CHAR(160),""),CHAR(9),""),CHAR(10),""),CHAR(13),"")</f>
        <v/>
      </c>
      <c r="B510">
        <f>SUBSTITUTE(SUBSTITUTE(SUBSTITUTE(SUBSTITUTE(SUBSTITUTE(SUBSTITUTE(SUBSTITUTE(TRIM(INDEX(Реестр!$D:$D, ROW())), "-", ""), " ", ""), CHAR(160), ""), CHAR(9), ""), CHAR(10), ""), CHAR(13), ""), CHAR(32), "")</f>
        <v/>
      </c>
      <c r="C510">
        <f>INDEX(Реестр!$H:$H, ROW())</f>
        <v/>
      </c>
      <c r="D510">
        <f>IF(OR(ISBLANK(INDEX(Реестр!$B:$B, ROW())), INDEX(Реестр!$B:$B, ROW())=""), " ", IF(IFERROR(ISNUMBER(--A510),FALSE), IF(LEN(A510)=10, IF(MOD(MOD(H510,11),10)=--RIGHT(A510,1), "OK", "ОШИБКА"), IF(LEN(A510)=12, IF(AND(MOD(MOD(H510,11),10)=--MID(A510,11,1), MOD(MOD(I510,11),10)=--RIGHT(A510,1)), "OK", "ОШИБКА"), "ДЛИНА (10 или 12)")), "НЕ ЦИФРЫ"))</f>
        <v/>
      </c>
      <c r="E510">
        <f>MID(B510,1,1)*9+MID(B510,2,1)*8+MID(B510,3,1)*7+MID(B510,4,1)*6+MID(B510,5,1)*5+MID(B510,6,1)*4+MID(B510,7,1)*3+MID(B510,8,1)*2+MID(B510,9,1)</f>
        <v/>
      </c>
      <c r="F510">
        <f>IF(B510="", " ", IF(LEN(B510)&lt;&gt;11, "ДЛИНА", IF(NOT(ISNUMBER(--B510)), "НЕ ЦИФРЫ", IF(LEFT(B510,9)*1&lt;=1001998, "OK", IF(RIGHT(B510,2)*1=IF(MOD(E510,101)&gt;=100,0,MOD(E510,101)),"OK","ОШИБКА")))))</f>
        <v/>
      </c>
      <c r="G5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0">
        <f>IF(LEN(TRIM(A510))=10, --MID(A510,1,1)*2+--MID(A510,2,1)*4+--MID(A510,3,1)*10+--MID(A510,4,1)*3+--MID(A510,5,1)*5+--MID(A510,6,1)*9+--MID(A510,7,1)*4+--MID(A510,8,1)*6+--MID(A510,9,1)*8, IF(LEN(TRIM(A510))=12, --MID(A510,1,1)*7+--MID(A510,2,1)*2+--MID(A510,3,1)*4+--MID(A510,4,1)*10+--MID(A510,5,1)*3+--MID(A510,6,1)*5+--MID(A510,7,1)*9+--MID(A510,8,1)*4+--MID(A510,9,1)*6+--MID(A510,10,1)*8, ""))</f>
        <v/>
      </c>
      <c r="I510">
        <f>IF(LEN(TRIM(A510))=12, --MID(A510,1,1)*3+--MID(A510,2,1)*7+--MID(A510,3,1)*2+--MID(A510,4,1)*4+--MID(A510,5,1)*10+--MID(A510,6,1)*3+--MID(A510,7,1)*5+--MID(A510,8,1)*9+--MID(A510,9,1)*4+--MID(A510,10,1)*6+--MID(A510,11,1)*8, "")</f>
        <v/>
      </c>
    </row>
    <row r="511">
      <c r="A511">
        <f>SUBSTITUTE(SUBSTITUTE(SUBSTITUTE(SUBSTITUTE(TRIM(INDEX(Реестр!$B:$B,ROW())),CHAR(160),""),CHAR(9),""),CHAR(10),""),CHAR(13),"")</f>
        <v/>
      </c>
      <c r="B511">
        <f>SUBSTITUTE(SUBSTITUTE(SUBSTITUTE(SUBSTITUTE(SUBSTITUTE(SUBSTITUTE(SUBSTITUTE(TRIM(INDEX(Реестр!$D:$D, ROW())), "-", ""), " ", ""), CHAR(160), ""), CHAR(9), ""), CHAR(10), ""), CHAR(13), ""), CHAR(32), "")</f>
        <v/>
      </c>
      <c r="C511">
        <f>INDEX(Реестр!$H:$H, ROW())</f>
        <v/>
      </c>
      <c r="D511">
        <f>IF(OR(ISBLANK(INDEX(Реестр!$B:$B, ROW())), INDEX(Реестр!$B:$B, ROW())=""), " ", IF(IFERROR(ISNUMBER(--A511),FALSE), IF(LEN(A511)=10, IF(MOD(MOD(H511,11),10)=--RIGHT(A511,1), "OK", "ОШИБКА"), IF(LEN(A511)=12, IF(AND(MOD(MOD(H511,11),10)=--MID(A511,11,1), MOD(MOD(I511,11),10)=--RIGHT(A511,1)), "OK", "ОШИБКА"), "ДЛИНА (10 или 12)")), "НЕ ЦИФРЫ"))</f>
        <v/>
      </c>
      <c r="E511">
        <f>MID(B511,1,1)*9+MID(B511,2,1)*8+MID(B511,3,1)*7+MID(B511,4,1)*6+MID(B511,5,1)*5+MID(B511,6,1)*4+MID(B511,7,1)*3+MID(B511,8,1)*2+MID(B511,9,1)</f>
        <v/>
      </c>
      <c r="F511">
        <f>IF(B511="", " ", IF(LEN(B511)&lt;&gt;11, "ДЛИНА", IF(NOT(ISNUMBER(--B511)), "НЕ ЦИФРЫ", IF(LEFT(B511,9)*1&lt;=1001998, "OK", IF(RIGHT(B511,2)*1=IF(MOD(E511,101)&gt;=100,0,MOD(E511,101)),"OK","ОШИБКА")))))</f>
        <v/>
      </c>
      <c r="G5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1">
        <f>IF(LEN(TRIM(A511))=10, --MID(A511,1,1)*2+--MID(A511,2,1)*4+--MID(A511,3,1)*10+--MID(A511,4,1)*3+--MID(A511,5,1)*5+--MID(A511,6,1)*9+--MID(A511,7,1)*4+--MID(A511,8,1)*6+--MID(A511,9,1)*8, IF(LEN(TRIM(A511))=12, --MID(A511,1,1)*7+--MID(A511,2,1)*2+--MID(A511,3,1)*4+--MID(A511,4,1)*10+--MID(A511,5,1)*3+--MID(A511,6,1)*5+--MID(A511,7,1)*9+--MID(A511,8,1)*4+--MID(A511,9,1)*6+--MID(A511,10,1)*8, ""))</f>
        <v/>
      </c>
      <c r="I511">
        <f>IF(LEN(TRIM(A511))=12, --MID(A511,1,1)*3+--MID(A511,2,1)*7+--MID(A511,3,1)*2+--MID(A511,4,1)*4+--MID(A511,5,1)*10+--MID(A511,6,1)*3+--MID(A511,7,1)*5+--MID(A511,8,1)*9+--MID(A511,9,1)*4+--MID(A511,10,1)*6+--MID(A511,11,1)*8, "")</f>
        <v/>
      </c>
    </row>
    <row r="512">
      <c r="A512">
        <f>SUBSTITUTE(SUBSTITUTE(SUBSTITUTE(SUBSTITUTE(TRIM(INDEX(Реестр!$B:$B,ROW())),CHAR(160),""),CHAR(9),""),CHAR(10),""),CHAR(13),"")</f>
        <v/>
      </c>
      <c r="B512">
        <f>SUBSTITUTE(SUBSTITUTE(SUBSTITUTE(SUBSTITUTE(SUBSTITUTE(SUBSTITUTE(SUBSTITUTE(TRIM(INDEX(Реестр!$D:$D, ROW())), "-", ""), " ", ""), CHAR(160), ""), CHAR(9), ""), CHAR(10), ""), CHAR(13), ""), CHAR(32), "")</f>
        <v/>
      </c>
      <c r="C512">
        <f>INDEX(Реестр!$H:$H, ROW())</f>
        <v/>
      </c>
      <c r="D512">
        <f>IF(OR(ISBLANK(INDEX(Реестр!$B:$B, ROW())), INDEX(Реестр!$B:$B, ROW())=""), " ", IF(IFERROR(ISNUMBER(--A512),FALSE), IF(LEN(A512)=10, IF(MOD(MOD(H512,11),10)=--RIGHT(A512,1), "OK", "ОШИБКА"), IF(LEN(A512)=12, IF(AND(MOD(MOD(H512,11),10)=--MID(A512,11,1), MOD(MOD(I512,11),10)=--RIGHT(A512,1)), "OK", "ОШИБКА"), "ДЛИНА (10 или 12)")), "НЕ ЦИФРЫ"))</f>
        <v/>
      </c>
      <c r="E512">
        <f>MID(B512,1,1)*9+MID(B512,2,1)*8+MID(B512,3,1)*7+MID(B512,4,1)*6+MID(B512,5,1)*5+MID(B512,6,1)*4+MID(B512,7,1)*3+MID(B512,8,1)*2+MID(B512,9,1)</f>
        <v/>
      </c>
      <c r="F512">
        <f>IF(B512="", " ", IF(LEN(B512)&lt;&gt;11, "ДЛИНА", IF(NOT(ISNUMBER(--B512)), "НЕ ЦИФРЫ", IF(LEFT(B512,9)*1&lt;=1001998, "OK", IF(RIGHT(B512,2)*1=IF(MOD(E512,101)&gt;=100,0,MOD(E512,101)),"OK","ОШИБКА")))))</f>
        <v/>
      </c>
      <c r="G5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2">
        <f>IF(LEN(TRIM(A512))=10, --MID(A512,1,1)*2+--MID(A512,2,1)*4+--MID(A512,3,1)*10+--MID(A512,4,1)*3+--MID(A512,5,1)*5+--MID(A512,6,1)*9+--MID(A512,7,1)*4+--MID(A512,8,1)*6+--MID(A512,9,1)*8, IF(LEN(TRIM(A512))=12, --MID(A512,1,1)*7+--MID(A512,2,1)*2+--MID(A512,3,1)*4+--MID(A512,4,1)*10+--MID(A512,5,1)*3+--MID(A512,6,1)*5+--MID(A512,7,1)*9+--MID(A512,8,1)*4+--MID(A512,9,1)*6+--MID(A512,10,1)*8, ""))</f>
        <v/>
      </c>
      <c r="I512">
        <f>IF(LEN(TRIM(A512))=12, --MID(A512,1,1)*3+--MID(A512,2,1)*7+--MID(A512,3,1)*2+--MID(A512,4,1)*4+--MID(A512,5,1)*10+--MID(A512,6,1)*3+--MID(A512,7,1)*5+--MID(A512,8,1)*9+--MID(A512,9,1)*4+--MID(A512,10,1)*6+--MID(A512,11,1)*8, "")</f>
        <v/>
      </c>
    </row>
    <row r="513">
      <c r="A513">
        <f>SUBSTITUTE(SUBSTITUTE(SUBSTITUTE(SUBSTITUTE(TRIM(INDEX(Реестр!$B:$B,ROW())),CHAR(160),""),CHAR(9),""),CHAR(10),""),CHAR(13),"")</f>
        <v/>
      </c>
      <c r="B513">
        <f>SUBSTITUTE(SUBSTITUTE(SUBSTITUTE(SUBSTITUTE(SUBSTITUTE(SUBSTITUTE(SUBSTITUTE(TRIM(INDEX(Реестр!$D:$D, ROW())), "-", ""), " ", ""), CHAR(160), ""), CHAR(9), ""), CHAR(10), ""), CHAR(13), ""), CHAR(32), "")</f>
        <v/>
      </c>
      <c r="C513">
        <f>INDEX(Реестр!$H:$H, ROW())</f>
        <v/>
      </c>
      <c r="D513">
        <f>IF(OR(ISBLANK(INDEX(Реестр!$B:$B, ROW())), INDEX(Реестр!$B:$B, ROW())=""), " ", IF(IFERROR(ISNUMBER(--A513),FALSE), IF(LEN(A513)=10, IF(MOD(MOD(H513,11),10)=--RIGHT(A513,1), "OK", "ОШИБКА"), IF(LEN(A513)=12, IF(AND(MOD(MOD(H513,11),10)=--MID(A513,11,1), MOD(MOD(I513,11),10)=--RIGHT(A513,1)), "OK", "ОШИБКА"), "ДЛИНА (10 или 12)")), "НЕ ЦИФРЫ"))</f>
        <v/>
      </c>
      <c r="E513">
        <f>MID(B513,1,1)*9+MID(B513,2,1)*8+MID(B513,3,1)*7+MID(B513,4,1)*6+MID(B513,5,1)*5+MID(B513,6,1)*4+MID(B513,7,1)*3+MID(B513,8,1)*2+MID(B513,9,1)</f>
        <v/>
      </c>
      <c r="F513">
        <f>IF(B513="", " ", IF(LEN(B513)&lt;&gt;11, "ДЛИНА", IF(NOT(ISNUMBER(--B513)), "НЕ ЦИФРЫ", IF(LEFT(B513,9)*1&lt;=1001998, "OK", IF(RIGHT(B513,2)*1=IF(MOD(E513,101)&gt;=100,0,MOD(E513,101)),"OK","ОШИБКА")))))</f>
        <v/>
      </c>
      <c r="G5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3">
        <f>IF(LEN(TRIM(A513))=10, --MID(A513,1,1)*2+--MID(A513,2,1)*4+--MID(A513,3,1)*10+--MID(A513,4,1)*3+--MID(A513,5,1)*5+--MID(A513,6,1)*9+--MID(A513,7,1)*4+--MID(A513,8,1)*6+--MID(A513,9,1)*8, IF(LEN(TRIM(A513))=12, --MID(A513,1,1)*7+--MID(A513,2,1)*2+--MID(A513,3,1)*4+--MID(A513,4,1)*10+--MID(A513,5,1)*3+--MID(A513,6,1)*5+--MID(A513,7,1)*9+--MID(A513,8,1)*4+--MID(A513,9,1)*6+--MID(A513,10,1)*8, ""))</f>
        <v/>
      </c>
      <c r="I513">
        <f>IF(LEN(TRIM(A513))=12, --MID(A513,1,1)*3+--MID(A513,2,1)*7+--MID(A513,3,1)*2+--MID(A513,4,1)*4+--MID(A513,5,1)*10+--MID(A513,6,1)*3+--MID(A513,7,1)*5+--MID(A513,8,1)*9+--MID(A513,9,1)*4+--MID(A513,10,1)*6+--MID(A513,11,1)*8, "")</f>
        <v/>
      </c>
    </row>
    <row r="514">
      <c r="A514">
        <f>SUBSTITUTE(SUBSTITUTE(SUBSTITUTE(SUBSTITUTE(TRIM(INDEX(Реестр!$B:$B,ROW())),CHAR(160),""),CHAR(9),""),CHAR(10),""),CHAR(13),"")</f>
        <v/>
      </c>
      <c r="B514">
        <f>SUBSTITUTE(SUBSTITUTE(SUBSTITUTE(SUBSTITUTE(SUBSTITUTE(SUBSTITUTE(SUBSTITUTE(TRIM(INDEX(Реестр!$D:$D, ROW())), "-", ""), " ", ""), CHAR(160), ""), CHAR(9), ""), CHAR(10), ""), CHAR(13), ""), CHAR(32), "")</f>
        <v/>
      </c>
      <c r="C514">
        <f>INDEX(Реестр!$H:$H, ROW())</f>
        <v/>
      </c>
      <c r="D514">
        <f>IF(OR(ISBLANK(INDEX(Реестр!$B:$B, ROW())), INDEX(Реестр!$B:$B, ROW())=""), " ", IF(IFERROR(ISNUMBER(--A514),FALSE), IF(LEN(A514)=10, IF(MOD(MOD(H514,11),10)=--RIGHT(A514,1), "OK", "ОШИБКА"), IF(LEN(A514)=12, IF(AND(MOD(MOD(H514,11),10)=--MID(A514,11,1), MOD(MOD(I514,11),10)=--RIGHT(A514,1)), "OK", "ОШИБКА"), "ДЛИНА (10 или 12)")), "НЕ ЦИФРЫ"))</f>
        <v/>
      </c>
      <c r="E514">
        <f>MID(B514,1,1)*9+MID(B514,2,1)*8+MID(B514,3,1)*7+MID(B514,4,1)*6+MID(B514,5,1)*5+MID(B514,6,1)*4+MID(B514,7,1)*3+MID(B514,8,1)*2+MID(B514,9,1)</f>
        <v/>
      </c>
      <c r="F514">
        <f>IF(B514="", " ", IF(LEN(B514)&lt;&gt;11, "ДЛИНА", IF(NOT(ISNUMBER(--B514)), "НЕ ЦИФРЫ", IF(LEFT(B514,9)*1&lt;=1001998, "OK", IF(RIGHT(B514,2)*1=IF(MOD(E514,101)&gt;=100,0,MOD(E514,101)),"OK","ОШИБКА")))))</f>
        <v/>
      </c>
      <c r="G5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4">
        <f>IF(LEN(TRIM(A514))=10, --MID(A514,1,1)*2+--MID(A514,2,1)*4+--MID(A514,3,1)*10+--MID(A514,4,1)*3+--MID(A514,5,1)*5+--MID(A514,6,1)*9+--MID(A514,7,1)*4+--MID(A514,8,1)*6+--MID(A514,9,1)*8, IF(LEN(TRIM(A514))=12, --MID(A514,1,1)*7+--MID(A514,2,1)*2+--MID(A514,3,1)*4+--MID(A514,4,1)*10+--MID(A514,5,1)*3+--MID(A514,6,1)*5+--MID(A514,7,1)*9+--MID(A514,8,1)*4+--MID(A514,9,1)*6+--MID(A514,10,1)*8, ""))</f>
        <v/>
      </c>
      <c r="I514">
        <f>IF(LEN(TRIM(A514))=12, --MID(A514,1,1)*3+--MID(A514,2,1)*7+--MID(A514,3,1)*2+--MID(A514,4,1)*4+--MID(A514,5,1)*10+--MID(A514,6,1)*3+--MID(A514,7,1)*5+--MID(A514,8,1)*9+--MID(A514,9,1)*4+--MID(A514,10,1)*6+--MID(A514,11,1)*8, "")</f>
        <v/>
      </c>
    </row>
    <row r="515">
      <c r="A515">
        <f>SUBSTITUTE(SUBSTITUTE(SUBSTITUTE(SUBSTITUTE(TRIM(INDEX(Реестр!$B:$B,ROW())),CHAR(160),""),CHAR(9),""),CHAR(10),""),CHAR(13),"")</f>
        <v/>
      </c>
      <c r="B515">
        <f>SUBSTITUTE(SUBSTITUTE(SUBSTITUTE(SUBSTITUTE(SUBSTITUTE(SUBSTITUTE(SUBSTITUTE(TRIM(INDEX(Реестр!$D:$D, ROW())), "-", ""), " ", ""), CHAR(160), ""), CHAR(9), ""), CHAR(10), ""), CHAR(13), ""), CHAR(32), "")</f>
        <v/>
      </c>
      <c r="C515">
        <f>INDEX(Реестр!$H:$H, ROW())</f>
        <v/>
      </c>
      <c r="D515">
        <f>IF(OR(ISBLANK(INDEX(Реестр!$B:$B, ROW())), INDEX(Реестр!$B:$B, ROW())=""), " ", IF(IFERROR(ISNUMBER(--A515),FALSE), IF(LEN(A515)=10, IF(MOD(MOD(H515,11),10)=--RIGHT(A515,1), "OK", "ОШИБКА"), IF(LEN(A515)=12, IF(AND(MOD(MOD(H515,11),10)=--MID(A515,11,1), MOD(MOD(I515,11),10)=--RIGHT(A515,1)), "OK", "ОШИБКА"), "ДЛИНА (10 или 12)")), "НЕ ЦИФРЫ"))</f>
        <v/>
      </c>
      <c r="E515">
        <f>MID(B515,1,1)*9+MID(B515,2,1)*8+MID(B515,3,1)*7+MID(B515,4,1)*6+MID(B515,5,1)*5+MID(B515,6,1)*4+MID(B515,7,1)*3+MID(B515,8,1)*2+MID(B515,9,1)</f>
        <v/>
      </c>
      <c r="F515">
        <f>IF(B515="", " ", IF(LEN(B515)&lt;&gt;11, "ДЛИНА", IF(NOT(ISNUMBER(--B515)), "НЕ ЦИФРЫ", IF(LEFT(B515,9)*1&lt;=1001998, "OK", IF(RIGHT(B515,2)*1=IF(MOD(E515,101)&gt;=100,0,MOD(E515,101)),"OK","ОШИБКА")))))</f>
        <v/>
      </c>
      <c r="G5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5">
        <f>IF(LEN(TRIM(A515))=10, --MID(A515,1,1)*2+--MID(A515,2,1)*4+--MID(A515,3,1)*10+--MID(A515,4,1)*3+--MID(A515,5,1)*5+--MID(A515,6,1)*9+--MID(A515,7,1)*4+--MID(A515,8,1)*6+--MID(A515,9,1)*8, IF(LEN(TRIM(A515))=12, --MID(A515,1,1)*7+--MID(A515,2,1)*2+--MID(A515,3,1)*4+--MID(A515,4,1)*10+--MID(A515,5,1)*3+--MID(A515,6,1)*5+--MID(A515,7,1)*9+--MID(A515,8,1)*4+--MID(A515,9,1)*6+--MID(A515,10,1)*8, ""))</f>
        <v/>
      </c>
      <c r="I515">
        <f>IF(LEN(TRIM(A515))=12, --MID(A515,1,1)*3+--MID(A515,2,1)*7+--MID(A515,3,1)*2+--MID(A515,4,1)*4+--MID(A515,5,1)*10+--MID(A515,6,1)*3+--MID(A515,7,1)*5+--MID(A515,8,1)*9+--MID(A515,9,1)*4+--MID(A515,10,1)*6+--MID(A515,11,1)*8, "")</f>
        <v/>
      </c>
    </row>
    <row r="516">
      <c r="A516">
        <f>SUBSTITUTE(SUBSTITUTE(SUBSTITUTE(SUBSTITUTE(TRIM(INDEX(Реестр!$B:$B,ROW())),CHAR(160),""),CHAR(9),""),CHAR(10),""),CHAR(13),"")</f>
        <v/>
      </c>
      <c r="B516">
        <f>SUBSTITUTE(SUBSTITUTE(SUBSTITUTE(SUBSTITUTE(SUBSTITUTE(SUBSTITUTE(SUBSTITUTE(TRIM(INDEX(Реестр!$D:$D, ROW())), "-", ""), " ", ""), CHAR(160), ""), CHAR(9), ""), CHAR(10), ""), CHAR(13), ""), CHAR(32), "")</f>
        <v/>
      </c>
      <c r="C516">
        <f>INDEX(Реестр!$H:$H, ROW())</f>
        <v/>
      </c>
      <c r="D516">
        <f>IF(OR(ISBLANK(INDEX(Реестр!$B:$B, ROW())), INDEX(Реестр!$B:$B, ROW())=""), " ", IF(IFERROR(ISNUMBER(--A516),FALSE), IF(LEN(A516)=10, IF(MOD(MOD(H516,11),10)=--RIGHT(A516,1), "OK", "ОШИБКА"), IF(LEN(A516)=12, IF(AND(MOD(MOD(H516,11),10)=--MID(A516,11,1), MOD(MOD(I516,11),10)=--RIGHT(A516,1)), "OK", "ОШИБКА"), "ДЛИНА (10 или 12)")), "НЕ ЦИФРЫ"))</f>
        <v/>
      </c>
      <c r="E516">
        <f>MID(B516,1,1)*9+MID(B516,2,1)*8+MID(B516,3,1)*7+MID(B516,4,1)*6+MID(B516,5,1)*5+MID(B516,6,1)*4+MID(B516,7,1)*3+MID(B516,8,1)*2+MID(B516,9,1)</f>
        <v/>
      </c>
      <c r="F516">
        <f>IF(B516="", " ", IF(LEN(B516)&lt;&gt;11, "ДЛИНА", IF(NOT(ISNUMBER(--B516)), "НЕ ЦИФРЫ", IF(LEFT(B516,9)*1&lt;=1001998, "OK", IF(RIGHT(B516,2)*1=IF(MOD(E516,101)&gt;=100,0,MOD(E516,101)),"OK","ОШИБКА")))))</f>
        <v/>
      </c>
      <c r="G5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6">
        <f>IF(LEN(TRIM(A516))=10, --MID(A516,1,1)*2+--MID(A516,2,1)*4+--MID(A516,3,1)*10+--MID(A516,4,1)*3+--MID(A516,5,1)*5+--MID(A516,6,1)*9+--MID(A516,7,1)*4+--MID(A516,8,1)*6+--MID(A516,9,1)*8, IF(LEN(TRIM(A516))=12, --MID(A516,1,1)*7+--MID(A516,2,1)*2+--MID(A516,3,1)*4+--MID(A516,4,1)*10+--MID(A516,5,1)*3+--MID(A516,6,1)*5+--MID(A516,7,1)*9+--MID(A516,8,1)*4+--MID(A516,9,1)*6+--MID(A516,10,1)*8, ""))</f>
        <v/>
      </c>
      <c r="I516">
        <f>IF(LEN(TRIM(A516))=12, --MID(A516,1,1)*3+--MID(A516,2,1)*7+--MID(A516,3,1)*2+--MID(A516,4,1)*4+--MID(A516,5,1)*10+--MID(A516,6,1)*3+--MID(A516,7,1)*5+--MID(A516,8,1)*9+--MID(A516,9,1)*4+--MID(A516,10,1)*6+--MID(A516,11,1)*8, "")</f>
        <v/>
      </c>
    </row>
    <row r="517">
      <c r="A517">
        <f>SUBSTITUTE(SUBSTITUTE(SUBSTITUTE(SUBSTITUTE(TRIM(INDEX(Реестр!$B:$B,ROW())),CHAR(160),""),CHAR(9),""),CHAR(10),""),CHAR(13),"")</f>
        <v/>
      </c>
      <c r="B517">
        <f>SUBSTITUTE(SUBSTITUTE(SUBSTITUTE(SUBSTITUTE(SUBSTITUTE(SUBSTITUTE(SUBSTITUTE(TRIM(INDEX(Реестр!$D:$D, ROW())), "-", ""), " ", ""), CHAR(160), ""), CHAR(9), ""), CHAR(10), ""), CHAR(13), ""), CHAR(32), "")</f>
        <v/>
      </c>
      <c r="C517">
        <f>INDEX(Реестр!$H:$H, ROW())</f>
        <v/>
      </c>
      <c r="D517">
        <f>IF(OR(ISBLANK(INDEX(Реестр!$B:$B, ROW())), INDEX(Реестр!$B:$B, ROW())=""), " ", IF(IFERROR(ISNUMBER(--A517),FALSE), IF(LEN(A517)=10, IF(MOD(MOD(H517,11),10)=--RIGHT(A517,1), "OK", "ОШИБКА"), IF(LEN(A517)=12, IF(AND(MOD(MOD(H517,11),10)=--MID(A517,11,1), MOD(MOD(I517,11),10)=--RIGHT(A517,1)), "OK", "ОШИБКА"), "ДЛИНА (10 или 12)")), "НЕ ЦИФРЫ"))</f>
        <v/>
      </c>
      <c r="E517">
        <f>MID(B517,1,1)*9+MID(B517,2,1)*8+MID(B517,3,1)*7+MID(B517,4,1)*6+MID(B517,5,1)*5+MID(B517,6,1)*4+MID(B517,7,1)*3+MID(B517,8,1)*2+MID(B517,9,1)</f>
        <v/>
      </c>
      <c r="F517">
        <f>IF(B517="", " ", IF(LEN(B517)&lt;&gt;11, "ДЛИНА", IF(NOT(ISNUMBER(--B517)), "НЕ ЦИФРЫ", IF(LEFT(B517,9)*1&lt;=1001998, "OK", IF(RIGHT(B517,2)*1=IF(MOD(E517,101)&gt;=100,0,MOD(E517,101)),"OK","ОШИБКА")))))</f>
        <v/>
      </c>
      <c r="G5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7">
        <f>IF(LEN(TRIM(A517))=10, --MID(A517,1,1)*2+--MID(A517,2,1)*4+--MID(A517,3,1)*10+--MID(A517,4,1)*3+--MID(A517,5,1)*5+--MID(A517,6,1)*9+--MID(A517,7,1)*4+--MID(A517,8,1)*6+--MID(A517,9,1)*8, IF(LEN(TRIM(A517))=12, --MID(A517,1,1)*7+--MID(A517,2,1)*2+--MID(A517,3,1)*4+--MID(A517,4,1)*10+--MID(A517,5,1)*3+--MID(A517,6,1)*5+--MID(A517,7,1)*9+--MID(A517,8,1)*4+--MID(A517,9,1)*6+--MID(A517,10,1)*8, ""))</f>
        <v/>
      </c>
      <c r="I517">
        <f>IF(LEN(TRIM(A517))=12, --MID(A517,1,1)*3+--MID(A517,2,1)*7+--MID(A517,3,1)*2+--MID(A517,4,1)*4+--MID(A517,5,1)*10+--MID(A517,6,1)*3+--MID(A517,7,1)*5+--MID(A517,8,1)*9+--MID(A517,9,1)*4+--MID(A517,10,1)*6+--MID(A517,11,1)*8, "")</f>
        <v/>
      </c>
    </row>
    <row r="518">
      <c r="A518">
        <f>SUBSTITUTE(SUBSTITUTE(SUBSTITUTE(SUBSTITUTE(TRIM(INDEX(Реестр!$B:$B,ROW())),CHAR(160),""),CHAR(9),""),CHAR(10),""),CHAR(13),"")</f>
        <v/>
      </c>
      <c r="B518">
        <f>SUBSTITUTE(SUBSTITUTE(SUBSTITUTE(SUBSTITUTE(SUBSTITUTE(SUBSTITUTE(SUBSTITUTE(TRIM(INDEX(Реестр!$D:$D, ROW())), "-", ""), " ", ""), CHAR(160), ""), CHAR(9), ""), CHAR(10), ""), CHAR(13), ""), CHAR(32), "")</f>
        <v/>
      </c>
      <c r="C518">
        <f>INDEX(Реестр!$H:$H, ROW())</f>
        <v/>
      </c>
      <c r="D518">
        <f>IF(OR(ISBLANK(INDEX(Реестр!$B:$B, ROW())), INDEX(Реестр!$B:$B, ROW())=""), " ", IF(IFERROR(ISNUMBER(--A518),FALSE), IF(LEN(A518)=10, IF(MOD(MOD(H518,11),10)=--RIGHT(A518,1), "OK", "ОШИБКА"), IF(LEN(A518)=12, IF(AND(MOD(MOD(H518,11),10)=--MID(A518,11,1), MOD(MOD(I518,11),10)=--RIGHT(A518,1)), "OK", "ОШИБКА"), "ДЛИНА (10 или 12)")), "НЕ ЦИФРЫ"))</f>
        <v/>
      </c>
      <c r="E518">
        <f>MID(B518,1,1)*9+MID(B518,2,1)*8+MID(B518,3,1)*7+MID(B518,4,1)*6+MID(B518,5,1)*5+MID(B518,6,1)*4+MID(B518,7,1)*3+MID(B518,8,1)*2+MID(B518,9,1)</f>
        <v/>
      </c>
      <c r="F518">
        <f>IF(B518="", " ", IF(LEN(B518)&lt;&gt;11, "ДЛИНА", IF(NOT(ISNUMBER(--B518)), "НЕ ЦИФРЫ", IF(LEFT(B518,9)*1&lt;=1001998, "OK", IF(RIGHT(B518,2)*1=IF(MOD(E518,101)&gt;=100,0,MOD(E518,101)),"OK","ОШИБКА")))))</f>
        <v/>
      </c>
      <c r="G5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8">
        <f>IF(LEN(TRIM(A518))=10, --MID(A518,1,1)*2+--MID(A518,2,1)*4+--MID(A518,3,1)*10+--MID(A518,4,1)*3+--MID(A518,5,1)*5+--MID(A518,6,1)*9+--MID(A518,7,1)*4+--MID(A518,8,1)*6+--MID(A518,9,1)*8, IF(LEN(TRIM(A518))=12, --MID(A518,1,1)*7+--MID(A518,2,1)*2+--MID(A518,3,1)*4+--MID(A518,4,1)*10+--MID(A518,5,1)*3+--MID(A518,6,1)*5+--MID(A518,7,1)*9+--MID(A518,8,1)*4+--MID(A518,9,1)*6+--MID(A518,10,1)*8, ""))</f>
        <v/>
      </c>
      <c r="I518">
        <f>IF(LEN(TRIM(A518))=12, --MID(A518,1,1)*3+--MID(A518,2,1)*7+--MID(A518,3,1)*2+--MID(A518,4,1)*4+--MID(A518,5,1)*10+--MID(A518,6,1)*3+--MID(A518,7,1)*5+--MID(A518,8,1)*9+--MID(A518,9,1)*4+--MID(A518,10,1)*6+--MID(A518,11,1)*8, "")</f>
        <v/>
      </c>
    </row>
    <row r="519">
      <c r="A519">
        <f>SUBSTITUTE(SUBSTITUTE(SUBSTITUTE(SUBSTITUTE(TRIM(INDEX(Реестр!$B:$B,ROW())),CHAR(160),""),CHAR(9),""),CHAR(10),""),CHAR(13),"")</f>
        <v/>
      </c>
      <c r="B519">
        <f>SUBSTITUTE(SUBSTITUTE(SUBSTITUTE(SUBSTITUTE(SUBSTITUTE(SUBSTITUTE(SUBSTITUTE(TRIM(INDEX(Реестр!$D:$D, ROW())), "-", ""), " ", ""), CHAR(160), ""), CHAR(9), ""), CHAR(10), ""), CHAR(13), ""), CHAR(32), "")</f>
        <v/>
      </c>
      <c r="C519">
        <f>INDEX(Реестр!$H:$H, ROW())</f>
        <v/>
      </c>
      <c r="D519">
        <f>IF(OR(ISBLANK(INDEX(Реестр!$B:$B, ROW())), INDEX(Реестр!$B:$B, ROW())=""), " ", IF(IFERROR(ISNUMBER(--A519),FALSE), IF(LEN(A519)=10, IF(MOD(MOD(H519,11),10)=--RIGHT(A519,1), "OK", "ОШИБКА"), IF(LEN(A519)=12, IF(AND(MOD(MOD(H519,11),10)=--MID(A519,11,1), MOD(MOD(I519,11),10)=--RIGHT(A519,1)), "OK", "ОШИБКА"), "ДЛИНА (10 или 12)")), "НЕ ЦИФРЫ"))</f>
        <v/>
      </c>
      <c r="E519">
        <f>MID(B519,1,1)*9+MID(B519,2,1)*8+MID(B519,3,1)*7+MID(B519,4,1)*6+MID(B519,5,1)*5+MID(B519,6,1)*4+MID(B519,7,1)*3+MID(B519,8,1)*2+MID(B519,9,1)</f>
        <v/>
      </c>
      <c r="F519">
        <f>IF(B519="", " ", IF(LEN(B519)&lt;&gt;11, "ДЛИНА", IF(NOT(ISNUMBER(--B519)), "НЕ ЦИФРЫ", IF(LEFT(B519,9)*1&lt;=1001998, "OK", IF(RIGHT(B519,2)*1=IF(MOD(E519,101)&gt;=100,0,MOD(E519,101)),"OK","ОШИБКА")))))</f>
        <v/>
      </c>
      <c r="G5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19">
        <f>IF(LEN(TRIM(A519))=10, --MID(A519,1,1)*2+--MID(A519,2,1)*4+--MID(A519,3,1)*10+--MID(A519,4,1)*3+--MID(A519,5,1)*5+--MID(A519,6,1)*9+--MID(A519,7,1)*4+--MID(A519,8,1)*6+--MID(A519,9,1)*8, IF(LEN(TRIM(A519))=12, --MID(A519,1,1)*7+--MID(A519,2,1)*2+--MID(A519,3,1)*4+--MID(A519,4,1)*10+--MID(A519,5,1)*3+--MID(A519,6,1)*5+--MID(A519,7,1)*9+--MID(A519,8,1)*4+--MID(A519,9,1)*6+--MID(A519,10,1)*8, ""))</f>
        <v/>
      </c>
      <c r="I519">
        <f>IF(LEN(TRIM(A519))=12, --MID(A519,1,1)*3+--MID(A519,2,1)*7+--MID(A519,3,1)*2+--MID(A519,4,1)*4+--MID(A519,5,1)*10+--MID(A519,6,1)*3+--MID(A519,7,1)*5+--MID(A519,8,1)*9+--MID(A519,9,1)*4+--MID(A519,10,1)*6+--MID(A519,11,1)*8, "")</f>
        <v/>
      </c>
    </row>
    <row r="520">
      <c r="A520">
        <f>SUBSTITUTE(SUBSTITUTE(SUBSTITUTE(SUBSTITUTE(TRIM(INDEX(Реестр!$B:$B,ROW())),CHAR(160),""),CHAR(9),""),CHAR(10),""),CHAR(13),"")</f>
        <v/>
      </c>
      <c r="B520">
        <f>SUBSTITUTE(SUBSTITUTE(SUBSTITUTE(SUBSTITUTE(SUBSTITUTE(SUBSTITUTE(SUBSTITUTE(TRIM(INDEX(Реестр!$D:$D, ROW())), "-", ""), " ", ""), CHAR(160), ""), CHAR(9), ""), CHAR(10), ""), CHAR(13), ""), CHAR(32), "")</f>
        <v/>
      </c>
      <c r="C520">
        <f>INDEX(Реестр!$H:$H, ROW())</f>
        <v/>
      </c>
      <c r="D520">
        <f>IF(OR(ISBLANK(INDEX(Реестр!$B:$B, ROW())), INDEX(Реестр!$B:$B, ROW())=""), " ", IF(IFERROR(ISNUMBER(--A520),FALSE), IF(LEN(A520)=10, IF(MOD(MOD(H520,11),10)=--RIGHT(A520,1), "OK", "ОШИБКА"), IF(LEN(A520)=12, IF(AND(MOD(MOD(H520,11),10)=--MID(A520,11,1), MOD(MOD(I520,11),10)=--RIGHT(A520,1)), "OK", "ОШИБКА"), "ДЛИНА (10 или 12)")), "НЕ ЦИФРЫ"))</f>
        <v/>
      </c>
      <c r="E520">
        <f>MID(B520,1,1)*9+MID(B520,2,1)*8+MID(B520,3,1)*7+MID(B520,4,1)*6+MID(B520,5,1)*5+MID(B520,6,1)*4+MID(B520,7,1)*3+MID(B520,8,1)*2+MID(B520,9,1)</f>
        <v/>
      </c>
      <c r="F520">
        <f>IF(B520="", " ", IF(LEN(B520)&lt;&gt;11, "ДЛИНА", IF(NOT(ISNUMBER(--B520)), "НЕ ЦИФРЫ", IF(LEFT(B520,9)*1&lt;=1001998, "OK", IF(RIGHT(B520,2)*1=IF(MOD(E520,101)&gt;=100,0,MOD(E520,101)),"OK","ОШИБКА")))))</f>
        <v/>
      </c>
      <c r="G5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0">
        <f>IF(LEN(TRIM(A520))=10, --MID(A520,1,1)*2+--MID(A520,2,1)*4+--MID(A520,3,1)*10+--MID(A520,4,1)*3+--MID(A520,5,1)*5+--MID(A520,6,1)*9+--MID(A520,7,1)*4+--MID(A520,8,1)*6+--MID(A520,9,1)*8, IF(LEN(TRIM(A520))=12, --MID(A520,1,1)*7+--MID(A520,2,1)*2+--MID(A520,3,1)*4+--MID(A520,4,1)*10+--MID(A520,5,1)*3+--MID(A520,6,1)*5+--MID(A520,7,1)*9+--MID(A520,8,1)*4+--MID(A520,9,1)*6+--MID(A520,10,1)*8, ""))</f>
        <v/>
      </c>
      <c r="I520">
        <f>IF(LEN(TRIM(A520))=12, --MID(A520,1,1)*3+--MID(A520,2,1)*7+--MID(A520,3,1)*2+--MID(A520,4,1)*4+--MID(A520,5,1)*10+--MID(A520,6,1)*3+--MID(A520,7,1)*5+--MID(A520,8,1)*9+--MID(A520,9,1)*4+--MID(A520,10,1)*6+--MID(A520,11,1)*8, "")</f>
        <v/>
      </c>
    </row>
    <row r="521">
      <c r="A521">
        <f>SUBSTITUTE(SUBSTITUTE(SUBSTITUTE(SUBSTITUTE(TRIM(INDEX(Реестр!$B:$B,ROW())),CHAR(160),""),CHAR(9),""),CHAR(10),""),CHAR(13),"")</f>
        <v/>
      </c>
      <c r="B521">
        <f>SUBSTITUTE(SUBSTITUTE(SUBSTITUTE(SUBSTITUTE(SUBSTITUTE(SUBSTITUTE(SUBSTITUTE(TRIM(INDEX(Реестр!$D:$D, ROW())), "-", ""), " ", ""), CHAR(160), ""), CHAR(9), ""), CHAR(10), ""), CHAR(13), ""), CHAR(32), "")</f>
        <v/>
      </c>
      <c r="C521">
        <f>INDEX(Реестр!$H:$H, ROW())</f>
        <v/>
      </c>
      <c r="D521">
        <f>IF(OR(ISBLANK(INDEX(Реестр!$B:$B, ROW())), INDEX(Реестр!$B:$B, ROW())=""), " ", IF(IFERROR(ISNUMBER(--A521),FALSE), IF(LEN(A521)=10, IF(MOD(MOD(H521,11),10)=--RIGHT(A521,1), "OK", "ОШИБКА"), IF(LEN(A521)=12, IF(AND(MOD(MOD(H521,11),10)=--MID(A521,11,1), MOD(MOD(I521,11),10)=--RIGHT(A521,1)), "OK", "ОШИБКА"), "ДЛИНА (10 или 12)")), "НЕ ЦИФРЫ"))</f>
        <v/>
      </c>
      <c r="E521">
        <f>MID(B521,1,1)*9+MID(B521,2,1)*8+MID(B521,3,1)*7+MID(B521,4,1)*6+MID(B521,5,1)*5+MID(B521,6,1)*4+MID(B521,7,1)*3+MID(B521,8,1)*2+MID(B521,9,1)</f>
        <v/>
      </c>
      <c r="F521">
        <f>IF(B521="", " ", IF(LEN(B521)&lt;&gt;11, "ДЛИНА", IF(NOT(ISNUMBER(--B521)), "НЕ ЦИФРЫ", IF(LEFT(B521,9)*1&lt;=1001998, "OK", IF(RIGHT(B521,2)*1=IF(MOD(E521,101)&gt;=100,0,MOD(E521,101)),"OK","ОШИБКА")))))</f>
        <v/>
      </c>
      <c r="G5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1">
        <f>IF(LEN(TRIM(A521))=10, --MID(A521,1,1)*2+--MID(A521,2,1)*4+--MID(A521,3,1)*10+--MID(A521,4,1)*3+--MID(A521,5,1)*5+--MID(A521,6,1)*9+--MID(A521,7,1)*4+--MID(A521,8,1)*6+--MID(A521,9,1)*8, IF(LEN(TRIM(A521))=12, --MID(A521,1,1)*7+--MID(A521,2,1)*2+--MID(A521,3,1)*4+--MID(A521,4,1)*10+--MID(A521,5,1)*3+--MID(A521,6,1)*5+--MID(A521,7,1)*9+--MID(A521,8,1)*4+--MID(A521,9,1)*6+--MID(A521,10,1)*8, ""))</f>
        <v/>
      </c>
      <c r="I521">
        <f>IF(LEN(TRIM(A521))=12, --MID(A521,1,1)*3+--MID(A521,2,1)*7+--MID(A521,3,1)*2+--MID(A521,4,1)*4+--MID(A521,5,1)*10+--MID(A521,6,1)*3+--MID(A521,7,1)*5+--MID(A521,8,1)*9+--MID(A521,9,1)*4+--MID(A521,10,1)*6+--MID(A521,11,1)*8, "")</f>
        <v/>
      </c>
    </row>
    <row r="522">
      <c r="A522">
        <f>SUBSTITUTE(SUBSTITUTE(SUBSTITUTE(SUBSTITUTE(TRIM(INDEX(Реестр!$B:$B,ROW())),CHAR(160),""),CHAR(9),""),CHAR(10),""),CHAR(13),"")</f>
        <v/>
      </c>
      <c r="B522">
        <f>SUBSTITUTE(SUBSTITUTE(SUBSTITUTE(SUBSTITUTE(SUBSTITUTE(SUBSTITUTE(SUBSTITUTE(TRIM(INDEX(Реестр!$D:$D, ROW())), "-", ""), " ", ""), CHAR(160), ""), CHAR(9), ""), CHAR(10), ""), CHAR(13), ""), CHAR(32), "")</f>
        <v/>
      </c>
      <c r="C522">
        <f>INDEX(Реестр!$H:$H, ROW())</f>
        <v/>
      </c>
      <c r="D522">
        <f>IF(OR(ISBLANK(INDEX(Реестр!$B:$B, ROW())), INDEX(Реестр!$B:$B, ROW())=""), " ", IF(IFERROR(ISNUMBER(--A522),FALSE), IF(LEN(A522)=10, IF(MOD(MOD(H522,11),10)=--RIGHT(A522,1), "OK", "ОШИБКА"), IF(LEN(A522)=12, IF(AND(MOD(MOD(H522,11),10)=--MID(A522,11,1), MOD(MOD(I522,11),10)=--RIGHT(A522,1)), "OK", "ОШИБКА"), "ДЛИНА (10 или 12)")), "НЕ ЦИФРЫ"))</f>
        <v/>
      </c>
      <c r="E522">
        <f>MID(B522,1,1)*9+MID(B522,2,1)*8+MID(B522,3,1)*7+MID(B522,4,1)*6+MID(B522,5,1)*5+MID(B522,6,1)*4+MID(B522,7,1)*3+MID(B522,8,1)*2+MID(B522,9,1)</f>
        <v/>
      </c>
      <c r="F522">
        <f>IF(B522="", " ", IF(LEN(B522)&lt;&gt;11, "ДЛИНА", IF(NOT(ISNUMBER(--B522)), "НЕ ЦИФРЫ", IF(LEFT(B522,9)*1&lt;=1001998, "OK", IF(RIGHT(B522,2)*1=IF(MOD(E522,101)&gt;=100,0,MOD(E522,101)),"OK","ОШИБКА")))))</f>
        <v/>
      </c>
      <c r="G5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2">
        <f>IF(LEN(TRIM(A522))=10, --MID(A522,1,1)*2+--MID(A522,2,1)*4+--MID(A522,3,1)*10+--MID(A522,4,1)*3+--MID(A522,5,1)*5+--MID(A522,6,1)*9+--MID(A522,7,1)*4+--MID(A522,8,1)*6+--MID(A522,9,1)*8, IF(LEN(TRIM(A522))=12, --MID(A522,1,1)*7+--MID(A522,2,1)*2+--MID(A522,3,1)*4+--MID(A522,4,1)*10+--MID(A522,5,1)*3+--MID(A522,6,1)*5+--MID(A522,7,1)*9+--MID(A522,8,1)*4+--MID(A522,9,1)*6+--MID(A522,10,1)*8, ""))</f>
        <v/>
      </c>
      <c r="I522">
        <f>IF(LEN(TRIM(A522))=12, --MID(A522,1,1)*3+--MID(A522,2,1)*7+--MID(A522,3,1)*2+--MID(A522,4,1)*4+--MID(A522,5,1)*10+--MID(A522,6,1)*3+--MID(A522,7,1)*5+--MID(A522,8,1)*9+--MID(A522,9,1)*4+--MID(A522,10,1)*6+--MID(A522,11,1)*8, "")</f>
        <v/>
      </c>
    </row>
    <row r="523">
      <c r="A523">
        <f>SUBSTITUTE(SUBSTITUTE(SUBSTITUTE(SUBSTITUTE(TRIM(INDEX(Реестр!$B:$B,ROW())),CHAR(160),""),CHAR(9),""),CHAR(10),""),CHAR(13),"")</f>
        <v/>
      </c>
      <c r="B523">
        <f>SUBSTITUTE(SUBSTITUTE(SUBSTITUTE(SUBSTITUTE(SUBSTITUTE(SUBSTITUTE(SUBSTITUTE(TRIM(INDEX(Реестр!$D:$D, ROW())), "-", ""), " ", ""), CHAR(160), ""), CHAR(9), ""), CHAR(10), ""), CHAR(13), ""), CHAR(32), "")</f>
        <v/>
      </c>
      <c r="C523">
        <f>INDEX(Реестр!$H:$H, ROW())</f>
        <v/>
      </c>
      <c r="D523">
        <f>IF(OR(ISBLANK(INDEX(Реестр!$B:$B, ROW())), INDEX(Реестр!$B:$B, ROW())=""), " ", IF(IFERROR(ISNUMBER(--A523),FALSE), IF(LEN(A523)=10, IF(MOD(MOD(H523,11),10)=--RIGHT(A523,1), "OK", "ОШИБКА"), IF(LEN(A523)=12, IF(AND(MOD(MOD(H523,11),10)=--MID(A523,11,1), MOD(MOD(I523,11),10)=--RIGHT(A523,1)), "OK", "ОШИБКА"), "ДЛИНА (10 или 12)")), "НЕ ЦИФРЫ"))</f>
        <v/>
      </c>
      <c r="E523">
        <f>MID(B523,1,1)*9+MID(B523,2,1)*8+MID(B523,3,1)*7+MID(B523,4,1)*6+MID(B523,5,1)*5+MID(B523,6,1)*4+MID(B523,7,1)*3+MID(B523,8,1)*2+MID(B523,9,1)</f>
        <v/>
      </c>
      <c r="F523">
        <f>IF(B523="", " ", IF(LEN(B523)&lt;&gt;11, "ДЛИНА", IF(NOT(ISNUMBER(--B523)), "НЕ ЦИФРЫ", IF(LEFT(B523,9)*1&lt;=1001998, "OK", IF(RIGHT(B523,2)*1=IF(MOD(E523,101)&gt;=100,0,MOD(E523,101)),"OK","ОШИБКА")))))</f>
        <v/>
      </c>
      <c r="G5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3">
        <f>IF(LEN(TRIM(A523))=10, --MID(A523,1,1)*2+--MID(A523,2,1)*4+--MID(A523,3,1)*10+--MID(A523,4,1)*3+--MID(A523,5,1)*5+--MID(A523,6,1)*9+--MID(A523,7,1)*4+--MID(A523,8,1)*6+--MID(A523,9,1)*8, IF(LEN(TRIM(A523))=12, --MID(A523,1,1)*7+--MID(A523,2,1)*2+--MID(A523,3,1)*4+--MID(A523,4,1)*10+--MID(A523,5,1)*3+--MID(A523,6,1)*5+--MID(A523,7,1)*9+--MID(A523,8,1)*4+--MID(A523,9,1)*6+--MID(A523,10,1)*8, ""))</f>
        <v/>
      </c>
      <c r="I523">
        <f>IF(LEN(TRIM(A523))=12, --MID(A523,1,1)*3+--MID(A523,2,1)*7+--MID(A523,3,1)*2+--MID(A523,4,1)*4+--MID(A523,5,1)*10+--MID(A523,6,1)*3+--MID(A523,7,1)*5+--MID(A523,8,1)*9+--MID(A523,9,1)*4+--MID(A523,10,1)*6+--MID(A523,11,1)*8, "")</f>
        <v/>
      </c>
    </row>
    <row r="524">
      <c r="A524">
        <f>SUBSTITUTE(SUBSTITUTE(SUBSTITUTE(SUBSTITUTE(TRIM(INDEX(Реестр!$B:$B,ROW())),CHAR(160),""),CHAR(9),""),CHAR(10),""),CHAR(13),"")</f>
        <v/>
      </c>
      <c r="B524">
        <f>SUBSTITUTE(SUBSTITUTE(SUBSTITUTE(SUBSTITUTE(SUBSTITUTE(SUBSTITUTE(SUBSTITUTE(TRIM(INDEX(Реестр!$D:$D, ROW())), "-", ""), " ", ""), CHAR(160), ""), CHAR(9), ""), CHAR(10), ""), CHAR(13), ""), CHAR(32), "")</f>
        <v/>
      </c>
      <c r="C524">
        <f>INDEX(Реестр!$H:$H, ROW())</f>
        <v/>
      </c>
      <c r="D524">
        <f>IF(OR(ISBLANK(INDEX(Реестр!$B:$B, ROW())), INDEX(Реестр!$B:$B, ROW())=""), " ", IF(IFERROR(ISNUMBER(--A524),FALSE), IF(LEN(A524)=10, IF(MOD(MOD(H524,11),10)=--RIGHT(A524,1), "OK", "ОШИБКА"), IF(LEN(A524)=12, IF(AND(MOD(MOD(H524,11),10)=--MID(A524,11,1), MOD(MOD(I524,11),10)=--RIGHT(A524,1)), "OK", "ОШИБКА"), "ДЛИНА (10 или 12)")), "НЕ ЦИФРЫ"))</f>
        <v/>
      </c>
      <c r="E524">
        <f>MID(B524,1,1)*9+MID(B524,2,1)*8+MID(B524,3,1)*7+MID(B524,4,1)*6+MID(B524,5,1)*5+MID(B524,6,1)*4+MID(B524,7,1)*3+MID(B524,8,1)*2+MID(B524,9,1)</f>
        <v/>
      </c>
      <c r="F524">
        <f>IF(B524="", " ", IF(LEN(B524)&lt;&gt;11, "ДЛИНА", IF(NOT(ISNUMBER(--B524)), "НЕ ЦИФРЫ", IF(LEFT(B524,9)*1&lt;=1001998, "OK", IF(RIGHT(B524,2)*1=IF(MOD(E524,101)&gt;=100,0,MOD(E524,101)),"OK","ОШИБКА")))))</f>
        <v/>
      </c>
      <c r="G5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4">
        <f>IF(LEN(TRIM(A524))=10, --MID(A524,1,1)*2+--MID(A524,2,1)*4+--MID(A524,3,1)*10+--MID(A524,4,1)*3+--MID(A524,5,1)*5+--MID(A524,6,1)*9+--MID(A524,7,1)*4+--MID(A524,8,1)*6+--MID(A524,9,1)*8, IF(LEN(TRIM(A524))=12, --MID(A524,1,1)*7+--MID(A524,2,1)*2+--MID(A524,3,1)*4+--MID(A524,4,1)*10+--MID(A524,5,1)*3+--MID(A524,6,1)*5+--MID(A524,7,1)*9+--MID(A524,8,1)*4+--MID(A524,9,1)*6+--MID(A524,10,1)*8, ""))</f>
        <v/>
      </c>
      <c r="I524">
        <f>IF(LEN(TRIM(A524))=12, --MID(A524,1,1)*3+--MID(A524,2,1)*7+--MID(A524,3,1)*2+--MID(A524,4,1)*4+--MID(A524,5,1)*10+--MID(A524,6,1)*3+--MID(A524,7,1)*5+--MID(A524,8,1)*9+--MID(A524,9,1)*4+--MID(A524,10,1)*6+--MID(A524,11,1)*8, "")</f>
        <v/>
      </c>
    </row>
    <row r="525">
      <c r="A525">
        <f>SUBSTITUTE(SUBSTITUTE(SUBSTITUTE(SUBSTITUTE(TRIM(INDEX(Реестр!$B:$B,ROW())),CHAR(160),""),CHAR(9),""),CHAR(10),""),CHAR(13),"")</f>
        <v/>
      </c>
      <c r="B525">
        <f>SUBSTITUTE(SUBSTITUTE(SUBSTITUTE(SUBSTITUTE(SUBSTITUTE(SUBSTITUTE(SUBSTITUTE(TRIM(INDEX(Реестр!$D:$D, ROW())), "-", ""), " ", ""), CHAR(160), ""), CHAR(9), ""), CHAR(10), ""), CHAR(13), ""), CHAR(32), "")</f>
        <v/>
      </c>
      <c r="C525">
        <f>INDEX(Реестр!$H:$H, ROW())</f>
        <v/>
      </c>
      <c r="D525">
        <f>IF(OR(ISBLANK(INDEX(Реестр!$B:$B, ROW())), INDEX(Реестр!$B:$B, ROW())=""), " ", IF(IFERROR(ISNUMBER(--A525),FALSE), IF(LEN(A525)=10, IF(MOD(MOD(H525,11),10)=--RIGHT(A525,1), "OK", "ОШИБКА"), IF(LEN(A525)=12, IF(AND(MOD(MOD(H525,11),10)=--MID(A525,11,1), MOD(MOD(I525,11),10)=--RIGHT(A525,1)), "OK", "ОШИБКА"), "ДЛИНА (10 или 12)")), "НЕ ЦИФРЫ"))</f>
        <v/>
      </c>
      <c r="E525">
        <f>MID(B525,1,1)*9+MID(B525,2,1)*8+MID(B525,3,1)*7+MID(B525,4,1)*6+MID(B525,5,1)*5+MID(B525,6,1)*4+MID(B525,7,1)*3+MID(B525,8,1)*2+MID(B525,9,1)</f>
        <v/>
      </c>
      <c r="F525">
        <f>IF(B525="", " ", IF(LEN(B525)&lt;&gt;11, "ДЛИНА", IF(NOT(ISNUMBER(--B525)), "НЕ ЦИФРЫ", IF(LEFT(B525,9)*1&lt;=1001998, "OK", IF(RIGHT(B525,2)*1=IF(MOD(E525,101)&gt;=100,0,MOD(E525,101)),"OK","ОШИБКА")))))</f>
        <v/>
      </c>
      <c r="G5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5">
        <f>IF(LEN(TRIM(A525))=10, --MID(A525,1,1)*2+--MID(A525,2,1)*4+--MID(A525,3,1)*10+--MID(A525,4,1)*3+--MID(A525,5,1)*5+--MID(A525,6,1)*9+--MID(A525,7,1)*4+--MID(A525,8,1)*6+--MID(A525,9,1)*8, IF(LEN(TRIM(A525))=12, --MID(A525,1,1)*7+--MID(A525,2,1)*2+--MID(A525,3,1)*4+--MID(A525,4,1)*10+--MID(A525,5,1)*3+--MID(A525,6,1)*5+--MID(A525,7,1)*9+--MID(A525,8,1)*4+--MID(A525,9,1)*6+--MID(A525,10,1)*8, ""))</f>
        <v/>
      </c>
      <c r="I525">
        <f>IF(LEN(TRIM(A525))=12, --MID(A525,1,1)*3+--MID(A525,2,1)*7+--MID(A525,3,1)*2+--MID(A525,4,1)*4+--MID(A525,5,1)*10+--MID(A525,6,1)*3+--MID(A525,7,1)*5+--MID(A525,8,1)*9+--MID(A525,9,1)*4+--MID(A525,10,1)*6+--MID(A525,11,1)*8, "")</f>
        <v/>
      </c>
    </row>
    <row r="526">
      <c r="A526">
        <f>SUBSTITUTE(SUBSTITUTE(SUBSTITUTE(SUBSTITUTE(TRIM(INDEX(Реестр!$B:$B,ROW())),CHAR(160),""),CHAR(9),""),CHAR(10),""),CHAR(13),"")</f>
        <v/>
      </c>
      <c r="B526">
        <f>SUBSTITUTE(SUBSTITUTE(SUBSTITUTE(SUBSTITUTE(SUBSTITUTE(SUBSTITUTE(SUBSTITUTE(TRIM(INDEX(Реестр!$D:$D, ROW())), "-", ""), " ", ""), CHAR(160), ""), CHAR(9), ""), CHAR(10), ""), CHAR(13), ""), CHAR(32), "")</f>
        <v/>
      </c>
      <c r="C526">
        <f>INDEX(Реестр!$H:$H, ROW())</f>
        <v/>
      </c>
      <c r="D526">
        <f>IF(OR(ISBLANK(INDEX(Реестр!$B:$B, ROW())), INDEX(Реестр!$B:$B, ROW())=""), " ", IF(IFERROR(ISNUMBER(--A526),FALSE), IF(LEN(A526)=10, IF(MOD(MOD(H526,11),10)=--RIGHT(A526,1), "OK", "ОШИБКА"), IF(LEN(A526)=12, IF(AND(MOD(MOD(H526,11),10)=--MID(A526,11,1), MOD(MOD(I526,11),10)=--RIGHT(A526,1)), "OK", "ОШИБКА"), "ДЛИНА (10 или 12)")), "НЕ ЦИФРЫ"))</f>
        <v/>
      </c>
      <c r="E526">
        <f>MID(B526,1,1)*9+MID(B526,2,1)*8+MID(B526,3,1)*7+MID(B526,4,1)*6+MID(B526,5,1)*5+MID(B526,6,1)*4+MID(B526,7,1)*3+MID(B526,8,1)*2+MID(B526,9,1)</f>
        <v/>
      </c>
      <c r="F526">
        <f>IF(B526="", " ", IF(LEN(B526)&lt;&gt;11, "ДЛИНА", IF(NOT(ISNUMBER(--B526)), "НЕ ЦИФРЫ", IF(LEFT(B526,9)*1&lt;=1001998, "OK", IF(RIGHT(B526,2)*1=IF(MOD(E526,101)&gt;=100,0,MOD(E526,101)),"OK","ОШИБКА")))))</f>
        <v/>
      </c>
      <c r="G5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6">
        <f>IF(LEN(TRIM(A526))=10, --MID(A526,1,1)*2+--MID(A526,2,1)*4+--MID(A526,3,1)*10+--MID(A526,4,1)*3+--MID(A526,5,1)*5+--MID(A526,6,1)*9+--MID(A526,7,1)*4+--MID(A526,8,1)*6+--MID(A526,9,1)*8, IF(LEN(TRIM(A526))=12, --MID(A526,1,1)*7+--MID(A526,2,1)*2+--MID(A526,3,1)*4+--MID(A526,4,1)*10+--MID(A526,5,1)*3+--MID(A526,6,1)*5+--MID(A526,7,1)*9+--MID(A526,8,1)*4+--MID(A526,9,1)*6+--MID(A526,10,1)*8, ""))</f>
        <v/>
      </c>
      <c r="I526">
        <f>IF(LEN(TRIM(A526))=12, --MID(A526,1,1)*3+--MID(A526,2,1)*7+--MID(A526,3,1)*2+--MID(A526,4,1)*4+--MID(A526,5,1)*10+--MID(A526,6,1)*3+--MID(A526,7,1)*5+--MID(A526,8,1)*9+--MID(A526,9,1)*4+--MID(A526,10,1)*6+--MID(A526,11,1)*8, "")</f>
        <v/>
      </c>
    </row>
    <row r="527">
      <c r="A527">
        <f>SUBSTITUTE(SUBSTITUTE(SUBSTITUTE(SUBSTITUTE(TRIM(INDEX(Реестр!$B:$B,ROW())),CHAR(160),""),CHAR(9),""),CHAR(10),""),CHAR(13),"")</f>
        <v/>
      </c>
      <c r="B527">
        <f>SUBSTITUTE(SUBSTITUTE(SUBSTITUTE(SUBSTITUTE(SUBSTITUTE(SUBSTITUTE(SUBSTITUTE(TRIM(INDEX(Реестр!$D:$D, ROW())), "-", ""), " ", ""), CHAR(160), ""), CHAR(9), ""), CHAR(10), ""), CHAR(13), ""), CHAR(32), "")</f>
        <v/>
      </c>
      <c r="C527">
        <f>INDEX(Реестр!$H:$H, ROW())</f>
        <v/>
      </c>
      <c r="D527">
        <f>IF(OR(ISBLANK(INDEX(Реестр!$B:$B, ROW())), INDEX(Реестр!$B:$B, ROW())=""), " ", IF(IFERROR(ISNUMBER(--A527),FALSE), IF(LEN(A527)=10, IF(MOD(MOD(H527,11),10)=--RIGHT(A527,1), "OK", "ОШИБКА"), IF(LEN(A527)=12, IF(AND(MOD(MOD(H527,11),10)=--MID(A527,11,1), MOD(MOD(I527,11),10)=--RIGHT(A527,1)), "OK", "ОШИБКА"), "ДЛИНА (10 или 12)")), "НЕ ЦИФРЫ"))</f>
        <v/>
      </c>
      <c r="E527">
        <f>MID(B527,1,1)*9+MID(B527,2,1)*8+MID(B527,3,1)*7+MID(B527,4,1)*6+MID(B527,5,1)*5+MID(B527,6,1)*4+MID(B527,7,1)*3+MID(B527,8,1)*2+MID(B527,9,1)</f>
        <v/>
      </c>
      <c r="F527">
        <f>IF(B527="", " ", IF(LEN(B527)&lt;&gt;11, "ДЛИНА", IF(NOT(ISNUMBER(--B527)), "НЕ ЦИФРЫ", IF(LEFT(B527,9)*1&lt;=1001998, "OK", IF(RIGHT(B527,2)*1=IF(MOD(E527,101)&gt;=100,0,MOD(E527,101)),"OK","ОШИБКА")))))</f>
        <v/>
      </c>
      <c r="G5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7">
        <f>IF(LEN(TRIM(A527))=10, --MID(A527,1,1)*2+--MID(A527,2,1)*4+--MID(A527,3,1)*10+--MID(A527,4,1)*3+--MID(A527,5,1)*5+--MID(A527,6,1)*9+--MID(A527,7,1)*4+--MID(A527,8,1)*6+--MID(A527,9,1)*8, IF(LEN(TRIM(A527))=12, --MID(A527,1,1)*7+--MID(A527,2,1)*2+--MID(A527,3,1)*4+--MID(A527,4,1)*10+--MID(A527,5,1)*3+--MID(A527,6,1)*5+--MID(A527,7,1)*9+--MID(A527,8,1)*4+--MID(A527,9,1)*6+--MID(A527,10,1)*8, ""))</f>
        <v/>
      </c>
      <c r="I527">
        <f>IF(LEN(TRIM(A527))=12, --MID(A527,1,1)*3+--MID(A527,2,1)*7+--MID(A527,3,1)*2+--MID(A527,4,1)*4+--MID(A527,5,1)*10+--MID(A527,6,1)*3+--MID(A527,7,1)*5+--MID(A527,8,1)*9+--MID(A527,9,1)*4+--MID(A527,10,1)*6+--MID(A527,11,1)*8, "")</f>
        <v/>
      </c>
    </row>
    <row r="528">
      <c r="A528">
        <f>SUBSTITUTE(SUBSTITUTE(SUBSTITUTE(SUBSTITUTE(TRIM(INDEX(Реестр!$B:$B,ROW())),CHAR(160),""),CHAR(9),""),CHAR(10),""),CHAR(13),"")</f>
        <v/>
      </c>
      <c r="B528">
        <f>SUBSTITUTE(SUBSTITUTE(SUBSTITUTE(SUBSTITUTE(SUBSTITUTE(SUBSTITUTE(SUBSTITUTE(TRIM(INDEX(Реестр!$D:$D, ROW())), "-", ""), " ", ""), CHAR(160), ""), CHAR(9), ""), CHAR(10), ""), CHAR(13), ""), CHAR(32), "")</f>
        <v/>
      </c>
      <c r="C528">
        <f>INDEX(Реестр!$H:$H, ROW())</f>
        <v/>
      </c>
      <c r="D528">
        <f>IF(OR(ISBLANK(INDEX(Реестр!$B:$B, ROW())), INDEX(Реестр!$B:$B, ROW())=""), " ", IF(IFERROR(ISNUMBER(--A528),FALSE), IF(LEN(A528)=10, IF(MOD(MOD(H528,11),10)=--RIGHT(A528,1), "OK", "ОШИБКА"), IF(LEN(A528)=12, IF(AND(MOD(MOD(H528,11),10)=--MID(A528,11,1), MOD(MOD(I528,11),10)=--RIGHT(A528,1)), "OK", "ОШИБКА"), "ДЛИНА (10 или 12)")), "НЕ ЦИФРЫ"))</f>
        <v/>
      </c>
      <c r="E528">
        <f>MID(B528,1,1)*9+MID(B528,2,1)*8+MID(B528,3,1)*7+MID(B528,4,1)*6+MID(B528,5,1)*5+MID(B528,6,1)*4+MID(B528,7,1)*3+MID(B528,8,1)*2+MID(B528,9,1)</f>
        <v/>
      </c>
      <c r="F528">
        <f>IF(B528="", " ", IF(LEN(B528)&lt;&gt;11, "ДЛИНА", IF(NOT(ISNUMBER(--B528)), "НЕ ЦИФРЫ", IF(LEFT(B528,9)*1&lt;=1001998, "OK", IF(RIGHT(B528,2)*1=IF(MOD(E528,101)&gt;=100,0,MOD(E528,101)),"OK","ОШИБКА")))))</f>
        <v/>
      </c>
      <c r="G5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8">
        <f>IF(LEN(TRIM(A528))=10, --MID(A528,1,1)*2+--MID(A528,2,1)*4+--MID(A528,3,1)*10+--MID(A528,4,1)*3+--MID(A528,5,1)*5+--MID(A528,6,1)*9+--MID(A528,7,1)*4+--MID(A528,8,1)*6+--MID(A528,9,1)*8, IF(LEN(TRIM(A528))=12, --MID(A528,1,1)*7+--MID(A528,2,1)*2+--MID(A528,3,1)*4+--MID(A528,4,1)*10+--MID(A528,5,1)*3+--MID(A528,6,1)*5+--MID(A528,7,1)*9+--MID(A528,8,1)*4+--MID(A528,9,1)*6+--MID(A528,10,1)*8, ""))</f>
        <v/>
      </c>
      <c r="I528">
        <f>IF(LEN(TRIM(A528))=12, --MID(A528,1,1)*3+--MID(A528,2,1)*7+--MID(A528,3,1)*2+--MID(A528,4,1)*4+--MID(A528,5,1)*10+--MID(A528,6,1)*3+--MID(A528,7,1)*5+--MID(A528,8,1)*9+--MID(A528,9,1)*4+--MID(A528,10,1)*6+--MID(A528,11,1)*8, "")</f>
        <v/>
      </c>
    </row>
    <row r="529">
      <c r="A529">
        <f>SUBSTITUTE(SUBSTITUTE(SUBSTITUTE(SUBSTITUTE(TRIM(INDEX(Реестр!$B:$B,ROW())),CHAR(160),""),CHAR(9),""),CHAR(10),""),CHAR(13),"")</f>
        <v/>
      </c>
      <c r="B529">
        <f>SUBSTITUTE(SUBSTITUTE(SUBSTITUTE(SUBSTITUTE(SUBSTITUTE(SUBSTITUTE(SUBSTITUTE(TRIM(INDEX(Реестр!$D:$D, ROW())), "-", ""), " ", ""), CHAR(160), ""), CHAR(9), ""), CHAR(10), ""), CHAR(13), ""), CHAR(32), "")</f>
        <v/>
      </c>
      <c r="C529">
        <f>INDEX(Реестр!$H:$H, ROW())</f>
        <v/>
      </c>
      <c r="D529">
        <f>IF(OR(ISBLANK(INDEX(Реестр!$B:$B, ROW())), INDEX(Реестр!$B:$B, ROW())=""), " ", IF(IFERROR(ISNUMBER(--A529),FALSE), IF(LEN(A529)=10, IF(MOD(MOD(H529,11),10)=--RIGHT(A529,1), "OK", "ОШИБКА"), IF(LEN(A529)=12, IF(AND(MOD(MOD(H529,11),10)=--MID(A529,11,1), MOD(MOD(I529,11),10)=--RIGHT(A529,1)), "OK", "ОШИБКА"), "ДЛИНА (10 или 12)")), "НЕ ЦИФРЫ"))</f>
        <v/>
      </c>
      <c r="E529">
        <f>MID(B529,1,1)*9+MID(B529,2,1)*8+MID(B529,3,1)*7+MID(B529,4,1)*6+MID(B529,5,1)*5+MID(B529,6,1)*4+MID(B529,7,1)*3+MID(B529,8,1)*2+MID(B529,9,1)</f>
        <v/>
      </c>
      <c r="F529">
        <f>IF(B529="", " ", IF(LEN(B529)&lt;&gt;11, "ДЛИНА", IF(NOT(ISNUMBER(--B529)), "НЕ ЦИФРЫ", IF(LEFT(B529,9)*1&lt;=1001998, "OK", IF(RIGHT(B529,2)*1=IF(MOD(E529,101)&gt;=100,0,MOD(E529,101)),"OK","ОШИБКА")))))</f>
        <v/>
      </c>
      <c r="G5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29">
        <f>IF(LEN(TRIM(A529))=10, --MID(A529,1,1)*2+--MID(A529,2,1)*4+--MID(A529,3,1)*10+--MID(A529,4,1)*3+--MID(A529,5,1)*5+--MID(A529,6,1)*9+--MID(A529,7,1)*4+--MID(A529,8,1)*6+--MID(A529,9,1)*8, IF(LEN(TRIM(A529))=12, --MID(A529,1,1)*7+--MID(A529,2,1)*2+--MID(A529,3,1)*4+--MID(A529,4,1)*10+--MID(A529,5,1)*3+--MID(A529,6,1)*5+--MID(A529,7,1)*9+--MID(A529,8,1)*4+--MID(A529,9,1)*6+--MID(A529,10,1)*8, ""))</f>
        <v/>
      </c>
      <c r="I529">
        <f>IF(LEN(TRIM(A529))=12, --MID(A529,1,1)*3+--MID(A529,2,1)*7+--MID(A529,3,1)*2+--MID(A529,4,1)*4+--MID(A529,5,1)*10+--MID(A529,6,1)*3+--MID(A529,7,1)*5+--MID(A529,8,1)*9+--MID(A529,9,1)*4+--MID(A529,10,1)*6+--MID(A529,11,1)*8, "")</f>
        <v/>
      </c>
    </row>
    <row r="530">
      <c r="A530">
        <f>SUBSTITUTE(SUBSTITUTE(SUBSTITUTE(SUBSTITUTE(TRIM(INDEX(Реестр!$B:$B,ROW())),CHAR(160),""),CHAR(9),""),CHAR(10),""),CHAR(13),"")</f>
        <v/>
      </c>
      <c r="B530">
        <f>SUBSTITUTE(SUBSTITUTE(SUBSTITUTE(SUBSTITUTE(SUBSTITUTE(SUBSTITUTE(SUBSTITUTE(TRIM(INDEX(Реестр!$D:$D, ROW())), "-", ""), " ", ""), CHAR(160), ""), CHAR(9), ""), CHAR(10), ""), CHAR(13), ""), CHAR(32), "")</f>
        <v/>
      </c>
      <c r="C530">
        <f>INDEX(Реестр!$H:$H, ROW())</f>
        <v/>
      </c>
      <c r="D530">
        <f>IF(OR(ISBLANK(INDEX(Реестр!$B:$B, ROW())), INDEX(Реестр!$B:$B, ROW())=""), " ", IF(IFERROR(ISNUMBER(--A530),FALSE), IF(LEN(A530)=10, IF(MOD(MOD(H530,11),10)=--RIGHT(A530,1), "OK", "ОШИБКА"), IF(LEN(A530)=12, IF(AND(MOD(MOD(H530,11),10)=--MID(A530,11,1), MOD(MOD(I530,11),10)=--RIGHT(A530,1)), "OK", "ОШИБКА"), "ДЛИНА (10 или 12)")), "НЕ ЦИФРЫ"))</f>
        <v/>
      </c>
      <c r="E530">
        <f>MID(B530,1,1)*9+MID(B530,2,1)*8+MID(B530,3,1)*7+MID(B530,4,1)*6+MID(B530,5,1)*5+MID(B530,6,1)*4+MID(B530,7,1)*3+MID(B530,8,1)*2+MID(B530,9,1)</f>
        <v/>
      </c>
      <c r="F530">
        <f>IF(B530="", " ", IF(LEN(B530)&lt;&gt;11, "ДЛИНА", IF(NOT(ISNUMBER(--B530)), "НЕ ЦИФРЫ", IF(LEFT(B530,9)*1&lt;=1001998, "OK", IF(RIGHT(B530,2)*1=IF(MOD(E530,101)&gt;=100,0,MOD(E530,101)),"OK","ОШИБКА")))))</f>
        <v/>
      </c>
      <c r="G5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0">
        <f>IF(LEN(TRIM(A530))=10, --MID(A530,1,1)*2+--MID(A530,2,1)*4+--MID(A530,3,1)*10+--MID(A530,4,1)*3+--MID(A530,5,1)*5+--MID(A530,6,1)*9+--MID(A530,7,1)*4+--MID(A530,8,1)*6+--MID(A530,9,1)*8, IF(LEN(TRIM(A530))=12, --MID(A530,1,1)*7+--MID(A530,2,1)*2+--MID(A530,3,1)*4+--MID(A530,4,1)*10+--MID(A530,5,1)*3+--MID(A530,6,1)*5+--MID(A530,7,1)*9+--MID(A530,8,1)*4+--MID(A530,9,1)*6+--MID(A530,10,1)*8, ""))</f>
        <v/>
      </c>
      <c r="I530">
        <f>IF(LEN(TRIM(A530))=12, --MID(A530,1,1)*3+--MID(A530,2,1)*7+--MID(A530,3,1)*2+--MID(A530,4,1)*4+--MID(A530,5,1)*10+--MID(A530,6,1)*3+--MID(A530,7,1)*5+--MID(A530,8,1)*9+--MID(A530,9,1)*4+--MID(A530,10,1)*6+--MID(A530,11,1)*8, "")</f>
        <v/>
      </c>
    </row>
    <row r="531">
      <c r="A531">
        <f>SUBSTITUTE(SUBSTITUTE(SUBSTITUTE(SUBSTITUTE(TRIM(INDEX(Реестр!$B:$B,ROW())),CHAR(160),""),CHAR(9),""),CHAR(10),""),CHAR(13),"")</f>
        <v/>
      </c>
      <c r="B531">
        <f>SUBSTITUTE(SUBSTITUTE(SUBSTITUTE(SUBSTITUTE(SUBSTITUTE(SUBSTITUTE(SUBSTITUTE(TRIM(INDEX(Реестр!$D:$D, ROW())), "-", ""), " ", ""), CHAR(160), ""), CHAR(9), ""), CHAR(10), ""), CHAR(13), ""), CHAR(32), "")</f>
        <v/>
      </c>
      <c r="C531">
        <f>INDEX(Реестр!$H:$H, ROW())</f>
        <v/>
      </c>
      <c r="D531">
        <f>IF(OR(ISBLANK(INDEX(Реестр!$B:$B, ROW())), INDEX(Реестр!$B:$B, ROW())=""), " ", IF(IFERROR(ISNUMBER(--A531),FALSE), IF(LEN(A531)=10, IF(MOD(MOD(H531,11),10)=--RIGHT(A531,1), "OK", "ОШИБКА"), IF(LEN(A531)=12, IF(AND(MOD(MOD(H531,11),10)=--MID(A531,11,1), MOD(MOD(I531,11),10)=--RIGHT(A531,1)), "OK", "ОШИБКА"), "ДЛИНА (10 или 12)")), "НЕ ЦИФРЫ"))</f>
        <v/>
      </c>
      <c r="E531">
        <f>MID(B531,1,1)*9+MID(B531,2,1)*8+MID(B531,3,1)*7+MID(B531,4,1)*6+MID(B531,5,1)*5+MID(B531,6,1)*4+MID(B531,7,1)*3+MID(B531,8,1)*2+MID(B531,9,1)</f>
        <v/>
      </c>
      <c r="F531">
        <f>IF(B531="", " ", IF(LEN(B531)&lt;&gt;11, "ДЛИНА", IF(NOT(ISNUMBER(--B531)), "НЕ ЦИФРЫ", IF(LEFT(B531,9)*1&lt;=1001998, "OK", IF(RIGHT(B531,2)*1=IF(MOD(E531,101)&gt;=100,0,MOD(E531,101)),"OK","ОШИБКА")))))</f>
        <v/>
      </c>
      <c r="G5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1">
        <f>IF(LEN(TRIM(A531))=10, --MID(A531,1,1)*2+--MID(A531,2,1)*4+--MID(A531,3,1)*10+--MID(A531,4,1)*3+--MID(A531,5,1)*5+--MID(A531,6,1)*9+--MID(A531,7,1)*4+--MID(A531,8,1)*6+--MID(A531,9,1)*8, IF(LEN(TRIM(A531))=12, --MID(A531,1,1)*7+--MID(A531,2,1)*2+--MID(A531,3,1)*4+--MID(A531,4,1)*10+--MID(A531,5,1)*3+--MID(A531,6,1)*5+--MID(A531,7,1)*9+--MID(A531,8,1)*4+--MID(A531,9,1)*6+--MID(A531,10,1)*8, ""))</f>
        <v/>
      </c>
      <c r="I531">
        <f>IF(LEN(TRIM(A531))=12, --MID(A531,1,1)*3+--MID(A531,2,1)*7+--MID(A531,3,1)*2+--MID(A531,4,1)*4+--MID(A531,5,1)*10+--MID(A531,6,1)*3+--MID(A531,7,1)*5+--MID(A531,8,1)*9+--MID(A531,9,1)*4+--MID(A531,10,1)*6+--MID(A531,11,1)*8, "")</f>
        <v/>
      </c>
    </row>
    <row r="532">
      <c r="A532">
        <f>SUBSTITUTE(SUBSTITUTE(SUBSTITUTE(SUBSTITUTE(TRIM(INDEX(Реестр!$B:$B,ROW())),CHAR(160),""),CHAR(9),""),CHAR(10),""),CHAR(13),"")</f>
        <v/>
      </c>
      <c r="B532">
        <f>SUBSTITUTE(SUBSTITUTE(SUBSTITUTE(SUBSTITUTE(SUBSTITUTE(SUBSTITUTE(SUBSTITUTE(TRIM(INDEX(Реестр!$D:$D, ROW())), "-", ""), " ", ""), CHAR(160), ""), CHAR(9), ""), CHAR(10), ""), CHAR(13), ""), CHAR(32), "")</f>
        <v/>
      </c>
      <c r="C532">
        <f>INDEX(Реестр!$H:$H, ROW())</f>
        <v/>
      </c>
      <c r="D532">
        <f>IF(OR(ISBLANK(INDEX(Реестр!$B:$B, ROW())), INDEX(Реестр!$B:$B, ROW())=""), " ", IF(IFERROR(ISNUMBER(--A532),FALSE), IF(LEN(A532)=10, IF(MOD(MOD(H532,11),10)=--RIGHT(A532,1), "OK", "ОШИБКА"), IF(LEN(A532)=12, IF(AND(MOD(MOD(H532,11),10)=--MID(A532,11,1), MOD(MOD(I532,11),10)=--RIGHT(A532,1)), "OK", "ОШИБКА"), "ДЛИНА (10 или 12)")), "НЕ ЦИФРЫ"))</f>
        <v/>
      </c>
      <c r="E532">
        <f>MID(B532,1,1)*9+MID(B532,2,1)*8+MID(B532,3,1)*7+MID(B532,4,1)*6+MID(B532,5,1)*5+MID(B532,6,1)*4+MID(B532,7,1)*3+MID(B532,8,1)*2+MID(B532,9,1)</f>
        <v/>
      </c>
      <c r="F532">
        <f>IF(B532="", " ", IF(LEN(B532)&lt;&gt;11, "ДЛИНА", IF(NOT(ISNUMBER(--B532)), "НЕ ЦИФРЫ", IF(LEFT(B532,9)*1&lt;=1001998, "OK", IF(RIGHT(B532,2)*1=IF(MOD(E532,101)&gt;=100,0,MOD(E532,101)),"OK","ОШИБКА")))))</f>
        <v/>
      </c>
      <c r="G5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2">
        <f>IF(LEN(TRIM(A532))=10, --MID(A532,1,1)*2+--MID(A532,2,1)*4+--MID(A532,3,1)*10+--MID(A532,4,1)*3+--MID(A532,5,1)*5+--MID(A532,6,1)*9+--MID(A532,7,1)*4+--MID(A532,8,1)*6+--MID(A532,9,1)*8, IF(LEN(TRIM(A532))=12, --MID(A532,1,1)*7+--MID(A532,2,1)*2+--MID(A532,3,1)*4+--MID(A532,4,1)*10+--MID(A532,5,1)*3+--MID(A532,6,1)*5+--MID(A532,7,1)*9+--MID(A532,8,1)*4+--MID(A532,9,1)*6+--MID(A532,10,1)*8, ""))</f>
        <v/>
      </c>
      <c r="I532">
        <f>IF(LEN(TRIM(A532))=12, --MID(A532,1,1)*3+--MID(A532,2,1)*7+--MID(A532,3,1)*2+--MID(A532,4,1)*4+--MID(A532,5,1)*10+--MID(A532,6,1)*3+--MID(A532,7,1)*5+--MID(A532,8,1)*9+--MID(A532,9,1)*4+--MID(A532,10,1)*6+--MID(A532,11,1)*8, "")</f>
        <v/>
      </c>
    </row>
    <row r="533">
      <c r="A533">
        <f>SUBSTITUTE(SUBSTITUTE(SUBSTITUTE(SUBSTITUTE(TRIM(INDEX(Реестр!$B:$B,ROW())),CHAR(160),""),CHAR(9),""),CHAR(10),""),CHAR(13),"")</f>
        <v/>
      </c>
      <c r="B533">
        <f>SUBSTITUTE(SUBSTITUTE(SUBSTITUTE(SUBSTITUTE(SUBSTITUTE(SUBSTITUTE(SUBSTITUTE(TRIM(INDEX(Реестр!$D:$D, ROW())), "-", ""), " ", ""), CHAR(160), ""), CHAR(9), ""), CHAR(10), ""), CHAR(13), ""), CHAR(32), "")</f>
        <v/>
      </c>
      <c r="C533">
        <f>INDEX(Реестр!$H:$H, ROW())</f>
        <v/>
      </c>
      <c r="D533">
        <f>IF(OR(ISBLANK(INDEX(Реестр!$B:$B, ROW())), INDEX(Реестр!$B:$B, ROW())=""), " ", IF(IFERROR(ISNUMBER(--A533),FALSE), IF(LEN(A533)=10, IF(MOD(MOD(H533,11),10)=--RIGHT(A533,1), "OK", "ОШИБКА"), IF(LEN(A533)=12, IF(AND(MOD(MOD(H533,11),10)=--MID(A533,11,1), MOD(MOD(I533,11),10)=--RIGHT(A533,1)), "OK", "ОШИБКА"), "ДЛИНА (10 или 12)")), "НЕ ЦИФРЫ"))</f>
        <v/>
      </c>
      <c r="E533">
        <f>MID(B533,1,1)*9+MID(B533,2,1)*8+MID(B533,3,1)*7+MID(B533,4,1)*6+MID(B533,5,1)*5+MID(B533,6,1)*4+MID(B533,7,1)*3+MID(B533,8,1)*2+MID(B533,9,1)</f>
        <v/>
      </c>
      <c r="F533">
        <f>IF(B533="", " ", IF(LEN(B533)&lt;&gt;11, "ДЛИНА", IF(NOT(ISNUMBER(--B533)), "НЕ ЦИФРЫ", IF(LEFT(B533,9)*1&lt;=1001998, "OK", IF(RIGHT(B533,2)*1=IF(MOD(E533,101)&gt;=100,0,MOD(E533,101)),"OK","ОШИБКА")))))</f>
        <v/>
      </c>
      <c r="G5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3">
        <f>IF(LEN(TRIM(A533))=10, --MID(A533,1,1)*2+--MID(A533,2,1)*4+--MID(A533,3,1)*10+--MID(A533,4,1)*3+--MID(A533,5,1)*5+--MID(A533,6,1)*9+--MID(A533,7,1)*4+--MID(A533,8,1)*6+--MID(A533,9,1)*8, IF(LEN(TRIM(A533))=12, --MID(A533,1,1)*7+--MID(A533,2,1)*2+--MID(A533,3,1)*4+--MID(A533,4,1)*10+--MID(A533,5,1)*3+--MID(A533,6,1)*5+--MID(A533,7,1)*9+--MID(A533,8,1)*4+--MID(A533,9,1)*6+--MID(A533,10,1)*8, ""))</f>
        <v/>
      </c>
      <c r="I533">
        <f>IF(LEN(TRIM(A533))=12, --MID(A533,1,1)*3+--MID(A533,2,1)*7+--MID(A533,3,1)*2+--MID(A533,4,1)*4+--MID(A533,5,1)*10+--MID(A533,6,1)*3+--MID(A533,7,1)*5+--MID(A533,8,1)*9+--MID(A533,9,1)*4+--MID(A533,10,1)*6+--MID(A533,11,1)*8, "")</f>
        <v/>
      </c>
    </row>
    <row r="534">
      <c r="A534">
        <f>SUBSTITUTE(SUBSTITUTE(SUBSTITUTE(SUBSTITUTE(TRIM(INDEX(Реестр!$B:$B,ROW())),CHAR(160),""),CHAR(9),""),CHAR(10),""),CHAR(13),"")</f>
        <v/>
      </c>
      <c r="B534">
        <f>SUBSTITUTE(SUBSTITUTE(SUBSTITUTE(SUBSTITUTE(SUBSTITUTE(SUBSTITUTE(SUBSTITUTE(TRIM(INDEX(Реестр!$D:$D, ROW())), "-", ""), " ", ""), CHAR(160), ""), CHAR(9), ""), CHAR(10), ""), CHAR(13), ""), CHAR(32), "")</f>
        <v/>
      </c>
      <c r="C534">
        <f>INDEX(Реестр!$H:$H, ROW())</f>
        <v/>
      </c>
      <c r="D534">
        <f>IF(OR(ISBLANK(INDEX(Реестр!$B:$B, ROW())), INDEX(Реестр!$B:$B, ROW())=""), " ", IF(IFERROR(ISNUMBER(--A534),FALSE), IF(LEN(A534)=10, IF(MOD(MOD(H534,11),10)=--RIGHT(A534,1), "OK", "ОШИБКА"), IF(LEN(A534)=12, IF(AND(MOD(MOD(H534,11),10)=--MID(A534,11,1), MOD(MOD(I534,11),10)=--RIGHT(A534,1)), "OK", "ОШИБКА"), "ДЛИНА (10 или 12)")), "НЕ ЦИФРЫ"))</f>
        <v/>
      </c>
      <c r="E534">
        <f>MID(B534,1,1)*9+MID(B534,2,1)*8+MID(B534,3,1)*7+MID(B534,4,1)*6+MID(B534,5,1)*5+MID(B534,6,1)*4+MID(B534,7,1)*3+MID(B534,8,1)*2+MID(B534,9,1)</f>
        <v/>
      </c>
      <c r="F534">
        <f>IF(B534="", " ", IF(LEN(B534)&lt;&gt;11, "ДЛИНА", IF(NOT(ISNUMBER(--B534)), "НЕ ЦИФРЫ", IF(LEFT(B534,9)*1&lt;=1001998, "OK", IF(RIGHT(B534,2)*1=IF(MOD(E534,101)&gt;=100,0,MOD(E534,101)),"OK","ОШИБКА")))))</f>
        <v/>
      </c>
      <c r="G5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4">
        <f>IF(LEN(TRIM(A534))=10, --MID(A534,1,1)*2+--MID(A534,2,1)*4+--MID(A534,3,1)*10+--MID(A534,4,1)*3+--MID(A534,5,1)*5+--MID(A534,6,1)*9+--MID(A534,7,1)*4+--MID(A534,8,1)*6+--MID(A534,9,1)*8, IF(LEN(TRIM(A534))=12, --MID(A534,1,1)*7+--MID(A534,2,1)*2+--MID(A534,3,1)*4+--MID(A534,4,1)*10+--MID(A534,5,1)*3+--MID(A534,6,1)*5+--MID(A534,7,1)*9+--MID(A534,8,1)*4+--MID(A534,9,1)*6+--MID(A534,10,1)*8, ""))</f>
        <v/>
      </c>
      <c r="I534">
        <f>IF(LEN(TRIM(A534))=12, --MID(A534,1,1)*3+--MID(A534,2,1)*7+--MID(A534,3,1)*2+--MID(A534,4,1)*4+--MID(A534,5,1)*10+--MID(A534,6,1)*3+--MID(A534,7,1)*5+--MID(A534,8,1)*9+--MID(A534,9,1)*4+--MID(A534,10,1)*6+--MID(A534,11,1)*8, "")</f>
        <v/>
      </c>
    </row>
    <row r="535">
      <c r="A535">
        <f>SUBSTITUTE(SUBSTITUTE(SUBSTITUTE(SUBSTITUTE(TRIM(INDEX(Реестр!$B:$B,ROW())),CHAR(160),""),CHAR(9),""),CHAR(10),""),CHAR(13),"")</f>
        <v/>
      </c>
      <c r="B535">
        <f>SUBSTITUTE(SUBSTITUTE(SUBSTITUTE(SUBSTITUTE(SUBSTITUTE(SUBSTITUTE(SUBSTITUTE(TRIM(INDEX(Реестр!$D:$D, ROW())), "-", ""), " ", ""), CHAR(160), ""), CHAR(9), ""), CHAR(10), ""), CHAR(13), ""), CHAR(32), "")</f>
        <v/>
      </c>
      <c r="C535">
        <f>INDEX(Реестр!$H:$H, ROW())</f>
        <v/>
      </c>
      <c r="D535">
        <f>IF(OR(ISBLANK(INDEX(Реестр!$B:$B, ROW())), INDEX(Реестр!$B:$B, ROW())=""), " ", IF(IFERROR(ISNUMBER(--A535),FALSE), IF(LEN(A535)=10, IF(MOD(MOD(H535,11),10)=--RIGHT(A535,1), "OK", "ОШИБКА"), IF(LEN(A535)=12, IF(AND(MOD(MOD(H535,11),10)=--MID(A535,11,1), MOD(MOD(I535,11),10)=--RIGHT(A535,1)), "OK", "ОШИБКА"), "ДЛИНА (10 или 12)")), "НЕ ЦИФРЫ"))</f>
        <v/>
      </c>
      <c r="E535">
        <f>MID(B535,1,1)*9+MID(B535,2,1)*8+MID(B535,3,1)*7+MID(B535,4,1)*6+MID(B535,5,1)*5+MID(B535,6,1)*4+MID(B535,7,1)*3+MID(B535,8,1)*2+MID(B535,9,1)</f>
        <v/>
      </c>
      <c r="F535">
        <f>IF(B535="", " ", IF(LEN(B535)&lt;&gt;11, "ДЛИНА", IF(NOT(ISNUMBER(--B535)), "НЕ ЦИФРЫ", IF(LEFT(B535,9)*1&lt;=1001998, "OK", IF(RIGHT(B535,2)*1=IF(MOD(E535,101)&gt;=100,0,MOD(E535,101)),"OK","ОШИБКА")))))</f>
        <v/>
      </c>
      <c r="G5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5">
        <f>IF(LEN(TRIM(A535))=10, --MID(A535,1,1)*2+--MID(A535,2,1)*4+--MID(A535,3,1)*10+--MID(A535,4,1)*3+--MID(A535,5,1)*5+--MID(A535,6,1)*9+--MID(A535,7,1)*4+--MID(A535,8,1)*6+--MID(A535,9,1)*8, IF(LEN(TRIM(A535))=12, --MID(A535,1,1)*7+--MID(A535,2,1)*2+--MID(A535,3,1)*4+--MID(A535,4,1)*10+--MID(A535,5,1)*3+--MID(A535,6,1)*5+--MID(A535,7,1)*9+--MID(A535,8,1)*4+--MID(A535,9,1)*6+--MID(A535,10,1)*8, ""))</f>
        <v/>
      </c>
      <c r="I535">
        <f>IF(LEN(TRIM(A535))=12, --MID(A535,1,1)*3+--MID(A535,2,1)*7+--MID(A535,3,1)*2+--MID(A535,4,1)*4+--MID(A535,5,1)*10+--MID(A535,6,1)*3+--MID(A535,7,1)*5+--MID(A535,8,1)*9+--MID(A535,9,1)*4+--MID(A535,10,1)*6+--MID(A535,11,1)*8, "")</f>
        <v/>
      </c>
    </row>
    <row r="536">
      <c r="A536">
        <f>SUBSTITUTE(SUBSTITUTE(SUBSTITUTE(SUBSTITUTE(TRIM(INDEX(Реестр!$B:$B,ROW())),CHAR(160),""),CHAR(9),""),CHAR(10),""),CHAR(13),"")</f>
        <v/>
      </c>
      <c r="B536">
        <f>SUBSTITUTE(SUBSTITUTE(SUBSTITUTE(SUBSTITUTE(SUBSTITUTE(SUBSTITUTE(SUBSTITUTE(TRIM(INDEX(Реестр!$D:$D, ROW())), "-", ""), " ", ""), CHAR(160), ""), CHAR(9), ""), CHAR(10), ""), CHAR(13), ""), CHAR(32), "")</f>
        <v/>
      </c>
      <c r="C536">
        <f>INDEX(Реестр!$H:$H, ROW())</f>
        <v/>
      </c>
      <c r="D536">
        <f>IF(OR(ISBLANK(INDEX(Реестр!$B:$B, ROW())), INDEX(Реестр!$B:$B, ROW())=""), " ", IF(IFERROR(ISNUMBER(--A536),FALSE), IF(LEN(A536)=10, IF(MOD(MOD(H536,11),10)=--RIGHT(A536,1), "OK", "ОШИБКА"), IF(LEN(A536)=12, IF(AND(MOD(MOD(H536,11),10)=--MID(A536,11,1), MOD(MOD(I536,11),10)=--RIGHT(A536,1)), "OK", "ОШИБКА"), "ДЛИНА (10 или 12)")), "НЕ ЦИФРЫ"))</f>
        <v/>
      </c>
      <c r="E536">
        <f>MID(B536,1,1)*9+MID(B536,2,1)*8+MID(B536,3,1)*7+MID(B536,4,1)*6+MID(B536,5,1)*5+MID(B536,6,1)*4+MID(B536,7,1)*3+MID(B536,8,1)*2+MID(B536,9,1)</f>
        <v/>
      </c>
      <c r="F536">
        <f>IF(B536="", " ", IF(LEN(B536)&lt;&gt;11, "ДЛИНА", IF(NOT(ISNUMBER(--B536)), "НЕ ЦИФРЫ", IF(LEFT(B536,9)*1&lt;=1001998, "OK", IF(RIGHT(B536,2)*1=IF(MOD(E536,101)&gt;=100,0,MOD(E536,101)),"OK","ОШИБКА")))))</f>
        <v/>
      </c>
      <c r="G5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6">
        <f>IF(LEN(TRIM(A536))=10, --MID(A536,1,1)*2+--MID(A536,2,1)*4+--MID(A536,3,1)*10+--MID(A536,4,1)*3+--MID(A536,5,1)*5+--MID(A536,6,1)*9+--MID(A536,7,1)*4+--MID(A536,8,1)*6+--MID(A536,9,1)*8, IF(LEN(TRIM(A536))=12, --MID(A536,1,1)*7+--MID(A536,2,1)*2+--MID(A536,3,1)*4+--MID(A536,4,1)*10+--MID(A536,5,1)*3+--MID(A536,6,1)*5+--MID(A536,7,1)*9+--MID(A536,8,1)*4+--MID(A536,9,1)*6+--MID(A536,10,1)*8, ""))</f>
        <v/>
      </c>
      <c r="I536">
        <f>IF(LEN(TRIM(A536))=12, --MID(A536,1,1)*3+--MID(A536,2,1)*7+--MID(A536,3,1)*2+--MID(A536,4,1)*4+--MID(A536,5,1)*10+--MID(A536,6,1)*3+--MID(A536,7,1)*5+--MID(A536,8,1)*9+--MID(A536,9,1)*4+--MID(A536,10,1)*6+--MID(A536,11,1)*8, "")</f>
        <v/>
      </c>
    </row>
    <row r="537">
      <c r="A537">
        <f>SUBSTITUTE(SUBSTITUTE(SUBSTITUTE(SUBSTITUTE(TRIM(INDEX(Реестр!$B:$B,ROW())),CHAR(160),""),CHAR(9),""),CHAR(10),""),CHAR(13),"")</f>
        <v/>
      </c>
      <c r="B537">
        <f>SUBSTITUTE(SUBSTITUTE(SUBSTITUTE(SUBSTITUTE(SUBSTITUTE(SUBSTITUTE(SUBSTITUTE(TRIM(INDEX(Реестр!$D:$D, ROW())), "-", ""), " ", ""), CHAR(160), ""), CHAR(9), ""), CHAR(10), ""), CHAR(13), ""), CHAR(32), "")</f>
        <v/>
      </c>
      <c r="C537">
        <f>INDEX(Реестр!$H:$H, ROW())</f>
        <v/>
      </c>
      <c r="D537">
        <f>IF(OR(ISBLANK(INDEX(Реестр!$B:$B, ROW())), INDEX(Реестр!$B:$B, ROW())=""), " ", IF(IFERROR(ISNUMBER(--A537),FALSE), IF(LEN(A537)=10, IF(MOD(MOD(H537,11),10)=--RIGHT(A537,1), "OK", "ОШИБКА"), IF(LEN(A537)=12, IF(AND(MOD(MOD(H537,11),10)=--MID(A537,11,1), MOD(MOD(I537,11),10)=--RIGHT(A537,1)), "OK", "ОШИБКА"), "ДЛИНА (10 или 12)")), "НЕ ЦИФРЫ"))</f>
        <v/>
      </c>
      <c r="E537">
        <f>MID(B537,1,1)*9+MID(B537,2,1)*8+MID(B537,3,1)*7+MID(B537,4,1)*6+MID(B537,5,1)*5+MID(B537,6,1)*4+MID(B537,7,1)*3+MID(B537,8,1)*2+MID(B537,9,1)</f>
        <v/>
      </c>
      <c r="F537">
        <f>IF(B537="", " ", IF(LEN(B537)&lt;&gt;11, "ДЛИНА", IF(NOT(ISNUMBER(--B537)), "НЕ ЦИФРЫ", IF(LEFT(B537,9)*1&lt;=1001998, "OK", IF(RIGHT(B537,2)*1=IF(MOD(E537,101)&gt;=100,0,MOD(E537,101)),"OK","ОШИБКА")))))</f>
        <v/>
      </c>
      <c r="G5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7">
        <f>IF(LEN(TRIM(A537))=10, --MID(A537,1,1)*2+--MID(A537,2,1)*4+--MID(A537,3,1)*10+--MID(A537,4,1)*3+--MID(A537,5,1)*5+--MID(A537,6,1)*9+--MID(A537,7,1)*4+--MID(A537,8,1)*6+--MID(A537,9,1)*8, IF(LEN(TRIM(A537))=12, --MID(A537,1,1)*7+--MID(A537,2,1)*2+--MID(A537,3,1)*4+--MID(A537,4,1)*10+--MID(A537,5,1)*3+--MID(A537,6,1)*5+--MID(A537,7,1)*9+--MID(A537,8,1)*4+--MID(A537,9,1)*6+--MID(A537,10,1)*8, ""))</f>
        <v/>
      </c>
      <c r="I537">
        <f>IF(LEN(TRIM(A537))=12, --MID(A537,1,1)*3+--MID(A537,2,1)*7+--MID(A537,3,1)*2+--MID(A537,4,1)*4+--MID(A537,5,1)*10+--MID(A537,6,1)*3+--MID(A537,7,1)*5+--MID(A537,8,1)*9+--MID(A537,9,1)*4+--MID(A537,10,1)*6+--MID(A537,11,1)*8, "")</f>
        <v/>
      </c>
    </row>
    <row r="538">
      <c r="A538">
        <f>SUBSTITUTE(SUBSTITUTE(SUBSTITUTE(SUBSTITUTE(TRIM(INDEX(Реестр!$B:$B,ROW())),CHAR(160),""),CHAR(9),""),CHAR(10),""),CHAR(13),"")</f>
        <v/>
      </c>
      <c r="B538">
        <f>SUBSTITUTE(SUBSTITUTE(SUBSTITUTE(SUBSTITUTE(SUBSTITUTE(SUBSTITUTE(SUBSTITUTE(TRIM(INDEX(Реестр!$D:$D, ROW())), "-", ""), " ", ""), CHAR(160), ""), CHAR(9), ""), CHAR(10), ""), CHAR(13), ""), CHAR(32), "")</f>
        <v/>
      </c>
      <c r="C538">
        <f>INDEX(Реестр!$H:$H, ROW())</f>
        <v/>
      </c>
      <c r="D538">
        <f>IF(OR(ISBLANK(INDEX(Реестр!$B:$B, ROW())), INDEX(Реестр!$B:$B, ROW())=""), " ", IF(IFERROR(ISNUMBER(--A538),FALSE), IF(LEN(A538)=10, IF(MOD(MOD(H538,11),10)=--RIGHT(A538,1), "OK", "ОШИБКА"), IF(LEN(A538)=12, IF(AND(MOD(MOD(H538,11),10)=--MID(A538,11,1), MOD(MOD(I538,11),10)=--RIGHT(A538,1)), "OK", "ОШИБКА"), "ДЛИНА (10 или 12)")), "НЕ ЦИФРЫ"))</f>
        <v/>
      </c>
      <c r="E538">
        <f>MID(B538,1,1)*9+MID(B538,2,1)*8+MID(B538,3,1)*7+MID(B538,4,1)*6+MID(B538,5,1)*5+MID(B538,6,1)*4+MID(B538,7,1)*3+MID(B538,8,1)*2+MID(B538,9,1)</f>
        <v/>
      </c>
      <c r="F538">
        <f>IF(B538="", " ", IF(LEN(B538)&lt;&gt;11, "ДЛИНА", IF(NOT(ISNUMBER(--B538)), "НЕ ЦИФРЫ", IF(LEFT(B538,9)*1&lt;=1001998, "OK", IF(RIGHT(B538,2)*1=IF(MOD(E538,101)&gt;=100,0,MOD(E538,101)),"OK","ОШИБКА")))))</f>
        <v/>
      </c>
      <c r="G5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8">
        <f>IF(LEN(TRIM(A538))=10, --MID(A538,1,1)*2+--MID(A538,2,1)*4+--MID(A538,3,1)*10+--MID(A538,4,1)*3+--MID(A538,5,1)*5+--MID(A538,6,1)*9+--MID(A538,7,1)*4+--MID(A538,8,1)*6+--MID(A538,9,1)*8, IF(LEN(TRIM(A538))=12, --MID(A538,1,1)*7+--MID(A538,2,1)*2+--MID(A538,3,1)*4+--MID(A538,4,1)*10+--MID(A538,5,1)*3+--MID(A538,6,1)*5+--MID(A538,7,1)*9+--MID(A538,8,1)*4+--MID(A538,9,1)*6+--MID(A538,10,1)*8, ""))</f>
        <v/>
      </c>
      <c r="I538">
        <f>IF(LEN(TRIM(A538))=12, --MID(A538,1,1)*3+--MID(A538,2,1)*7+--MID(A538,3,1)*2+--MID(A538,4,1)*4+--MID(A538,5,1)*10+--MID(A538,6,1)*3+--MID(A538,7,1)*5+--MID(A538,8,1)*9+--MID(A538,9,1)*4+--MID(A538,10,1)*6+--MID(A538,11,1)*8, "")</f>
        <v/>
      </c>
    </row>
    <row r="539">
      <c r="A539">
        <f>SUBSTITUTE(SUBSTITUTE(SUBSTITUTE(SUBSTITUTE(TRIM(INDEX(Реестр!$B:$B,ROW())),CHAR(160),""),CHAR(9),""),CHAR(10),""),CHAR(13),"")</f>
        <v/>
      </c>
      <c r="B539">
        <f>SUBSTITUTE(SUBSTITUTE(SUBSTITUTE(SUBSTITUTE(SUBSTITUTE(SUBSTITUTE(SUBSTITUTE(TRIM(INDEX(Реестр!$D:$D, ROW())), "-", ""), " ", ""), CHAR(160), ""), CHAR(9), ""), CHAR(10), ""), CHAR(13), ""), CHAR(32), "")</f>
        <v/>
      </c>
      <c r="C539">
        <f>INDEX(Реестр!$H:$H, ROW())</f>
        <v/>
      </c>
      <c r="D539">
        <f>IF(OR(ISBLANK(INDEX(Реестр!$B:$B, ROW())), INDEX(Реестр!$B:$B, ROW())=""), " ", IF(IFERROR(ISNUMBER(--A539),FALSE), IF(LEN(A539)=10, IF(MOD(MOD(H539,11),10)=--RIGHT(A539,1), "OK", "ОШИБКА"), IF(LEN(A539)=12, IF(AND(MOD(MOD(H539,11),10)=--MID(A539,11,1), MOD(MOD(I539,11),10)=--RIGHT(A539,1)), "OK", "ОШИБКА"), "ДЛИНА (10 или 12)")), "НЕ ЦИФРЫ"))</f>
        <v/>
      </c>
      <c r="E539">
        <f>MID(B539,1,1)*9+MID(B539,2,1)*8+MID(B539,3,1)*7+MID(B539,4,1)*6+MID(B539,5,1)*5+MID(B539,6,1)*4+MID(B539,7,1)*3+MID(B539,8,1)*2+MID(B539,9,1)</f>
        <v/>
      </c>
      <c r="F539">
        <f>IF(B539="", " ", IF(LEN(B539)&lt;&gt;11, "ДЛИНА", IF(NOT(ISNUMBER(--B539)), "НЕ ЦИФРЫ", IF(LEFT(B539,9)*1&lt;=1001998, "OK", IF(RIGHT(B539,2)*1=IF(MOD(E539,101)&gt;=100,0,MOD(E539,101)),"OK","ОШИБКА")))))</f>
        <v/>
      </c>
      <c r="G5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39">
        <f>IF(LEN(TRIM(A539))=10, --MID(A539,1,1)*2+--MID(A539,2,1)*4+--MID(A539,3,1)*10+--MID(A539,4,1)*3+--MID(A539,5,1)*5+--MID(A539,6,1)*9+--MID(A539,7,1)*4+--MID(A539,8,1)*6+--MID(A539,9,1)*8, IF(LEN(TRIM(A539))=12, --MID(A539,1,1)*7+--MID(A539,2,1)*2+--MID(A539,3,1)*4+--MID(A539,4,1)*10+--MID(A539,5,1)*3+--MID(A539,6,1)*5+--MID(A539,7,1)*9+--MID(A539,8,1)*4+--MID(A539,9,1)*6+--MID(A539,10,1)*8, ""))</f>
        <v/>
      </c>
      <c r="I539">
        <f>IF(LEN(TRIM(A539))=12, --MID(A539,1,1)*3+--MID(A539,2,1)*7+--MID(A539,3,1)*2+--MID(A539,4,1)*4+--MID(A539,5,1)*10+--MID(A539,6,1)*3+--MID(A539,7,1)*5+--MID(A539,8,1)*9+--MID(A539,9,1)*4+--MID(A539,10,1)*6+--MID(A539,11,1)*8, "")</f>
        <v/>
      </c>
    </row>
    <row r="540">
      <c r="A540">
        <f>SUBSTITUTE(SUBSTITUTE(SUBSTITUTE(SUBSTITUTE(TRIM(INDEX(Реестр!$B:$B,ROW())),CHAR(160),""),CHAR(9),""),CHAR(10),""),CHAR(13),"")</f>
        <v/>
      </c>
      <c r="B540">
        <f>SUBSTITUTE(SUBSTITUTE(SUBSTITUTE(SUBSTITUTE(SUBSTITUTE(SUBSTITUTE(SUBSTITUTE(TRIM(INDEX(Реестр!$D:$D, ROW())), "-", ""), " ", ""), CHAR(160), ""), CHAR(9), ""), CHAR(10), ""), CHAR(13), ""), CHAR(32), "")</f>
        <v/>
      </c>
      <c r="C540">
        <f>INDEX(Реестр!$H:$H, ROW())</f>
        <v/>
      </c>
      <c r="D540">
        <f>IF(OR(ISBLANK(INDEX(Реестр!$B:$B, ROW())), INDEX(Реестр!$B:$B, ROW())=""), " ", IF(IFERROR(ISNUMBER(--A540),FALSE), IF(LEN(A540)=10, IF(MOD(MOD(H540,11),10)=--RIGHT(A540,1), "OK", "ОШИБКА"), IF(LEN(A540)=12, IF(AND(MOD(MOD(H540,11),10)=--MID(A540,11,1), MOD(MOD(I540,11),10)=--RIGHT(A540,1)), "OK", "ОШИБКА"), "ДЛИНА (10 или 12)")), "НЕ ЦИФРЫ"))</f>
        <v/>
      </c>
      <c r="E540">
        <f>MID(B540,1,1)*9+MID(B540,2,1)*8+MID(B540,3,1)*7+MID(B540,4,1)*6+MID(B540,5,1)*5+MID(B540,6,1)*4+MID(B540,7,1)*3+MID(B540,8,1)*2+MID(B540,9,1)</f>
        <v/>
      </c>
      <c r="F540">
        <f>IF(B540="", " ", IF(LEN(B540)&lt;&gt;11, "ДЛИНА", IF(NOT(ISNUMBER(--B540)), "НЕ ЦИФРЫ", IF(LEFT(B540,9)*1&lt;=1001998, "OK", IF(RIGHT(B540,2)*1=IF(MOD(E540,101)&gt;=100,0,MOD(E540,101)),"OK","ОШИБКА")))))</f>
        <v/>
      </c>
      <c r="G5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0">
        <f>IF(LEN(TRIM(A540))=10, --MID(A540,1,1)*2+--MID(A540,2,1)*4+--MID(A540,3,1)*10+--MID(A540,4,1)*3+--MID(A540,5,1)*5+--MID(A540,6,1)*9+--MID(A540,7,1)*4+--MID(A540,8,1)*6+--MID(A540,9,1)*8, IF(LEN(TRIM(A540))=12, --MID(A540,1,1)*7+--MID(A540,2,1)*2+--MID(A540,3,1)*4+--MID(A540,4,1)*10+--MID(A540,5,1)*3+--MID(A540,6,1)*5+--MID(A540,7,1)*9+--MID(A540,8,1)*4+--MID(A540,9,1)*6+--MID(A540,10,1)*8, ""))</f>
        <v/>
      </c>
      <c r="I540">
        <f>IF(LEN(TRIM(A540))=12, --MID(A540,1,1)*3+--MID(A540,2,1)*7+--MID(A540,3,1)*2+--MID(A540,4,1)*4+--MID(A540,5,1)*10+--MID(A540,6,1)*3+--MID(A540,7,1)*5+--MID(A540,8,1)*9+--MID(A540,9,1)*4+--MID(A540,10,1)*6+--MID(A540,11,1)*8, "")</f>
        <v/>
      </c>
    </row>
    <row r="541">
      <c r="A541">
        <f>SUBSTITUTE(SUBSTITUTE(SUBSTITUTE(SUBSTITUTE(TRIM(INDEX(Реестр!$B:$B,ROW())),CHAR(160),""),CHAR(9),""),CHAR(10),""),CHAR(13),"")</f>
        <v/>
      </c>
      <c r="B541">
        <f>SUBSTITUTE(SUBSTITUTE(SUBSTITUTE(SUBSTITUTE(SUBSTITUTE(SUBSTITUTE(SUBSTITUTE(TRIM(INDEX(Реестр!$D:$D, ROW())), "-", ""), " ", ""), CHAR(160), ""), CHAR(9), ""), CHAR(10), ""), CHAR(13), ""), CHAR(32), "")</f>
        <v/>
      </c>
      <c r="C541">
        <f>INDEX(Реестр!$H:$H, ROW())</f>
        <v/>
      </c>
      <c r="D541">
        <f>IF(OR(ISBLANK(INDEX(Реестр!$B:$B, ROW())), INDEX(Реестр!$B:$B, ROW())=""), " ", IF(IFERROR(ISNUMBER(--A541),FALSE), IF(LEN(A541)=10, IF(MOD(MOD(H541,11),10)=--RIGHT(A541,1), "OK", "ОШИБКА"), IF(LEN(A541)=12, IF(AND(MOD(MOD(H541,11),10)=--MID(A541,11,1), MOD(MOD(I541,11),10)=--RIGHT(A541,1)), "OK", "ОШИБКА"), "ДЛИНА (10 или 12)")), "НЕ ЦИФРЫ"))</f>
        <v/>
      </c>
      <c r="E541">
        <f>MID(B541,1,1)*9+MID(B541,2,1)*8+MID(B541,3,1)*7+MID(B541,4,1)*6+MID(B541,5,1)*5+MID(B541,6,1)*4+MID(B541,7,1)*3+MID(B541,8,1)*2+MID(B541,9,1)</f>
        <v/>
      </c>
      <c r="F541">
        <f>IF(B541="", " ", IF(LEN(B541)&lt;&gt;11, "ДЛИНА", IF(NOT(ISNUMBER(--B541)), "НЕ ЦИФРЫ", IF(LEFT(B541,9)*1&lt;=1001998, "OK", IF(RIGHT(B541,2)*1=IF(MOD(E541,101)&gt;=100,0,MOD(E541,101)),"OK","ОШИБКА")))))</f>
        <v/>
      </c>
      <c r="G5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1">
        <f>IF(LEN(TRIM(A541))=10, --MID(A541,1,1)*2+--MID(A541,2,1)*4+--MID(A541,3,1)*10+--MID(A541,4,1)*3+--MID(A541,5,1)*5+--MID(A541,6,1)*9+--MID(A541,7,1)*4+--MID(A541,8,1)*6+--MID(A541,9,1)*8, IF(LEN(TRIM(A541))=12, --MID(A541,1,1)*7+--MID(A541,2,1)*2+--MID(A541,3,1)*4+--MID(A541,4,1)*10+--MID(A541,5,1)*3+--MID(A541,6,1)*5+--MID(A541,7,1)*9+--MID(A541,8,1)*4+--MID(A541,9,1)*6+--MID(A541,10,1)*8, ""))</f>
        <v/>
      </c>
      <c r="I541">
        <f>IF(LEN(TRIM(A541))=12, --MID(A541,1,1)*3+--MID(A541,2,1)*7+--MID(A541,3,1)*2+--MID(A541,4,1)*4+--MID(A541,5,1)*10+--MID(A541,6,1)*3+--MID(A541,7,1)*5+--MID(A541,8,1)*9+--MID(A541,9,1)*4+--MID(A541,10,1)*6+--MID(A541,11,1)*8, "")</f>
        <v/>
      </c>
    </row>
    <row r="542">
      <c r="A542">
        <f>SUBSTITUTE(SUBSTITUTE(SUBSTITUTE(SUBSTITUTE(TRIM(INDEX(Реестр!$B:$B,ROW())),CHAR(160),""),CHAR(9),""),CHAR(10),""),CHAR(13),"")</f>
        <v/>
      </c>
      <c r="B542">
        <f>SUBSTITUTE(SUBSTITUTE(SUBSTITUTE(SUBSTITUTE(SUBSTITUTE(SUBSTITUTE(SUBSTITUTE(TRIM(INDEX(Реестр!$D:$D, ROW())), "-", ""), " ", ""), CHAR(160), ""), CHAR(9), ""), CHAR(10), ""), CHAR(13), ""), CHAR(32), "")</f>
        <v/>
      </c>
      <c r="C542">
        <f>INDEX(Реестр!$H:$H, ROW())</f>
        <v/>
      </c>
      <c r="D542">
        <f>IF(OR(ISBLANK(INDEX(Реестр!$B:$B, ROW())), INDEX(Реестр!$B:$B, ROW())=""), " ", IF(IFERROR(ISNUMBER(--A542),FALSE), IF(LEN(A542)=10, IF(MOD(MOD(H542,11),10)=--RIGHT(A542,1), "OK", "ОШИБКА"), IF(LEN(A542)=12, IF(AND(MOD(MOD(H542,11),10)=--MID(A542,11,1), MOD(MOD(I542,11),10)=--RIGHT(A542,1)), "OK", "ОШИБКА"), "ДЛИНА (10 или 12)")), "НЕ ЦИФРЫ"))</f>
        <v/>
      </c>
      <c r="E542">
        <f>MID(B542,1,1)*9+MID(B542,2,1)*8+MID(B542,3,1)*7+MID(B542,4,1)*6+MID(B542,5,1)*5+MID(B542,6,1)*4+MID(B542,7,1)*3+MID(B542,8,1)*2+MID(B542,9,1)</f>
        <v/>
      </c>
      <c r="F542">
        <f>IF(B542="", " ", IF(LEN(B542)&lt;&gt;11, "ДЛИНА", IF(NOT(ISNUMBER(--B542)), "НЕ ЦИФРЫ", IF(LEFT(B542,9)*1&lt;=1001998, "OK", IF(RIGHT(B542,2)*1=IF(MOD(E542,101)&gt;=100,0,MOD(E542,101)),"OK","ОШИБКА")))))</f>
        <v/>
      </c>
      <c r="G5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2">
        <f>IF(LEN(TRIM(A542))=10, --MID(A542,1,1)*2+--MID(A542,2,1)*4+--MID(A542,3,1)*10+--MID(A542,4,1)*3+--MID(A542,5,1)*5+--MID(A542,6,1)*9+--MID(A542,7,1)*4+--MID(A542,8,1)*6+--MID(A542,9,1)*8, IF(LEN(TRIM(A542))=12, --MID(A542,1,1)*7+--MID(A542,2,1)*2+--MID(A542,3,1)*4+--MID(A542,4,1)*10+--MID(A542,5,1)*3+--MID(A542,6,1)*5+--MID(A542,7,1)*9+--MID(A542,8,1)*4+--MID(A542,9,1)*6+--MID(A542,10,1)*8, ""))</f>
        <v/>
      </c>
      <c r="I542">
        <f>IF(LEN(TRIM(A542))=12, --MID(A542,1,1)*3+--MID(A542,2,1)*7+--MID(A542,3,1)*2+--MID(A542,4,1)*4+--MID(A542,5,1)*10+--MID(A542,6,1)*3+--MID(A542,7,1)*5+--MID(A542,8,1)*9+--MID(A542,9,1)*4+--MID(A542,10,1)*6+--MID(A542,11,1)*8, "")</f>
        <v/>
      </c>
    </row>
    <row r="543">
      <c r="A543">
        <f>SUBSTITUTE(SUBSTITUTE(SUBSTITUTE(SUBSTITUTE(TRIM(INDEX(Реестр!$B:$B,ROW())),CHAR(160),""),CHAR(9),""),CHAR(10),""),CHAR(13),"")</f>
        <v/>
      </c>
      <c r="B543">
        <f>SUBSTITUTE(SUBSTITUTE(SUBSTITUTE(SUBSTITUTE(SUBSTITUTE(SUBSTITUTE(SUBSTITUTE(TRIM(INDEX(Реестр!$D:$D, ROW())), "-", ""), " ", ""), CHAR(160), ""), CHAR(9), ""), CHAR(10), ""), CHAR(13), ""), CHAR(32), "")</f>
        <v/>
      </c>
      <c r="C543">
        <f>INDEX(Реестр!$H:$H, ROW())</f>
        <v/>
      </c>
      <c r="D543">
        <f>IF(OR(ISBLANK(INDEX(Реестр!$B:$B, ROW())), INDEX(Реестр!$B:$B, ROW())=""), " ", IF(IFERROR(ISNUMBER(--A543),FALSE), IF(LEN(A543)=10, IF(MOD(MOD(H543,11),10)=--RIGHT(A543,1), "OK", "ОШИБКА"), IF(LEN(A543)=12, IF(AND(MOD(MOD(H543,11),10)=--MID(A543,11,1), MOD(MOD(I543,11),10)=--RIGHT(A543,1)), "OK", "ОШИБКА"), "ДЛИНА (10 или 12)")), "НЕ ЦИФРЫ"))</f>
        <v/>
      </c>
      <c r="E543">
        <f>MID(B543,1,1)*9+MID(B543,2,1)*8+MID(B543,3,1)*7+MID(B543,4,1)*6+MID(B543,5,1)*5+MID(B543,6,1)*4+MID(B543,7,1)*3+MID(B543,8,1)*2+MID(B543,9,1)</f>
        <v/>
      </c>
      <c r="F543">
        <f>IF(B543="", " ", IF(LEN(B543)&lt;&gt;11, "ДЛИНА", IF(NOT(ISNUMBER(--B543)), "НЕ ЦИФРЫ", IF(LEFT(B543,9)*1&lt;=1001998, "OK", IF(RIGHT(B543,2)*1=IF(MOD(E543,101)&gt;=100,0,MOD(E543,101)),"OK","ОШИБКА")))))</f>
        <v/>
      </c>
      <c r="G5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3">
        <f>IF(LEN(TRIM(A543))=10, --MID(A543,1,1)*2+--MID(A543,2,1)*4+--MID(A543,3,1)*10+--MID(A543,4,1)*3+--MID(A543,5,1)*5+--MID(A543,6,1)*9+--MID(A543,7,1)*4+--MID(A543,8,1)*6+--MID(A543,9,1)*8, IF(LEN(TRIM(A543))=12, --MID(A543,1,1)*7+--MID(A543,2,1)*2+--MID(A543,3,1)*4+--MID(A543,4,1)*10+--MID(A543,5,1)*3+--MID(A543,6,1)*5+--MID(A543,7,1)*9+--MID(A543,8,1)*4+--MID(A543,9,1)*6+--MID(A543,10,1)*8, ""))</f>
        <v/>
      </c>
      <c r="I543">
        <f>IF(LEN(TRIM(A543))=12, --MID(A543,1,1)*3+--MID(A543,2,1)*7+--MID(A543,3,1)*2+--MID(A543,4,1)*4+--MID(A543,5,1)*10+--MID(A543,6,1)*3+--MID(A543,7,1)*5+--MID(A543,8,1)*9+--MID(A543,9,1)*4+--MID(A543,10,1)*6+--MID(A543,11,1)*8, "")</f>
        <v/>
      </c>
    </row>
    <row r="544">
      <c r="A544">
        <f>SUBSTITUTE(SUBSTITUTE(SUBSTITUTE(SUBSTITUTE(TRIM(INDEX(Реестр!$B:$B,ROW())),CHAR(160),""),CHAR(9),""),CHAR(10),""),CHAR(13),"")</f>
        <v/>
      </c>
      <c r="B544">
        <f>SUBSTITUTE(SUBSTITUTE(SUBSTITUTE(SUBSTITUTE(SUBSTITUTE(SUBSTITUTE(SUBSTITUTE(TRIM(INDEX(Реестр!$D:$D, ROW())), "-", ""), " ", ""), CHAR(160), ""), CHAR(9), ""), CHAR(10), ""), CHAR(13), ""), CHAR(32), "")</f>
        <v/>
      </c>
      <c r="C544">
        <f>INDEX(Реестр!$H:$H, ROW())</f>
        <v/>
      </c>
      <c r="D544">
        <f>IF(OR(ISBLANK(INDEX(Реестр!$B:$B, ROW())), INDEX(Реестр!$B:$B, ROW())=""), " ", IF(IFERROR(ISNUMBER(--A544),FALSE), IF(LEN(A544)=10, IF(MOD(MOD(H544,11),10)=--RIGHT(A544,1), "OK", "ОШИБКА"), IF(LEN(A544)=12, IF(AND(MOD(MOD(H544,11),10)=--MID(A544,11,1), MOD(MOD(I544,11),10)=--RIGHT(A544,1)), "OK", "ОШИБКА"), "ДЛИНА (10 или 12)")), "НЕ ЦИФРЫ"))</f>
        <v/>
      </c>
      <c r="E544">
        <f>MID(B544,1,1)*9+MID(B544,2,1)*8+MID(B544,3,1)*7+MID(B544,4,1)*6+MID(B544,5,1)*5+MID(B544,6,1)*4+MID(B544,7,1)*3+MID(B544,8,1)*2+MID(B544,9,1)</f>
        <v/>
      </c>
      <c r="F544">
        <f>IF(B544="", " ", IF(LEN(B544)&lt;&gt;11, "ДЛИНА", IF(NOT(ISNUMBER(--B544)), "НЕ ЦИФРЫ", IF(LEFT(B544,9)*1&lt;=1001998, "OK", IF(RIGHT(B544,2)*1=IF(MOD(E544,101)&gt;=100,0,MOD(E544,101)),"OK","ОШИБКА")))))</f>
        <v/>
      </c>
      <c r="G5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4">
        <f>IF(LEN(TRIM(A544))=10, --MID(A544,1,1)*2+--MID(A544,2,1)*4+--MID(A544,3,1)*10+--MID(A544,4,1)*3+--MID(A544,5,1)*5+--MID(A544,6,1)*9+--MID(A544,7,1)*4+--MID(A544,8,1)*6+--MID(A544,9,1)*8, IF(LEN(TRIM(A544))=12, --MID(A544,1,1)*7+--MID(A544,2,1)*2+--MID(A544,3,1)*4+--MID(A544,4,1)*10+--MID(A544,5,1)*3+--MID(A544,6,1)*5+--MID(A544,7,1)*9+--MID(A544,8,1)*4+--MID(A544,9,1)*6+--MID(A544,10,1)*8, ""))</f>
        <v/>
      </c>
      <c r="I544">
        <f>IF(LEN(TRIM(A544))=12, --MID(A544,1,1)*3+--MID(A544,2,1)*7+--MID(A544,3,1)*2+--MID(A544,4,1)*4+--MID(A544,5,1)*10+--MID(A544,6,1)*3+--MID(A544,7,1)*5+--MID(A544,8,1)*9+--MID(A544,9,1)*4+--MID(A544,10,1)*6+--MID(A544,11,1)*8, "")</f>
        <v/>
      </c>
    </row>
    <row r="545">
      <c r="A545">
        <f>SUBSTITUTE(SUBSTITUTE(SUBSTITUTE(SUBSTITUTE(TRIM(INDEX(Реестр!$B:$B,ROW())),CHAR(160),""),CHAR(9),""),CHAR(10),""),CHAR(13),"")</f>
        <v/>
      </c>
      <c r="B545">
        <f>SUBSTITUTE(SUBSTITUTE(SUBSTITUTE(SUBSTITUTE(SUBSTITUTE(SUBSTITUTE(SUBSTITUTE(TRIM(INDEX(Реестр!$D:$D, ROW())), "-", ""), " ", ""), CHAR(160), ""), CHAR(9), ""), CHAR(10), ""), CHAR(13), ""), CHAR(32), "")</f>
        <v/>
      </c>
      <c r="C545">
        <f>INDEX(Реестр!$H:$H, ROW())</f>
        <v/>
      </c>
      <c r="D545">
        <f>IF(OR(ISBLANK(INDEX(Реестр!$B:$B, ROW())), INDEX(Реестр!$B:$B, ROW())=""), " ", IF(IFERROR(ISNUMBER(--A545),FALSE), IF(LEN(A545)=10, IF(MOD(MOD(H545,11),10)=--RIGHT(A545,1), "OK", "ОШИБКА"), IF(LEN(A545)=12, IF(AND(MOD(MOD(H545,11),10)=--MID(A545,11,1), MOD(MOD(I545,11),10)=--RIGHT(A545,1)), "OK", "ОШИБКА"), "ДЛИНА (10 или 12)")), "НЕ ЦИФРЫ"))</f>
        <v/>
      </c>
      <c r="E545">
        <f>MID(B545,1,1)*9+MID(B545,2,1)*8+MID(B545,3,1)*7+MID(B545,4,1)*6+MID(B545,5,1)*5+MID(B545,6,1)*4+MID(B545,7,1)*3+MID(B545,8,1)*2+MID(B545,9,1)</f>
        <v/>
      </c>
      <c r="F545">
        <f>IF(B545="", " ", IF(LEN(B545)&lt;&gt;11, "ДЛИНА", IF(NOT(ISNUMBER(--B545)), "НЕ ЦИФРЫ", IF(LEFT(B545,9)*1&lt;=1001998, "OK", IF(RIGHT(B545,2)*1=IF(MOD(E545,101)&gt;=100,0,MOD(E545,101)),"OK","ОШИБКА")))))</f>
        <v/>
      </c>
      <c r="G5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5">
        <f>IF(LEN(TRIM(A545))=10, --MID(A545,1,1)*2+--MID(A545,2,1)*4+--MID(A545,3,1)*10+--MID(A545,4,1)*3+--MID(A545,5,1)*5+--MID(A545,6,1)*9+--MID(A545,7,1)*4+--MID(A545,8,1)*6+--MID(A545,9,1)*8, IF(LEN(TRIM(A545))=12, --MID(A545,1,1)*7+--MID(A545,2,1)*2+--MID(A545,3,1)*4+--MID(A545,4,1)*10+--MID(A545,5,1)*3+--MID(A545,6,1)*5+--MID(A545,7,1)*9+--MID(A545,8,1)*4+--MID(A545,9,1)*6+--MID(A545,10,1)*8, ""))</f>
        <v/>
      </c>
      <c r="I545">
        <f>IF(LEN(TRIM(A545))=12, --MID(A545,1,1)*3+--MID(A545,2,1)*7+--MID(A545,3,1)*2+--MID(A545,4,1)*4+--MID(A545,5,1)*10+--MID(A545,6,1)*3+--MID(A545,7,1)*5+--MID(A545,8,1)*9+--MID(A545,9,1)*4+--MID(A545,10,1)*6+--MID(A545,11,1)*8, "")</f>
        <v/>
      </c>
    </row>
    <row r="546">
      <c r="A546">
        <f>SUBSTITUTE(SUBSTITUTE(SUBSTITUTE(SUBSTITUTE(TRIM(INDEX(Реестр!$B:$B,ROW())),CHAR(160),""),CHAR(9),""),CHAR(10),""),CHAR(13),"")</f>
        <v/>
      </c>
      <c r="B546">
        <f>SUBSTITUTE(SUBSTITUTE(SUBSTITUTE(SUBSTITUTE(SUBSTITUTE(SUBSTITUTE(SUBSTITUTE(TRIM(INDEX(Реестр!$D:$D, ROW())), "-", ""), " ", ""), CHAR(160), ""), CHAR(9), ""), CHAR(10), ""), CHAR(13), ""), CHAR(32), "")</f>
        <v/>
      </c>
      <c r="C546">
        <f>INDEX(Реестр!$H:$H, ROW())</f>
        <v/>
      </c>
      <c r="D546">
        <f>IF(OR(ISBLANK(INDEX(Реестр!$B:$B, ROW())), INDEX(Реестр!$B:$B, ROW())=""), " ", IF(IFERROR(ISNUMBER(--A546),FALSE), IF(LEN(A546)=10, IF(MOD(MOD(H546,11),10)=--RIGHT(A546,1), "OK", "ОШИБКА"), IF(LEN(A546)=12, IF(AND(MOD(MOD(H546,11),10)=--MID(A546,11,1), MOD(MOD(I546,11),10)=--RIGHT(A546,1)), "OK", "ОШИБКА"), "ДЛИНА (10 или 12)")), "НЕ ЦИФРЫ"))</f>
        <v/>
      </c>
      <c r="E546">
        <f>MID(B546,1,1)*9+MID(B546,2,1)*8+MID(B546,3,1)*7+MID(B546,4,1)*6+MID(B546,5,1)*5+MID(B546,6,1)*4+MID(B546,7,1)*3+MID(B546,8,1)*2+MID(B546,9,1)</f>
        <v/>
      </c>
      <c r="F546">
        <f>IF(B546="", " ", IF(LEN(B546)&lt;&gt;11, "ДЛИНА", IF(NOT(ISNUMBER(--B546)), "НЕ ЦИФРЫ", IF(LEFT(B546,9)*1&lt;=1001998, "OK", IF(RIGHT(B546,2)*1=IF(MOD(E546,101)&gt;=100,0,MOD(E546,101)),"OK","ОШИБКА")))))</f>
        <v/>
      </c>
      <c r="G5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6">
        <f>IF(LEN(TRIM(A546))=10, --MID(A546,1,1)*2+--MID(A546,2,1)*4+--MID(A546,3,1)*10+--MID(A546,4,1)*3+--MID(A546,5,1)*5+--MID(A546,6,1)*9+--MID(A546,7,1)*4+--MID(A546,8,1)*6+--MID(A546,9,1)*8, IF(LEN(TRIM(A546))=12, --MID(A546,1,1)*7+--MID(A546,2,1)*2+--MID(A546,3,1)*4+--MID(A546,4,1)*10+--MID(A546,5,1)*3+--MID(A546,6,1)*5+--MID(A546,7,1)*9+--MID(A546,8,1)*4+--MID(A546,9,1)*6+--MID(A546,10,1)*8, ""))</f>
        <v/>
      </c>
      <c r="I546">
        <f>IF(LEN(TRIM(A546))=12, --MID(A546,1,1)*3+--MID(A546,2,1)*7+--MID(A546,3,1)*2+--MID(A546,4,1)*4+--MID(A546,5,1)*10+--MID(A546,6,1)*3+--MID(A546,7,1)*5+--MID(A546,8,1)*9+--MID(A546,9,1)*4+--MID(A546,10,1)*6+--MID(A546,11,1)*8, "")</f>
        <v/>
      </c>
    </row>
    <row r="547">
      <c r="A547">
        <f>SUBSTITUTE(SUBSTITUTE(SUBSTITUTE(SUBSTITUTE(TRIM(INDEX(Реестр!$B:$B,ROW())),CHAR(160),""),CHAR(9),""),CHAR(10),""),CHAR(13),"")</f>
        <v/>
      </c>
      <c r="B547">
        <f>SUBSTITUTE(SUBSTITUTE(SUBSTITUTE(SUBSTITUTE(SUBSTITUTE(SUBSTITUTE(SUBSTITUTE(TRIM(INDEX(Реестр!$D:$D, ROW())), "-", ""), " ", ""), CHAR(160), ""), CHAR(9), ""), CHAR(10), ""), CHAR(13), ""), CHAR(32), "")</f>
        <v/>
      </c>
      <c r="C547">
        <f>INDEX(Реестр!$H:$H, ROW())</f>
        <v/>
      </c>
      <c r="D547">
        <f>IF(OR(ISBLANK(INDEX(Реестр!$B:$B, ROW())), INDEX(Реестр!$B:$B, ROW())=""), " ", IF(IFERROR(ISNUMBER(--A547),FALSE), IF(LEN(A547)=10, IF(MOD(MOD(H547,11),10)=--RIGHT(A547,1), "OK", "ОШИБКА"), IF(LEN(A547)=12, IF(AND(MOD(MOD(H547,11),10)=--MID(A547,11,1), MOD(MOD(I547,11),10)=--RIGHT(A547,1)), "OK", "ОШИБКА"), "ДЛИНА (10 или 12)")), "НЕ ЦИФРЫ"))</f>
        <v/>
      </c>
      <c r="E547">
        <f>MID(B547,1,1)*9+MID(B547,2,1)*8+MID(B547,3,1)*7+MID(B547,4,1)*6+MID(B547,5,1)*5+MID(B547,6,1)*4+MID(B547,7,1)*3+MID(B547,8,1)*2+MID(B547,9,1)</f>
        <v/>
      </c>
      <c r="F547">
        <f>IF(B547="", " ", IF(LEN(B547)&lt;&gt;11, "ДЛИНА", IF(NOT(ISNUMBER(--B547)), "НЕ ЦИФРЫ", IF(LEFT(B547,9)*1&lt;=1001998, "OK", IF(RIGHT(B547,2)*1=IF(MOD(E547,101)&gt;=100,0,MOD(E547,101)),"OK","ОШИБКА")))))</f>
        <v/>
      </c>
      <c r="G5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7">
        <f>IF(LEN(TRIM(A547))=10, --MID(A547,1,1)*2+--MID(A547,2,1)*4+--MID(A547,3,1)*10+--MID(A547,4,1)*3+--MID(A547,5,1)*5+--MID(A547,6,1)*9+--MID(A547,7,1)*4+--MID(A547,8,1)*6+--MID(A547,9,1)*8, IF(LEN(TRIM(A547))=12, --MID(A547,1,1)*7+--MID(A547,2,1)*2+--MID(A547,3,1)*4+--MID(A547,4,1)*10+--MID(A547,5,1)*3+--MID(A547,6,1)*5+--MID(A547,7,1)*9+--MID(A547,8,1)*4+--MID(A547,9,1)*6+--MID(A547,10,1)*8, ""))</f>
        <v/>
      </c>
      <c r="I547">
        <f>IF(LEN(TRIM(A547))=12, --MID(A547,1,1)*3+--MID(A547,2,1)*7+--MID(A547,3,1)*2+--MID(A547,4,1)*4+--MID(A547,5,1)*10+--MID(A547,6,1)*3+--MID(A547,7,1)*5+--MID(A547,8,1)*9+--MID(A547,9,1)*4+--MID(A547,10,1)*6+--MID(A547,11,1)*8, "")</f>
        <v/>
      </c>
    </row>
    <row r="548">
      <c r="A548">
        <f>SUBSTITUTE(SUBSTITUTE(SUBSTITUTE(SUBSTITUTE(TRIM(INDEX(Реестр!$B:$B,ROW())),CHAR(160),""),CHAR(9),""),CHAR(10),""),CHAR(13),"")</f>
        <v/>
      </c>
      <c r="B548">
        <f>SUBSTITUTE(SUBSTITUTE(SUBSTITUTE(SUBSTITUTE(SUBSTITUTE(SUBSTITUTE(SUBSTITUTE(TRIM(INDEX(Реестр!$D:$D, ROW())), "-", ""), " ", ""), CHAR(160), ""), CHAR(9), ""), CHAR(10), ""), CHAR(13), ""), CHAR(32), "")</f>
        <v/>
      </c>
      <c r="C548">
        <f>INDEX(Реестр!$H:$H, ROW())</f>
        <v/>
      </c>
      <c r="D548">
        <f>IF(OR(ISBLANK(INDEX(Реестр!$B:$B, ROW())), INDEX(Реестр!$B:$B, ROW())=""), " ", IF(IFERROR(ISNUMBER(--A548),FALSE), IF(LEN(A548)=10, IF(MOD(MOD(H548,11),10)=--RIGHT(A548,1), "OK", "ОШИБКА"), IF(LEN(A548)=12, IF(AND(MOD(MOD(H548,11),10)=--MID(A548,11,1), MOD(MOD(I548,11),10)=--RIGHT(A548,1)), "OK", "ОШИБКА"), "ДЛИНА (10 или 12)")), "НЕ ЦИФРЫ"))</f>
        <v/>
      </c>
      <c r="E548">
        <f>MID(B548,1,1)*9+MID(B548,2,1)*8+MID(B548,3,1)*7+MID(B548,4,1)*6+MID(B548,5,1)*5+MID(B548,6,1)*4+MID(B548,7,1)*3+MID(B548,8,1)*2+MID(B548,9,1)</f>
        <v/>
      </c>
      <c r="F548">
        <f>IF(B548="", " ", IF(LEN(B548)&lt;&gt;11, "ДЛИНА", IF(NOT(ISNUMBER(--B548)), "НЕ ЦИФРЫ", IF(LEFT(B548,9)*1&lt;=1001998, "OK", IF(RIGHT(B548,2)*1=IF(MOD(E548,101)&gt;=100,0,MOD(E548,101)),"OK","ОШИБКА")))))</f>
        <v/>
      </c>
      <c r="G5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8">
        <f>IF(LEN(TRIM(A548))=10, --MID(A548,1,1)*2+--MID(A548,2,1)*4+--MID(A548,3,1)*10+--MID(A548,4,1)*3+--MID(A548,5,1)*5+--MID(A548,6,1)*9+--MID(A548,7,1)*4+--MID(A548,8,1)*6+--MID(A548,9,1)*8, IF(LEN(TRIM(A548))=12, --MID(A548,1,1)*7+--MID(A548,2,1)*2+--MID(A548,3,1)*4+--MID(A548,4,1)*10+--MID(A548,5,1)*3+--MID(A548,6,1)*5+--MID(A548,7,1)*9+--MID(A548,8,1)*4+--MID(A548,9,1)*6+--MID(A548,10,1)*8, ""))</f>
        <v/>
      </c>
      <c r="I548">
        <f>IF(LEN(TRIM(A548))=12, --MID(A548,1,1)*3+--MID(A548,2,1)*7+--MID(A548,3,1)*2+--MID(A548,4,1)*4+--MID(A548,5,1)*10+--MID(A548,6,1)*3+--MID(A548,7,1)*5+--MID(A548,8,1)*9+--MID(A548,9,1)*4+--MID(A548,10,1)*6+--MID(A548,11,1)*8, "")</f>
        <v/>
      </c>
    </row>
    <row r="549">
      <c r="A549">
        <f>SUBSTITUTE(SUBSTITUTE(SUBSTITUTE(SUBSTITUTE(TRIM(INDEX(Реестр!$B:$B,ROW())),CHAR(160),""),CHAR(9),""),CHAR(10),""),CHAR(13),"")</f>
        <v/>
      </c>
      <c r="B549">
        <f>SUBSTITUTE(SUBSTITUTE(SUBSTITUTE(SUBSTITUTE(SUBSTITUTE(SUBSTITUTE(SUBSTITUTE(TRIM(INDEX(Реестр!$D:$D, ROW())), "-", ""), " ", ""), CHAR(160), ""), CHAR(9), ""), CHAR(10), ""), CHAR(13), ""), CHAR(32), "")</f>
        <v/>
      </c>
      <c r="C549">
        <f>INDEX(Реестр!$H:$H, ROW())</f>
        <v/>
      </c>
      <c r="D549">
        <f>IF(OR(ISBLANK(INDEX(Реестр!$B:$B, ROW())), INDEX(Реестр!$B:$B, ROW())=""), " ", IF(IFERROR(ISNUMBER(--A549),FALSE), IF(LEN(A549)=10, IF(MOD(MOD(H549,11),10)=--RIGHT(A549,1), "OK", "ОШИБКА"), IF(LEN(A549)=12, IF(AND(MOD(MOD(H549,11),10)=--MID(A549,11,1), MOD(MOD(I549,11),10)=--RIGHT(A549,1)), "OK", "ОШИБКА"), "ДЛИНА (10 или 12)")), "НЕ ЦИФРЫ"))</f>
        <v/>
      </c>
      <c r="E549">
        <f>MID(B549,1,1)*9+MID(B549,2,1)*8+MID(B549,3,1)*7+MID(B549,4,1)*6+MID(B549,5,1)*5+MID(B549,6,1)*4+MID(B549,7,1)*3+MID(B549,8,1)*2+MID(B549,9,1)</f>
        <v/>
      </c>
      <c r="F549">
        <f>IF(B549="", " ", IF(LEN(B549)&lt;&gt;11, "ДЛИНА", IF(NOT(ISNUMBER(--B549)), "НЕ ЦИФРЫ", IF(LEFT(B549,9)*1&lt;=1001998, "OK", IF(RIGHT(B549,2)*1=IF(MOD(E549,101)&gt;=100,0,MOD(E549,101)),"OK","ОШИБКА")))))</f>
        <v/>
      </c>
      <c r="G5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49">
        <f>IF(LEN(TRIM(A549))=10, --MID(A549,1,1)*2+--MID(A549,2,1)*4+--MID(A549,3,1)*10+--MID(A549,4,1)*3+--MID(A549,5,1)*5+--MID(A549,6,1)*9+--MID(A549,7,1)*4+--MID(A549,8,1)*6+--MID(A549,9,1)*8, IF(LEN(TRIM(A549))=12, --MID(A549,1,1)*7+--MID(A549,2,1)*2+--MID(A549,3,1)*4+--MID(A549,4,1)*10+--MID(A549,5,1)*3+--MID(A549,6,1)*5+--MID(A549,7,1)*9+--MID(A549,8,1)*4+--MID(A549,9,1)*6+--MID(A549,10,1)*8, ""))</f>
        <v/>
      </c>
      <c r="I549">
        <f>IF(LEN(TRIM(A549))=12, --MID(A549,1,1)*3+--MID(A549,2,1)*7+--MID(A549,3,1)*2+--MID(A549,4,1)*4+--MID(A549,5,1)*10+--MID(A549,6,1)*3+--MID(A549,7,1)*5+--MID(A549,8,1)*9+--MID(A549,9,1)*4+--MID(A549,10,1)*6+--MID(A549,11,1)*8, "")</f>
        <v/>
      </c>
    </row>
    <row r="550">
      <c r="A550">
        <f>SUBSTITUTE(SUBSTITUTE(SUBSTITUTE(SUBSTITUTE(TRIM(INDEX(Реестр!$B:$B,ROW())),CHAR(160),""),CHAR(9),""),CHAR(10),""),CHAR(13),"")</f>
        <v/>
      </c>
      <c r="B550">
        <f>SUBSTITUTE(SUBSTITUTE(SUBSTITUTE(SUBSTITUTE(SUBSTITUTE(SUBSTITUTE(SUBSTITUTE(TRIM(INDEX(Реестр!$D:$D, ROW())), "-", ""), " ", ""), CHAR(160), ""), CHAR(9), ""), CHAR(10), ""), CHAR(13), ""), CHAR(32), "")</f>
        <v/>
      </c>
      <c r="C550">
        <f>INDEX(Реестр!$H:$H, ROW())</f>
        <v/>
      </c>
      <c r="D550">
        <f>IF(OR(ISBLANK(INDEX(Реестр!$B:$B, ROW())), INDEX(Реестр!$B:$B, ROW())=""), " ", IF(IFERROR(ISNUMBER(--A550),FALSE), IF(LEN(A550)=10, IF(MOD(MOD(H550,11),10)=--RIGHT(A550,1), "OK", "ОШИБКА"), IF(LEN(A550)=12, IF(AND(MOD(MOD(H550,11),10)=--MID(A550,11,1), MOD(MOD(I550,11),10)=--RIGHT(A550,1)), "OK", "ОШИБКА"), "ДЛИНА (10 или 12)")), "НЕ ЦИФРЫ"))</f>
        <v/>
      </c>
      <c r="E550">
        <f>MID(B550,1,1)*9+MID(B550,2,1)*8+MID(B550,3,1)*7+MID(B550,4,1)*6+MID(B550,5,1)*5+MID(B550,6,1)*4+MID(B550,7,1)*3+MID(B550,8,1)*2+MID(B550,9,1)</f>
        <v/>
      </c>
      <c r="F550">
        <f>IF(B550="", " ", IF(LEN(B550)&lt;&gt;11, "ДЛИНА", IF(NOT(ISNUMBER(--B550)), "НЕ ЦИФРЫ", IF(LEFT(B550,9)*1&lt;=1001998, "OK", IF(RIGHT(B550,2)*1=IF(MOD(E550,101)&gt;=100,0,MOD(E550,101)),"OK","ОШИБКА")))))</f>
        <v/>
      </c>
      <c r="G5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0">
        <f>IF(LEN(TRIM(A550))=10, --MID(A550,1,1)*2+--MID(A550,2,1)*4+--MID(A550,3,1)*10+--MID(A550,4,1)*3+--MID(A550,5,1)*5+--MID(A550,6,1)*9+--MID(A550,7,1)*4+--MID(A550,8,1)*6+--MID(A550,9,1)*8, IF(LEN(TRIM(A550))=12, --MID(A550,1,1)*7+--MID(A550,2,1)*2+--MID(A550,3,1)*4+--MID(A550,4,1)*10+--MID(A550,5,1)*3+--MID(A550,6,1)*5+--MID(A550,7,1)*9+--MID(A550,8,1)*4+--MID(A550,9,1)*6+--MID(A550,10,1)*8, ""))</f>
        <v/>
      </c>
      <c r="I550">
        <f>IF(LEN(TRIM(A550))=12, --MID(A550,1,1)*3+--MID(A550,2,1)*7+--MID(A550,3,1)*2+--MID(A550,4,1)*4+--MID(A550,5,1)*10+--MID(A550,6,1)*3+--MID(A550,7,1)*5+--MID(A550,8,1)*9+--MID(A550,9,1)*4+--MID(A550,10,1)*6+--MID(A550,11,1)*8, "")</f>
        <v/>
      </c>
    </row>
    <row r="551">
      <c r="A551">
        <f>SUBSTITUTE(SUBSTITUTE(SUBSTITUTE(SUBSTITUTE(TRIM(INDEX(Реестр!$B:$B,ROW())),CHAR(160),""),CHAR(9),""),CHAR(10),""),CHAR(13),"")</f>
        <v/>
      </c>
      <c r="B551">
        <f>SUBSTITUTE(SUBSTITUTE(SUBSTITUTE(SUBSTITUTE(SUBSTITUTE(SUBSTITUTE(SUBSTITUTE(TRIM(INDEX(Реестр!$D:$D, ROW())), "-", ""), " ", ""), CHAR(160), ""), CHAR(9), ""), CHAR(10), ""), CHAR(13), ""), CHAR(32), "")</f>
        <v/>
      </c>
      <c r="C551">
        <f>INDEX(Реестр!$H:$H, ROW())</f>
        <v/>
      </c>
      <c r="D551">
        <f>IF(OR(ISBLANK(INDEX(Реестр!$B:$B, ROW())), INDEX(Реестр!$B:$B, ROW())=""), " ", IF(IFERROR(ISNUMBER(--A551),FALSE), IF(LEN(A551)=10, IF(MOD(MOD(H551,11),10)=--RIGHT(A551,1), "OK", "ОШИБКА"), IF(LEN(A551)=12, IF(AND(MOD(MOD(H551,11),10)=--MID(A551,11,1), MOD(MOD(I551,11),10)=--RIGHT(A551,1)), "OK", "ОШИБКА"), "ДЛИНА (10 или 12)")), "НЕ ЦИФРЫ"))</f>
        <v/>
      </c>
      <c r="E551">
        <f>MID(B551,1,1)*9+MID(B551,2,1)*8+MID(B551,3,1)*7+MID(B551,4,1)*6+MID(B551,5,1)*5+MID(B551,6,1)*4+MID(B551,7,1)*3+MID(B551,8,1)*2+MID(B551,9,1)</f>
        <v/>
      </c>
      <c r="F551">
        <f>IF(B551="", " ", IF(LEN(B551)&lt;&gt;11, "ДЛИНА", IF(NOT(ISNUMBER(--B551)), "НЕ ЦИФРЫ", IF(LEFT(B551,9)*1&lt;=1001998, "OK", IF(RIGHT(B551,2)*1=IF(MOD(E551,101)&gt;=100,0,MOD(E551,101)),"OK","ОШИБКА")))))</f>
        <v/>
      </c>
      <c r="G5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1">
        <f>IF(LEN(TRIM(A551))=10, --MID(A551,1,1)*2+--MID(A551,2,1)*4+--MID(A551,3,1)*10+--MID(A551,4,1)*3+--MID(A551,5,1)*5+--MID(A551,6,1)*9+--MID(A551,7,1)*4+--MID(A551,8,1)*6+--MID(A551,9,1)*8, IF(LEN(TRIM(A551))=12, --MID(A551,1,1)*7+--MID(A551,2,1)*2+--MID(A551,3,1)*4+--MID(A551,4,1)*10+--MID(A551,5,1)*3+--MID(A551,6,1)*5+--MID(A551,7,1)*9+--MID(A551,8,1)*4+--MID(A551,9,1)*6+--MID(A551,10,1)*8, ""))</f>
        <v/>
      </c>
      <c r="I551">
        <f>IF(LEN(TRIM(A551))=12, --MID(A551,1,1)*3+--MID(A551,2,1)*7+--MID(A551,3,1)*2+--MID(A551,4,1)*4+--MID(A551,5,1)*10+--MID(A551,6,1)*3+--MID(A551,7,1)*5+--MID(A551,8,1)*9+--MID(A551,9,1)*4+--MID(A551,10,1)*6+--MID(A551,11,1)*8, "")</f>
        <v/>
      </c>
    </row>
    <row r="552">
      <c r="A552">
        <f>SUBSTITUTE(SUBSTITUTE(SUBSTITUTE(SUBSTITUTE(TRIM(INDEX(Реестр!$B:$B,ROW())),CHAR(160),""),CHAR(9),""),CHAR(10),""),CHAR(13),"")</f>
        <v/>
      </c>
      <c r="B552">
        <f>SUBSTITUTE(SUBSTITUTE(SUBSTITUTE(SUBSTITUTE(SUBSTITUTE(SUBSTITUTE(SUBSTITUTE(TRIM(INDEX(Реестр!$D:$D, ROW())), "-", ""), " ", ""), CHAR(160), ""), CHAR(9), ""), CHAR(10), ""), CHAR(13), ""), CHAR(32), "")</f>
        <v/>
      </c>
      <c r="C552">
        <f>INDEX(Реестр!$H:$H, ROW())</f>
        <v/>
      </c>
      <c r="D552">
        <f>IF(OR(ISBLANK(INDEX(Реестр!$B:$B, ROW())), INDEX(Реестр!$B:$B, ROW())=""), " ", IF(IFERROR(ISNUMBER(--A552),FALSE), IF(LEN(A552)=10, IF(MOD(MOD(H552,11),10)=--RIGHT(A552,1), "OK", "ОШИБКА"), IF(LEN(A552)=12, IF(AND(MOD(MOD(H552,11),10)=--MID(A552,11,1), MOD(MOD(I552,11),10)=--RIGHT(A552,1)), "OK", "ОШИБКА"), "ДЛИНА (10 или 12)")), "НЕ ЦИФРЫ"))</f>
        <v/>
      </c>
      <c r="E552">
        <f>MID(B552,1,1)*9+MID(B552,2,1)*8+MID(B552,3,1)*7+MID(B552,4,1)*6+MID(B552,5,1)*5+MID(B552,6,1)*4+MID(B552,7,1)*3+MID(B552,8,1)*2+MID(B552,9,1)</f>
        <v/>
      </c>
      <c r="F552">
        <f>IF(B552="", " ", IF(LEN(B552)&lt;&gt;11, "ДЛИНА", IF(NOT(ISNUMBER(--B552)), "НЕ ЦИФРЫ", IF(LEFT(B552,9)*1&lt;=1001998, "OK", IF(RIGHT(B552,2)*1=IF(MOD(E552,101)&gt;=100,0,MOD(E552,101)),"OK","ОШИБКА")))))</f>
        <v/>
      </c>
      <c r="G5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2">
        <f>IF(LEN(TRIM(A552))=10, --MID(A552,1,1)*2+--MID(A552,2,1)*4+--MID(A552,3,1)*10+--MID(A552,4,1)*3+--MID(A552,5,1)*5+--MID(A552,6,1)*9+--MID(A552,7,1)*4+--MID(A552,8,1)*6+--MID(A552,9,1)*8, IF(LEN(TRIM(A552))=12, --MID(A552,1,1)*7+--MID(A552,2,1)*2+--MID(A552,3,1)*4+--MID(A552,4,1)*10+--MID(A552,5,1)*3+--MID(A552,6,1)*5+--MID(A552,7,1)*9+--MID(A552,8,1)*4+--MID(A552,9,1)*6+--MID(A552,10,1)*8, ""))</f>
        <v/>
      </c>
      <c r="I552">
        <f>IF(LEN(TRIM(A552))=12, --MID(A552,1,1)*3+--MID(A552,2,1)*7+--MID(A552,3,1)*2+--MID(A552,4,1)*4+--MID(A552,5,1)*10+--MID(A552,6,1)*3+--MID(A552,7,1)*5+--MID(A552,8,1)*9+--MID(A552,9,1)*4+--MID(A552,10,1)*6+--MID(A552,11,1)*8, "")</f>
        <v/>
      </c>
    </row>
    <row r="553">
      <c r="A553">
        <f>SUBSTITUTE(SUBSTITUTE(SUBSTITUTE(SUBSTITUTE(TRIM(INDEX(Реестр!$B:$B,ROW())),CHAR(160),""),CHAR(9),""),CHAR(10),""),CHAR(13),"")</f>
        <v/>
      </c>
      <c r="B553">
        <f>SUBSTITUTE(SUBSTITUTE(SUBSTITUTE(SUBSTITUTE(SUBSTITUTE(SUBSTITUTE(SUBSTITUTE(TRIM(INDEX(Реестр!$D:$D, ROW())), "-", ""), " ", ""), CHAR(160), ""), CHAR(9), ""), CHAR(10), ""), CHAR(13), ""), CHAR(32), "")</f>
        <v/>
      </c>
      <c r="C553">
        <f>INDEX(Реестр!$H:$H, ROW())</f>
        <v/>
      </c>
      <c r="D553">
        <f>IF(OR(ISBLANK(INDEX(Реестр!$B:$B, ROW())), INDEX(Реестр!$B:$B, ROW())=""), " ", IF(IFERROR(ISNUMBER(--A553),FALSE), IF(LEN(A553)=10, IF(MOD(MOD(H553,11),10)=--RIGHT(A553,1), "OK", "ОШИБКА"), IF(LEN(A553)=12, IF(AND(MOD(MOD(H553,11),10)=--MID(A553,11,1), MOD(MOD(I553,11),10)=--RIGHT(A553,1)), "OK", "ОШИБКА"), "ДЛИНА (10 или 12)")), "НЕ ЦИФРЫ"))</f>
        <v/>
      </c>
      <c r="E553">
        <f>MID(B553,1,1)*9+MID(B553,2,1)*8+MID(B553,3,1)*7+MID(B553,4,1)*6+MID(B553,5,1)*5+MID(B553,6,1)*4+MID(B553,7,1)*3+MID(B553,8,1)*2+MID(B553,9,1)</f>
        <v/>
      </c>
      <c r="F553">
        <f>IF(B553="", " ", IF(LEN(B553)&lt;&gt;11, "ДЛИНА", IF(NOT(ISNUMBER(--B553)), "НЕ ЦИФРЫ", IF(LEFT(B553,9)*1&lt;=1001998, "OK", IF(RIGHT(B553,2)*1=IF(MOD(E553,101)&gt;=100,0,MOD(E553,101)),"OK","ОШИБКА")))))</f>
        <v/>
      </c>
      <c r="G5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3">
        <f>IF(LEN(TRIM(A553))=10, --MID(A553,1,1)*2+--MID(A553,2,1)*4+--MID(A553,3,1)*10+--MID(A553,4,1)*3+--MID(A553,5,1)*5+--MID(A553,6,1)*9+--MID(A553,7,1)*4+--MID(A553,8,1)*6+--MID(A553,9,1)*8, IF(LEN(TRIM(A553))=12, --MID(A553,1,1)*7+--MID(A553,2,1)*2+--MID(A553,3,1)*4+--MID(A553,4,1)*10+--MID(A553,5,1)*3+--MID(A553,6,1)*5+--MID(A553,7,1)*9+--MID(A553,8,1)*4+--MID(A553,9,1)*6+--MID(A553,10,1)*8, ""))</f>
        <v/>
      </c>
      <c r="I553">
        <f>IF(LEN(TRIM(A553))=12, --MID(A553,1,1)*3+--MID(A553,2,1)*7+--MID(A553,3,1)*2+--MID(A553,4,1)*4+--MID(A553,5,1)*10+--MID(A553,6,1)*3+--MID(A553,7,1)*5+--MID(A553,8,1)*9+--MID(A553,9,1)*4+--MID(A553,10,1)*6+--MID(A553,11,1)*8, "")</f>
        <v/>
      </c>
    </row>
    <row r="554">
      <c r="A554">
        <f>SUBSTITUTE(SUBSTITUTE(SUBSTITUTE(SUBSTITUTE(TRIM(INDEX(Реестр!$B:$B,ROW())),CHAR(160),""),CHAR(9),""),CHAR(10),""),CHAR(13),"")</f>
        <v/>
      </c>
      <c r="B554">
        <f>SUBSTITUTE(SUBSTITUTE(SUBSTITUTE(SUBSTITUTE(SUBSTITUTE(SUBSTITUTE(SUBSTITUTE(TRIM(INDEX(Реестр!$D:$D, ROW())), "-", ""), " ", ""), CHAR(160), ""), CHAR(9), ""), CHAR(10), ""), CHAR(13), ""), CHAR(32), "")</f>
        <v/>
      </c>
      <c r="C554">
        <f>INDEX(Реестр!$H:$H, ROW())</f>
        <v/>
      </c>
      <c r="D554">
        <f>IF(OR(ISBLANK(INDEX(Реестр!$B:$B, ROW())), INDEX(Реестр!$B:$B, ROW())=""), " ", IF(IFERROR(ISNUMBER(--A554),FALSE), IF(LEN(A554)=10, IF(MOD(MOD(H554,11),10)=--RIGHT(A554,1), "OK", "ОШИБКА"), IF(LEN(A554)=12, IF(AND(MOD(MOD(H554,11),10)=--MID(A554,11,1), MOD(MOD(I554,11),10)=--RIGHT(A554,1)), "OK", "ОШИБКА"), "ДЛИНА (10 или 12)")), "НЕ ЦИФРЫ"))</f>
        <v/>
      </c>
      <c r="E554">
        <f>MID(B554,1,1)*9+MID(B554,2,1)*8+MID(B554,3,1)*7+MID(B554,4,1)*6+MID(B554,5,1)*5+MID(B554,6,1)*4+MID(B554,7,1)*3+MID(B554,8,1)*2+MID(B554,9,1)</f>
        <v/>
      </c>
      <c r="F554">
        <f>IF(B554="", " ", IF(LEN(B554)&lt;&gt;11, "ДЛИНА", IF(NOT(ISNUMBER(--B554)), "НЕ ЦИФРЫ", IF(LEFT(B554,9)*1&lt;=1001998, "OK", IF(RIGHT(B554,2)*1=IF(MOD(E554,101)&gt;=100,0,MOD(E554,101)),"OK","ОШИБКА")))))</f>
        <v/>
      </c>
      <c r="G5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4">
        <f>IF(LEN(TRIM(A554))=10, --MID(A554,1,1)*2+--MID(A554,2,1)*4+--MID(A554,3,1)*10+--MID(A554,4,1)*3+--MID(A554,5,1)*5+--MID(A554,6,1)*9+--MID(A554,7,1)*4+--MID(A554,8,1)*6+--MID(A554,9,1)*8, IF(LEN(TRIM(A554))=12, --MID(A554,1,1)*7+--MID(A554,2,1)*2+--MID(A554,3,1)*4+--MID(A554,4,1)*10+--MID(A554,5,1)*3+--MID(A554,6,1)*5+--MID(A554,7,1)*9+--MID(A554,8,1)*4+--MID(A554,9,1)*6+--MID(A554,10,1)*8, ""))</f>
        <v/>
      </c>
      <c r="I554">
        <f>IF(LEN(TRIM(A554))=12, --MID(A554,1,1)*3+--MID(A554,2,1)*7+--MID(A554,3,1)*2+--MID(A554,4,1)*4+--MID(A554,5,1)*10+--MID(A554,6,1)*3+--MID(A554,7,1)*5+--MID(A554,8,1)*9+--MID(A554,9,1)*4+--MID(A554,10,1)*6+--MID(A554,11,1)*8, "")</f>
        <v/>
      </c>
    </row>
    <row r="555">
      <c r="A555">
        <f>SUBSTITUTE(SUBSTITUTE(SUBSTITUTE(SUBSTITUTE(TRIM(INDEX(Реестр!$B:$B,ROW())),CHAR(160),""),CHAR(9),""),CHAR(10),""),CHAR(13),"")</f>
        <v/>
      </c>
      <c r="B555">
        <f>SUBSTITUTE(SUBSTITUTE(SUBSTITUTE(SUBSTITUTE(SUBSTITUTE(SUBSTITUTE(SUBSTITUTE(TRIM(INDEX(Реестр!$D:$D, ROW())), "-", ""), " ", ""), CHAR(160), ""), CHAR(9), ""), CHAR(10), ""), CHAR(13), ""), CHAR(32), "")</f>
        <v/>
      </c>
      <c r="C555">
        <f>INDEX(Реестр!$H:$H, ROW())</f>
        <v/>
      </c>
      <c r="D555">
        <f>IF(OR(ISBLANK(INDEX(Реестр!$B:$B, ROW())), INDEX(Реестр!$B:$B, ROW())=""), " ", IF(IFERROR(ISNUMBER(--A555),FALSE), IF(LEN(A555)=10, IF(MOD(MOD(H555,11),10)=--RIGHT(A555,1), "OK", "ОШИБКА"), IF(LEN(A555)=12, IF(AND(MOD(MOD(H555,11),10)=--MID(A555,11,1), MOD(MOD(I555,11),10)=--RIGHT(A555,1)), "OK", "ОШИБКА"), "ДЛИНА (10 или 12)")), "НЕ ЦИФРЫ"))</f>
        <v/>
      </c>
      <c r="E555">
        <f>MID(B555,1,1)*9+MID(B555,2,1)*8+MID(B555,3,1)*7+MID(B555,4,1)*6+MID(B555,5,1)*5+MID(B555,6,1)*4+MID(B555,7,1)*3+MID(B555,8,1)*2+MID(B555,9,1)</f>
        <v/>
      </c>
      <c r="F555">
        <f>IF(B555="", " ", IF(LEN(B555)&lt;&gt;11, "ДЛИНА", IF(NOT(ISNUMBER(--B555)), "НЕ ЦИФРЫ", IF(LEFT(B555,9)*1&lt;=1001998, "OK", IF(RIGHT(B555,2)*1=IF(MOD(E555,101)&gt;=100,0,MOD(E555,101)),"OK","ОШИБКА")))))</f>
        <v/>
      </c>
      <c r="G5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5">
        <f>IF(LEN(TRIM(A555))=10, --MID(A555,1,1)*2+--MID(A555,2,1)*4+--MID(A555,3,1)*10+--MID(A555,4,1)*3+--MID(A555,5,1)*5+--MID(A555,6,1)*9+--MID(A555,7,1)*4+--MID(A555,8,1)*6+--MID(A555,9,1)*8, IF(LEN(TRIM(A555))=12, --MID(A555,1,1)*7+--MID(A555,2,1)*2+--MID(A555,3,1)*4+--MID(A555,4,1)*10+--MID(A555,5,1)*3+--MID(A555,6,1)*5+--MID(A555,7,1)*9+--MID(A555,8,1)*4+--MID(A555,9,1)*6+--MID(A555,10,1)*8, ""))</f>
        <v/>
      </c>
      <c r="I555">
        <f>IF(LEN(TRIM(A555))=12, --MID(A555,1,1)*3+--MID(A555,2,1)*7+--MID(A555,3,1)*2+--MID(A555,4,1)*4+--MID(A555,5,1)*10+--MID(A555,6,1)*3+--MID(A555,7,1)*5+--MID(A555,8,1)*9+--MID(A555,9,1)*4+--MID(A555,10,1)*6+--MID(A555,11,1)*8, "")</f>
        <v/>
      </c>
    </row>
    <row r="556">
      <c r="A556">
        <f>SUBSTITUTE(SUBSTITUTE(SUBSTITUTE(SUBSTITUTE(TRIM(INDEX(Реестр!$B:$B,ROW())),CHAR(160),""),CHAR(9),""),CHAR(10),""),CHAR(13),"")</f>
        <v/>
      </c>
      <c r="B556">
        <f>SUBSTITUTE(SUBSTITUTE(SUBSTITUTE(SUBSTITUTE(SUBSTITUTE(SUBSTITUTE(SUBSTITUTE(TRIM(INDEX(Реестр!$D:$D, ROW())), "-", ""), " ", ""), CHAR(160), ""), CHAR(9), ""), CHAR(10), ""), CHAR(13), ""), CHAR(32), "")</f>
        <v/>
      </c>
      <c r="C556">
        <f>INDEX(Реестр!$H:$H, ROW())</f>
        <v/>
      </c>
      <c r="D556">
        <f>IF(OR(ISBLANK(INDEX(Реестр!$B:$B, ROW())), INDEX(Реестр!$B:$B, ROW())=""), " ", IF(IFERROR(ISNUMBER(--A556),FALSE), IF(LEN(A556)=10, IF(MOD(MOD(H556,11),10)=--RIGHT(A556,1), "OK", "ОШИБКА"), IF(LEN(A556)=12, IF(AND(MOD(MOD(H556,11),10)=--MID(A556,11,1), MOD(MOD(I556,11),10)=--RIGHT(A556,1)), "OK", "ОШИБКА"), "ДЛИНА (10 или 12)")), "НЕ ЦИФРЫ"))</f>
        <v/>
      </c>
      <c r="E556">
        <f>MID(B556,1,1)*9+MID(B556,2,1)*8+MID(B556,3,1)*7+MID(B556,4,1)*6+MID(B556,5,1)*5+MID(B556,6,1)*4+MID(B556,7,1)*3+MID(B556,8,1)*2+MID(B556,9,1)</f>
        <v/>
      </c>
      <c r="F556">
        <f>IF(B556="", " ", IF(LEN(B556)&lt;&gt;11, "ДЛИНА", IF(NOT(ISNUMBER(--B556)), "НЕ ЦИФРЫ", IF(LEFT(B556,9)*1&lt;=1001998, "OK", IF(RIGHT(B556,2)*1=IF(MOD(E556,101)&gt;=100,0,MOD(E556,101)),"OK","ОШИБКА")))))</f>
        <v/>
      </c>
      <c r="G5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6">
        <f>IF(LEN(TRIM(A556))=10, --MID(A556,1,1)*2+--MID(A556,2,1)*4+--MID(A556,3,1)*10+--MID(A556,4,1)*3+--MID(A556,5,1)*5+--MID(A556,6,1)*9+--MID(A556,7,1)*4+--MID(A556,8,1)*6+--MID(A556,9,1)*8, IF(LEN(TRIM(A556))=12, --MID(A556,1,1)*7+--MID(A556,2,1)*2+--MID(A556,3,1)*4+--MID(A556,4,1)*10+--MID(A556,5,1)*3+--MID(A556,6,1)*5+--MID(A556,7,1)*9+--MID(A556,8,1)*4+--MID(A556,9,1)*6+--MID(A556,10,1)*8, ""))</f>
        <v/>
      </c>
      <c r="I556">
        <f>IF(LEN(TRIM(A556))=12, --MID(A556,1,1)*3+--MID(A556,2,1)*7+--MID(A556,3,1)*2+--MID(A556,4,1)*4+--MID(A556,5,1)*10+--MID(A556,6,1)*3+--MID(A556,7,1)*5+--MID(A556,8,1)*9+--MID(A556,9,1)*4+--MID(A556,10,1)*6+--MID(A556,11,1)*8, "")</f>
        <v/>
      </c>
    </row>
    <row r="557">
      <c r="A557">
        <f>SUBSTITUTE(SUBSTITUTE(SUBSTITUTE(SUBSTITUTE(TRIM(INDEX(Реестр!$B:$B,ROW())),CHAR(160),""),CHAR(9),""),CHAR(10),""),CHAR(13),"")</f>
        <v/>
      </c>
      <c r="B557">
        <f>SUBSTITUTE(SUBSTITUTE(SUBSTITUTE(SUBSTITUTE(SUBSTITUTE(SUBSTITUTE(SUBSTITUTE(TRIM(INDEX(Реестр!$D:$D, ROW())), "-", ""), " ", ""), CHAR(160), ""), CHAR(9), ""), CHAR(10), ""), CHAR(13), ""), CHAR(32), "")</f>
        <v/>
      </c>
      <c r="C557">
        <f>INDEX(Реестр!$H:$H, ROW())</f>
        <v/>
      </c>
      <c r="D557">
        <f>IF(OR(ISBLANK(INDEX(Реестр!$B:$B, ROW())), INDEX(Реестр!$B:$B, ROW())=""), " ", IF(IFERROR(ISNUMBER(--A557),FALSE), IF(LEN(A557)=10, IF(MOD(MOD(H557,11),10)=--RIGHT(A557,1), "OK", "ОШИБКА"), IF(LEN(A557)=12, IF(AND(MOD(MOD(H557,11),10)=--MID(A557,11,1), MOD(MOD(I557,11),10)=--RIGHT(A557,1)), "OK", "ОШИБКА"), "ДЛИНА (10 или 12)")), "НЕ ЦИФРЫ"))</f>
        <v/>
      </c>
      <c r="E557">
        <f>MID(B557,1,1)*9+MID(B557,2,1)*8+MID(B557,3,1)*7+MID(B557,4,1)*6+MID(B557,5,1)*5+MID(B557,6,1)*4+MID(B557,7,1)*3+MID(B557,8,1)*2+MID(B557,9,1)</f>
        <v/>
      </c>
      <c r="F557">
        <f>IF(B557="", " ", IF(LEN(B557)&lt;&gt;11, "ДЛИНА", IF(NOT(ISNUMBER(--B557)), "НЕ ЦИФРЫ", IF(LEFT(B557,9)*1&lt;=1001998, "OK", IF(RIGHT(B557,2)*1=IF(MOD(E557,101)&gt;=100,0,MOD(E557,101)),"OK","ОШИБКА")))))</f>
        <v/>
      </c>
      <c r="G5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7">
        <f>IF(LEN(TRIM(A557))=10, --MID(A557,1,1)*2+--MID(A557,2,1)*4+--MID(A557,3,1)*10+--MID(A557,4,1)*3+--MID(A557,5,1)*5+--MID(A557,6,1)*9+--MID(A557,7,1)*4+--MID(A557,8,1)*6+--MID(A557,9,1)*8, IF(LEN(TRIM(A557))=12, --MID(A557,1,1)*7+--MID(A557,2,1)*2+--MID(A557,3,1)*4+--MID(A557,4,1)*10+--MID(A557,5,1)*3+--MID(A557,6,1)*5+--MID(A557,7,1)*9+--MID(A557,8,1)*4+--MID(A557,9,1)*6+--MID(A557,10,1)*8, ""))</f>
        <v/>
      </c>
      <c r="I557">
        <f>IF(LEN(TRIM(A557))=12, --MID(A557,1,1)*3+--MID(A557,2,1)*7+--MID(A557,3,1)*2+--MID(A557,4,1)*4+--MID(A557,5,1)*10+--MID(A557,6,1)*3+--MID(A557,7,1)*5+--MID(A557,8,1)*9+--MID(A557,9,1)*4+--MID(A557,10,1)*6+--MID(A557,11,1)*8, "")</f>
        <v/>
      </c>
    </row>
    <row r="558">
      <c r="A558">
        <f>SUBSTITUTE(SUBSTITUTE(SUBSTITUTE(SUBSTITUTE(TRIM(INDEX(Реестр!$B:$B,ROW())),CHAR(160),""),CHAR(9),""),CHAR(10),""),CHAR(13),"")</f>
        <v/>
      </c>
      <c r="B558">
        <f>SUBSTITUTE(SUBSTITUTE(SUBSTITUTE(SUBSTITUTE(SUBSTITUTE(SUBSTITUTE(SUBSTITUTE(TRIM(INDEX(Реестр!$D:$D, ROW())), "-", ""), " ", ""), CHAR(160), ""), CHAR(9), ""), CHAR(10), ""), CHAR(13), ""), CHAR(32), "")</f>
        <v/>
      </c>
      <c r="C558">
        <f>INDEX(Реестр!$H:$H, ROW())</f>
        <v/>
      </c>
      <c r="D558">
        <f>IF(OR(ISBLANK(INDEX(Реестр!$B:$B, ROW())), INDEX(Реестр!$B:$B, ROW())=""), " ", IF(IFERROR(ISNUMBER(--A558),FALSE), IF(LEN(A558)=10, IF(MOD(MOD(H558,11),10)=--RIGHT(A558,1), "OK", "ОШИБКА"), IF(LEN(A558)=12, IF(AND(MOD(MOD(H558,11),10)=--MID(A558,11,1), MOD(MOD(I558,11),10)=--RIGHT(A558,1)), "OK", "ОШИБКА"), "ДЛИНА (10 или 12)")), "НЕ ЦИФРЫ"))</f>
        <v/>
      </c>
      <c r="E558">
        <f>MID(B558,1,1)*9+MID(B558,2,1)*8+MID(B558,3,1)*7+MID(B558,4,1)*6+MID(B558,5,1)*5+MID(B558,6,1)*4+MID(B558,7,1)*3+MID(B558,8,1)*2+MID(B558,9,1)</f>
        <v/>
      </c>
      <c r="F558">
        <f>IF(B558="", " ", IF(LEN(B558)&lt;&gt;11, "ДЛИНА", IF(NOT(ISNUMBER(--B558)), "НЕ ЦИФРЫ", IF(LEFT(B558,9)*1&lt;=1001998, "OK", IF(RIGHT(B558,2)*1=IF(MOD(E558,101)&gt;=100,0,MOD(E558,101)),"OK","ОШИБКА")))))</f>
        <v/>
      </c>
      <c r="G5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8">
        <f>IF(LEN(TRIM(A558))=10, --MID(A558,1,1)*2+--MID(A558,2,1)*4+--MID(A558,3,1)*10+--MID(A558,4,1)*3+--MID(A558,5,1)*5+--MID(A558,6,1)*9+--MID(A558,7,1)*4+--MID(A558,8,1)*6+--MID(A558,9,1)*8, IF(LEN(TRIM(A558))=12, --MID(A558,1,1)*7+--MID(A558,2,1)*2+--MID(A558,3,1)*4+--MID(A558,4,1)*10+--MID(A558,5,1)*3+--MID(A558,6,1)*5+--MID(A558,7,1)*9+--MID(A558,8,1)*4+--MID(A558,9,1)*6+--MID(A558,10,1)*8, ""))</f>
        <v/>
      </c>
      <c r="I558">
        <f>IF(LEN(TRIM(A558))=12, --MID(A558,1,1)*3+--MID(A558,2,1)*7+--MID(A558,3,1)*2+--MID(A558,4,1)*4+--MID(A558,5,1)*10+--MID(A558,6,1)*3+--MID(A558,7,1)*5+--MID(A558,8,1)*9+--MID(A558,9,1)*4+--MID(A558,10,1)*6+--MID(A558,11,1)*8, "")</f>
        <v/>
      </c>
    </row>
    <row r="559">
      <c r="A559">
        <f>SUBSTITUTE(SUBSTITUTE(SUBSTITUTE(SUBSTITUTE(TRIM(INDEX(Реестр!$B:$B,ROW())),CHAR(160),""),CHAR(9),""),CHAR(10),""),CHAR(13),"")</f>
        <v/>
      </c>
      <c r="B559">
        <f>SUBSTITUTE(SUBSTITUTE(SUBSTITUTE(SUBSTITUTE(SUBSTITUTE(SUBSTITUTE(SUBSTITUTE(TRIM(INDEX(Реестр!$D:$D, ROW())), "-", ""), " ", ""), CHAR(160), ""), CHAR(9), ""), CHAR(10), ""), CHAR(13), ""), CHAR(32), "")</f>
        <v/>
      </c>
      <c r="C559">
        <f>INDEX(Реестр!$H:$H, ROW())</f>
        <v/>
      </c>
      <c r="D559">
        <f>IF(OR(ISBLANK(INDEX(Реестр!$B:$B, ROW())), INDEX(Реестр!$B:$B, ROW())=""), " ", IF(IFERROR(ISNUMBER(--A559),FALSE), IF(LEN(A559)=10, IF(MOD(MOD(H559,11),10)=--RIGHT(A559,1), "OK", "ОШИБКА"), IF(LEN(A559)=12, IF(AND(MOD(MOD(H559,11),10)=--MID(A559,11,1), MOD(MOD(I559,11),10)=--RIGHT(A559,1)), "OK", "ОШИБКА"), "ДЛИНА (10 или 12)")), "НЕ ЦИФРЫ"))</f>
        <v/>
      </c>
      <c r="E559">
        <f>MID(B559,1,1)*9+MID(B559,2,1)*8+MID(B559,3,1)*7+MID(B559,4,1)*6+MID(B559,5,1)*5+MID(B559,6,1)*4+MID(B559,7,1)*3+MID(B559,8,1)*2+MID(B559,9,1)</f>
        <v/>
      </c>
      <c r="F559">
        <f>IF(B559="", " ", IF(LEN(B559)&lt;&gt;11, "ДЛИНА", IF(NOT(ISNUMBER(--B559)), "НЕ ЦИФРЫ", IF(LEFT(B559,9)*1&lt;=1001998, "OK", IF(RIGHT(B559,2)*1=IF(MOD(E559,101)&gt;=100,0,MOD(E559,101)),"OK","ОШИБКА")))))</f>
        <v/>
      </c>
      <c r="G5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59">
        <f>IF(LEN(TRIM(A559))=10, --MID(A559,1,1)*2+--MID(A559,2,1)*4+--MID(A559,3,1)*10+--MID(A559,4,1)*3+--MID(A559,5,1)*5+--MID(A559,6,1)*9+--MID(A559,7,1)*4+--MID(A559,8,1)*6+--MID(A559,9,1)*8, IF(LEN(TRIM(A559))=12, --MID(A559,1,1)*7+--MID(A559,2,1)*2+--MID(A559,3,1)*4+--MID(A559,4,1)*10+--MID(A559,5,1)*3+--MID(A559,6,1)*5+--MID(A559,7,1)*9+--MID(A559,8,1)*4+--MID(A559,9,1)*6+--MID(A559,10,1)*8, ""))</f>
        <v/>
      </c>
      <c r="I559">
        <f>IF(LEN(TRIM(A559))=12, --MID(A559,1,1)*3+--MID(A559,2,1)*7+--MID(A559,3,1)*2+--MID(A559,4,1)*4+--MID(A559,5,1)*10+--MID(A559,6,1)*3+--MID(A559,7,1)*5+--MID(A559,8,1)*9+--MID(A559,9,1)*4+--MID(A559,10,1)*6+--MID(A559,11,1)*8, "")</f>
        <v/>
      </c>
    </row>
    <row r="560">
      <c r="A560">
        <f>SUBSTITUTE(SUBSTITUTE(SUBSTITUTE(SUBSTITUTE(TRIM(INDEX(Реестр!$B:$B,ROW())),CHAR(160),""),CHAR(9),""),CHAR(10),""),CHAR(13),"")</f>
        <v/>
      </c>
      <c r="B560">
        <f>SUBSTITUTE(SUBSTITUTE(SUBSTITUTE(SUBSTITUTE(SUBSTITUTE(SUBSTITUTE(SUBSTITUTE(TRIM(INDEX(Реестр!$D:$D, ROW())), "-", ""), " ", ""), CHAR(160), ""), CHAR(9), ""), CHAR(10), ""), CHAR(13), ""), CHAR(32), "")</f>
        <v/>
      </c>
      <c r="C560">
        <f>INDEX(Реестр!$H:$H, ROW())</f>
        <v/>
      </c>
      <c r="D560">
        <f>IF(OR(ISBLANK(INDEX(Реестр!$B:$B, ROW())), INDEX(Реестр!$B:$B, ROW())=""), " ", IF(IFERROR(ISNUMBER(--A560),FALSE), IF(LEN(A560)=10, IF(MOD(MOD(H560,11),10)=--RIGHT(A560,1), "OK", "ОШИБКА"), IF(LEN(A560)=12, IF(AND(MOD(MOD(H560,11),10)=--MID(A560,11,1), MOD(MOD(I560,11),10)=--RIGHT(A560,1)), "OK", "ОШИБКА"), "ДЛИНА (10 или 12)")), "НЕ ЦИФРЫ"))</f>
        <v/>
      </c>
      <c r="E560">
        <f>MID(B560,1,1)*9+MID(B560,2,1)*8+MID(B560,3,1)*7+MID(B560,4,1)*6+MID(B560,5,1)*5+MID(B560,6,1)*4+MID(B560,7,1)*3+MID(B560,8,1)*2+MID(B560,9,1)</f>
        <v/>
      </c>
      <c r="F560">
        <f>IF(B560="", " ", IF(LEN(B560)&lt;&gt;11, "ДЛИНА", IF(NOT(ISNUMBER(--B560)), "НЕ ЦИФРЫ", IF(LEFT(B560,9)*1&lt;=1001998, "OK", IF(RIGHT(B560,2)*1=IF(MOD(E560,101)&gt;=100,0,MOD(E560,101)),"OK","ОШИБКА")))))</f>
        <v/>
      </c>
      <c r="G5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0">
        <f>IF(LEN(TRIM(A560))=10, --MID(A560,1,1)*2+--MID(A560,2,1)*4+--MID(A560,3,1)*10+--MID(A560,4,1)*3+--MID(A560,5,1)*5+--MID(A560,6,1)*9+--MID(A560,7,1)*4+--MID(A560,8,1)*6+--MID(A560,9,1)*8, IF(LEN(TRIM(A560))=12, --MID(A560,1,1)*7+--MID(A560,2,1)*2+--MID(A560,3,1)*4+--MID(A560,4,1)*10+--MID(A560,5,1)*3+--MID(A560,6,1)*5+--MID(A560,7,1)*9+--MID(A560,8,1)*4+--MID(A560,9,1)*6+--MID(A560,10,1)*8, ""))</f>
        <v/>
      </c>
      <c r="I560">
        <f>IF(LEN(TRIM(A560))=12, --MID(A560,1,1)*3+--MID(A560,2,1)*7+--MID(A560,3,1)*2+--MID(A560,4,1)*4+--MID(A560,5,1)*10+--MID(A560,6,1)*3+--MID(A560,7,1)*5+--MID(A560,8,1)*9+--MID(A560,9,1)*4+--MID(A560,10,1)*6+--MID(A560,11,1)*8, "")</f>
        <v/>
      </c>
    </row>
    <row r="561">
      <c r="A561">
        <f>SUBSTITUTE(SUBSTITUTE(SUBSTITUTE(SUBSTITUTE(TRIM(INDEX(Реестр!$B:$B,ROW())),CHAR(160),""),CHAR(9),""),CHAR(10),""),CHAR(13),"")</f>
        <v/>
      </c>
      <c r="B561">
        <f>SUBSTITUTE(SUBSTITUTE(SUBSTITUTE(SUBSTITUTE(SUBSTITUTE(SUBSTITUTE(SUBSTITUTE(TRIM(INDEX(Реестр!$D:$D, ROW())), "-", ""), " ", ""), CHAR(160), ""), CHAR(9), ""), CHAR(10), ""), CHAR(13), ""), CHAR(32), "")</f>
        <v/>
      </c>
      <c r="C561">
        <f>INDEX(Реестр!$H:$H, ROW())</f>
        <v/>
      </c>
      <c r="D561">
        <f>IF(OR(ISBLANK(INDEX(Реестр!$B:$B, ROW())), INDEX(Реестр!$B:$B, ROW())=""), " ", IF(IFERROR(ISNUMBER(--A561),FALSE), IF(LEN(A561)=10, IF(MOD(MOD(H561,11),10)=--RIGHT(A561,1), "OK", "ОШИБКА"), IF(LEN(A561)=12, IF(AND(MOD(MOD(H561,11),10)=--MID(A561,11,1), MOD(MOD(I561,11),10)=--RIGHT(A561,1)), "OK", "ОШИБКА"), "ДЛИНА (10 или 12)")), "НЕ ЦИФРЫ"))</f>
        <v/>
      </c>
      <c r="E561">
        <f>MID(B561,1,1)*9+MID(B561,2,1)*8+MID(B561,3,1)*7+MID(B561,4,1)*6+MID(B561,5,1)*5+MID(B561,6,1)*4+MID(B561,7,1)*3+MID(B561,8,1)*2+MID(B561,9,1)</f>
        <v/>
      </c>
      <c r="F561">
        <f>IF(B561="", " ", IF(LEN(B561)&lt;&gt;11, "ДЛИНА", IF(NOT(ISNUMBER(--B561)), "НЕ ЦИФРЫ", IF(LEFT(B561,9)*1&lt;=1001998, "OK", IF(RIGHT(B561,2)*1=IF(MOD(E561,101)&gt;=100,0,MOD(E561,101)),"OK","ОШИБКА")))))</f>
        <v/>
      </c>
      <c r="G5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1">
        <f>IF(LEN(TRIM(A561))=10, --MID(A561,1,1)*2+--MID(A561,2,1)*4+--MID(A561,3,1)*10+--MID(A561,4,1)*3+--MID(A561,5,1)*5+--MID(A561,6,1)*9+--MID(A561,7,1)*4+--MID(A561,8,1)*6+--MID(A561,9,1)*8, IF(LEN(TRIM(A561))=12, --MID(A561,1,1)*7+--MID(A561,2,1)*2+--MID(A561,3,1)*4+--MID(A561,4,1)*10+--MID(A561,5,1)*3+--MID(A561,6,1)*5+--MID(A561,7,1)*9+--MID(A561,8,1)*4+--MID(A561,9,1)*6+--MID(A561,10,1)*8, ""))</f>
        <v/>
      </c>
      <c r="I561">
        <f>IF(LEN(TRIM(A561))=12, --MID(A561,1,1)*3+--MID(A561,2,1)*7+--MID(A561,3,1)*2+--MID(A561,4,1)*4+--MID(A561,5,1)*10+--MID(A561,6,1)*3+--MID(A561,7,1)*5+--MID(A561,8,1)*9+--MID(A561,9,1)*4+--MID(A561,10,1)*6+--MID(A561,11,1)*8, "")</f>
        <v/>
      </c>
    </row>
    <row r="562">
      <c r="A562">
        <f>SUBSTITUTE(SUBSTITUTE(SUBSTITUTE(SUBSTITUTE(TRIM(INDEX(Реестр!$B:$B,ROW())),CHAR(160),""),CHAR(9),""),CHAR(10),""),CHAR(13),"")</f>
        <v/>
      </c>
      <c r="B562">
        <f>SUBSTITUTE(SUBSTITUTE(SUBSTITUTE(SUBSTITUTE(SUBSTITUTE(SUBSTITUTE(SUBSTITUTE(TRIM(INDEX(Реестр!$D:$D, ROW())), "-", ""), " ", ""), CHAR(160), ""), CHAR(9), ""), CHAR(10), ""), CHAR(13), ""), CHAR(32), "")</f>
        <v/>
      </c>
      <c r="C562">
        <f>INDEX(Реестр!$H:$H, ROW())</f>
        <v/>
      </c>
      <c r="D562">
        <f>IF(OR(ISBLANK(INDEX(Реестр!$B:$B, ROW())), INDEX(Реестр!$B:$B, ROW())=""), " ", IF(IFERROR(ISNUMBER(--A562),FALSE), IF(LEN(A562)=10, IF(MOD(MOD(H562,11),10)=--RIGHT(A562,1), "OK", "ОШИБКА"), IF(LEN(A562)=12, IF(AND(MOD(MOD(H562,11),10)=--MID(A562,11,1), MOD(MOD(I562,11),10)=--RIGHT(A562,1)), "OK", "ОШИБКА"), "ДЛИНА (10 или 12)")), "НЕ ЦИФРЫ"))</f>
        <v/>
      </c>
      <c r="E562">
        <f>MID(B562,1,1)*9+MID(B562,2,1)*8+MID(B562,3,1)*7+MID(B562,4,1)*6+MID(B562,5,1)*5+MID(B562,6,1)*4+MID(B562,7,1)*3+MID(B562,8,1)*2+MID(B562,9,1)</f>
        <v/>
      </c>
      <c r="F562">
        <f>IF(B562="", " ", IF(LEN(B562)&lt;&gt;11, "ДЛИНА", IF(NOT(ISNUMBER(--B562)), "НЕ ЦИФРЫ", IF(LEFT(B562,9)*1&lt;=1001998, "OK", IF(RIGHT(B562,2)*1=IF(MOD(E562,101)&gt;=100,0,MOD(E562,101)),"OK","ОШИБКА")))))</f>
        <v/>
      </c>
      <c r="G5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2">
        <f>IF(LEN(TRIM(A562))=10, --MID(A562,1,1)*2+--MID(A562,2,1)*4+--MID(A562,3,1)*10+--MID(A562,4,1)*3+--MID(A562,5,1)*5+--MID(A562,6,1)*9+--MID(A562,7,1)*4+--MID(A562,8,1)*6+--MID(A562,9,1)*8, IF(LEN(TRIM(A562))=12, --MID(A562,1,1)*7+--MID(A562,2,1)*2+--MID(A562,3,1)*4+--MID(A562,4,1)*10+--MID(A562,5,1)*3+--MID(A562,6,1)*5+--MID(A562,7,1)*9+--MID(A562,8,1)*4+--MID(A562,9,1)*6+--MID(A562,10,1)*8, ""))</f>
        <v/>
      </c>
      <c r="I562">
        <f>IF(LEN(TRIM(A562))=12, --MID(A562,1,1)*3+--MID(A562,2,1)*7+--MID(A562,3,1)*2+--MID(A562,4,1)*4+--MID(A562,5,1)*10+--MID(A562,6,1)*3+--MID(A562,7,1)*5+--MID(A562,8,1)*9+--MID(A562,9,1)*4+--MID(A562,10,1)*6+--MID(A562,11,1)*8, "")</f>
        <v/>
      </c>
    </row>
    <row r="563">
      <c r="A563">
        <f>SUBSTITUTE(SUBSTITUTE(SUBSTITUTE(SUBSTITUTE(TRIM(INDEX(Реестр!$B:$B,ROW())),CHAR(160),""),CHAR(9),""),CHAR(10),""),CHAR(13),"")</f>
        <v/>
      </c>
      <c r="B563">
        <f>SUBSTITUTE(SUBSTITUTE(SUBSTITUTE(SUBSTITUTE(SUBSTITUTE(SUBSTITUTE(SUBSTITUTE(TRIM(INDEX(Реестр!$D:$D, ROW())), "-", ""), " ", ""), CHAR(160), ""), CHAR(9), ""), CHAR(10), ""), CHAR(13), ""), CHAR(32), "")</f>
        <v/>
      </c>
      <c r="C563">
        <f>INDEX(Реестр!$H:$H, ROW())</f>
        <v/>
      </c>
      <c r="D563">
        <f>IF(OR(ISBLANK(INDEX(Реестр!$B:$B, ROW())), INDEX(Реестр!$B:$B, ROW())=""), " ", IF(IFERROR(ISNUMBER(--A563),FALSE), IF(LEN(A563)=10, IF(MOD(MOD(H563,11),10)=--RIGHT(A563,1), "OK", "ОШИБКА"), IF(LEN(A563)=12, IF(AND(MOD(MOD(H563,11),10)=--MID(A563,11,1), MOD(MOD(I563,11),10)=--RIGHT(A563,1)), "OK", "ОШИБКА"), "ДЛИНА (10 или 12)")), "НЕ ЦИФРЫ"))</f>
        <v/>
      </c>
      <c r="E563">
        <f>MID(B563,1,1)*9+MID(B563,2,1)*8+MID(B563,3,1)*7+MID(B563,4,1)*6+MID(B563,5,1)*5+MID(B563,6,1)*4+MID(B563,7,1)*3+MID(B563,8,1)*2+MID(B563,9,1)</f>
        <v/>
      </c>
      <c r="F563">
        <f>IF(B563="", " ", IF(LEN(B563)&lt;&gt;11, "ДЛИНА", IF(NOT(ISNUMBER(--B563)), "НЕ ЦИФРЫ", IF(LEFT(B563,9)*1&lt;=1001998, "OK", IF(RIGHT(B563,2)*1=IF(MOD(E563,101)&gt;=100,0,MOD(E563,101)),"OK","ОШИБКА")))))</f>
        <v/>
      </c>
      <c r="G5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3">
        <f>IF(LEN(TRIM(A563))=10, --MID(A563,1,1)*2+--MID(A563,2,1)*4+--MID(A563,3,1)*10+--MID(A563,4,1)*3+--MID(A563,5,1)*5+--MID(A563,6,1)*9+--MID(A563,7,1)*4+--MID(A563,8,1)*6+--MID(A563,9,1)*8, IF(LEN(TRIM(A563))=12, --MID(A563,1,1)*7+--MID(A563,2,1)*2+--MID(A563,3,1)*4+--MID(A563,4,1)*10+--MID(A563,5,1)*3+--MID(A563,6,1)*5+--MID(A563,7,1)*9+--MID(A563,8,1)*4+--MID(A563,9,1)*6+--MID(A563,10,1)*8, ""))</f>
        <v/>
      </c>
      <c r="I563">
        <f>IF(LEN(TRIM(A563))=12, --MID(A563,1,1)*3+--MID(A563,2,1)*7+--MID(A563,3,1)*2+--MID(A563,4,1)*4+--MID(A563,5,1)*10+--MID(A563,6,1)*3+--MID(A563,7,1)*5+--MID(A563,8,1)*9+--MID(A563,9,1)*4+--MID(A563,10,1)*6+--MID(A563,11,1)*8, "")</f>
        <v/>
      </c>
    </row>
    <row r="564">
      <c r="A564">
        <f>SUBSTITUTE(SUBSTITUTE(SUBSTITUTE(SUBSTITUTE(TRIM(INDEX(Реестр!$B:$B,ROW())),CHAR(160),""),CHAR(9),""),CHAR(10),""),CHAR(13),"")</f>
        <v/>
      </c>
      <c r="B564">
        <f>SUBSTITUTE(SUBSTITUTE(SUBSTITUTE(SUBSTITUTE(SUBSTITUTE(SUBSTITUTE(SUBSTITUTE(TRIM(INDEX(Реестр!$D:$D, ROW())), "-", ""), " ", ""), CHAR(160), ""), CHAR(9), ""), CHAR(10), ""), CHAR(13), ""), CHAR(32), "")</f>
        <v/>
      </c>
      <c r="C564">
        <f>INDEX(Реестр!$H:$H, ROW())</f>
        <v/>
      </c>
      <c r="D564">
        <f>IF(OR(ISBLANK(INDEX(Реестр!$B:$B, ROW())), INDEX(Реестр!$B:$B, ROW())=""), " ", IF(IFERROR(ISNUMBER(--A564),FALSE), IF(LEN(A564)=10, IF(MOD(MOD(H564,11),10)=--RIGHT(A564,1), "OK", "ОШИБКА"), IF(LEN(A564)=12, IF(AND(MOD(MOD(H564,11),10)=--MID(A564,11,1), MOD(MOD(I564,11),10)=--RIGHT(A564,1)), "OK", "ОШИБКА"), "ДЛИНА (10 или 12)")), "НЕ ЦИФРЫ"))</f>
        <v/>
      </c>
      <c r="E564">
        <f>MID(B564,1,1)*9+MID(B564,2,1)*8+MID(B564,3,1)*7+MID(B564,4,1)*6+MID(B564,5,1)*5+MID(B564,6,1)*4+MID(B564,7,1)*3+MID(B564,8,1)*2+MID(B564,9,1)</f>
        <v/>
      </c>
      <c r="F564">
        <f>IF(B564="", " ", IF(LEN(B564)&lt;&gt;11, "ДЛИНА", IF(NOT(ISNUMBER(--B564)), "НЕ ЦИФРЫ", IF(LEFT(B564,9)*1&lt;=1001998, "OK", IF(RIGHT(B564,2)*1=IF(MOD(E564,101)&gt;=100,0,MOD(E564,101)),"OK","ОШИБКА")))))</f>
        <v/>
      </c>
      <c r="G5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4">
        <f>IF(LEN(TRIM(A564))=10, --MID(A564,1,1)*2+--MID(A564,2,1)*4+--MID(A564,3,1)*10+--MID(A564,4,1)*3+--MID(A564,5,1)*5+--MID(A564,6,1)*9+--MID(A564,7,1)*4+--MID(A564,8,1)*6+--MID(A564,9,1)*8, IF(LEN(TRIM(A564))=12, --MID(A564,1,1)*7+--MID(A564,2,1)*2+--MID(A564,3,1)*4+--MID(A564,4,1)*10+--MID(A564,5,1)*3+--MID(A564,6,1)*5+--MID(A564,7,1)*9+--MID(A564,8,1)*4+--MID(A564,9,1)*6+--MID(A564,10,1)*8, ""))</f>
        <v/>
      </c>
      <c r="I564">
        <f>IF(LEN(TRIM(A564))=12, --MID(A564,1,1)*3+--MID(A564,2,1)*7+--MID(A564,3,1)*2+--MID(A564,4,1)*4+--MID(A564,5,1)*10+--MID(A564,6,1)*3+--MID(A564,7,1)*5+--MID(A564,8,1)*9+--MID(A564,9,1)*4+--MID(A564,10,1)*6+--MID(A564,11,1)*8, "")</f>
        <v/>
      </c>
    </row>
    <row r="565">
      <c r="A565">
        <f>SUBSTITUTE(SUBSTITUTE(SUBSTITUTE(SUBSTITUTE(TRIM(INDEX(Реестр!$B:$B,ROW())),CHAR(160),""),CHAR(9),""),CHAR(10),""),CHAR(13),"")</f>
        <v/>
      </c>
      <c r="B565">
        <f>SUBSTITUTE(SUBSTITUTE(SUBSTITUTE(SUBSTITUTE(SUBSTITUTE(SUBSTITUTE(SUBSTITUTE(TRIM(INDEX(Реестр!$D:$D, ROW())), "-", ""), " ", ""), CHAR(160), ""), CHAR(9), ""), CHAR(10), ""), CHAR(13), ""), CHAR(32), "")</f>
        <v/>
      </c>
      <c r="C565">
        <f>INDEX(Реестр!$H:$H, ROW())</f>
        <v/>
      </c>
      <c r="D565">
        <f>IF(OR(ISBLANK(INDEX(Реестр!$B:$B, ROW())), INDEX(Реестр!$B:$B, ROW())=""), " ", IF(IFERROR(ISNUMBER(--A565),FALSE), IF(LEN(A565)=10, IF(MOD(MOD(H565,11),10)=--RIGHT(A565,1), "OK", "ОШИБКА"), IF(LEN(A565)=12, IF(AND(MOD(MOD(H565,11),10)=--MID(A565,11,1), MOD(MOD(I565,11),10)=--RIGHT(A565,1)), "OK", "ОШИБКА"), "ДЛИНА (10 или 12)")), "НЕ ЦИФРЫ"))</f>
        <v/>
      </c>
      <c r="E565">
        <f>MID(B565,1,1)*9+MID(B565,2,1)*8+MID(B565,3,1)*7+MID(B565,4,1)*6+MID(B565,5,1)*5+MID(B565,6,1)*4+MID(B565,7,1)*3+MID(B565,8,1)*2+MID(B565,9,1)</f>
        <v/>
      </c>
      <c r="F565">
        <f>IF(B565="", " ", IF(LEN(B565)&lt;&gt;11, "ДЛИНА", IF(NOT(ISNUMBER(--B565)), "НЕ ЦИФРЫ", IF(LEFT(B565,9)*1&lt;=1001998, "OK", IF(RIGHT(B565,2)*1=IF(MOD(E565,101)&gt;=100,0,MOD(E565,101)),"OK","ОШИБКА")))))</f>
        <v/>
      </c>
      <c r="G5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5">
        <f>IF(LEN(TRIM(A565))=10, --MID(A565,1,1)*2+--MID(A565,2,1)*4+--MID(A565,3,1)*10+--MID(A565,4,1)*3+--MID(A565,5,1)*5+--MID(A565,6,1)*9+--MID(A565,7,1)*4+--MID(A565,8,1)*6+--MID(A565,9,1)*8, IF(LEN(TRIM(A565))=12, --MID(A565,1,1)*7+--MID(A565,2,1)*2+--MID(A565,3,1)*4+--MID(A565,4,1)*10+--MID(A565,5,1)*3+--MID(A565,6,1)*5+--MID(A565,7,1)*9+--MID(A565,8,1)*4+--MID(A565,9,1)*6+--MID(A565,10,1)*8, ""))</f>
        <v/>
      </c>
      <c r="I565">
        <f>IF(LEN(TRIM(A565))=12, --MID(A565,1,1)*3+--MID(A565,2,1)*7+--MID(A565,3,1)*2+--MID(A565,4,1)*4+--MID(A565,5,1)*10+--MID(A565,6,1)*3+--MID(A565,7,1)*5+--MID(A565,8,1)*9+--MID(A565,9,1)*4+--MID(A565,10,1)*6+--MID(A565,11,1)*8, "")</f>
        <v/>
      </c>
    </row>
    <row r="566">
      <c r="A566">
        <f>SUBSTITUTE(SUBSTITUTE(SUBSTITUTE(SUBSTITUTE(TRIM(INDEX(Реестр!$B:$B,ROW())),CHAR(160),""),CHAR(9),""),CHAR(10),""),CHAR(13),"")</f>
        <v/>
      </c>
      <c r="B566">
        <f>SUBSTITUTE(SUBSTITUTE(SUBSTITUTE(SUBSTITUTE(SUBSTITUTE(SUBSTITUTE(SUBSTITUTE(TRIM(INDEX(Реестр!$D:$D, ROW())), "-", ""), " ", ""), CHAR(160), ""), CHAR(9), ""), CHAR(10), ""), CHAR(13), ""), CHAR(32), "")</f>
        <v/>
      </c>
      <c r="C566">
        <f>INDEX(Реестр!$H:$H, ROW())</f>
        <v/>
      </c>
      <c r="D566">
        <f>IF(OR(ISBLANK(INDEX(Реестр!$B:$B, ROW())), INDEX(Реестр!$B:$B, ROW())=""), " ", IF(IFERROR(ISNUMBER(--A566),FALSE), IF(LEN(A566)=10, IF(MOD(MOD(H566,11),10)=--RIGHT(A566,1), "OK", "ОШИБКА"), IF(LEN(A566)=12, IF(AND(MOD(MOD(H566,11),10)=--MID(A566,11,1), MOD(MOD(I566,11),10)=--RIGHT(A566,1)), "OK", "ОШИБКА"), "ДЛИНА (10 или 12)")), "НЕ ЦИФРЫ"))</f>
        <v/>
      </c>
      <c r="E566">
        <f>MID(B566,1,1)*9+MID(B566,2,1)*8+MID(B566,3,1)*7+MID(B566,4,1)*6+MID(B566,5,1)*5+MID(B566,6,1)*4+MID(B566,7,1)*3+MID(B566,8,1)*2+MID(B566,9,1)</f>
        <v/>
      </c>
      <c r="F566">
        <f>IF(B566="", " ", IF(LEN(B566)&lt;&gt;11, "ДЛИНА", IF(NOT(ISNUMBER(--B566)), "НЕ ЦИФРЫ", IF(LEFT(B566,9)*1&lt;=1001998, "OK", IF(RIGHT(B566,2)*1=IF(MOD(E566,101)&gt;=100,0,MOD(E566,101)),"OK","ОШИБКА")))))</f>
        <v/>
      </c>
      <c r="G5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6">
        <f>IF(LEN(TRIM(A566))=10, --MID(A566,1,1)*2+--MID(A566,2,1)*4+--MID(A566,3,1)*10+--MID(A566,4,1)*3+--MID(A566,5,1)*5+--MID(A566,6,1)*9+--MID(A566,7,1)*4+--MID(A566,8,1)*6+--MID(A566,9,1)*8, IF(LEN(TRIM(A566))=12, --MID(A566,1,1)*7+--MID(A566,2,1)*2+--MID(A566,3,1)*4+--MID(A566,4,1)*10+--MID(A566,5,1)*3+--MID(A566,6,1)*5+--MID(A566,7,1)*9+--MID(A566,8,1)*4+--MID(A566,9,1)*6+--MID(A566,10,1)*8, ""))</f>
        <v/>
      </c>
      <c r="I566">
        <f>IF(LEN(TRIM(A566))=12, --MID(A566,1,1)*3+--MID(A566,2,1)*7+--MID(A566,3,1)*2+--MID(A566,4,1)*4+--MID(A566,5,1)*10+--MID(A566,6,1)*3+--MID(A566,7,1)*5+--MID(A566,8,1)*9+--MID(A566,9,1)*4+--MID(A566,10,1)*6+--MID(A566,11,1)*8, "")</f>
        <v/>
      </c>
    </row>
    <row r="567">
      <c r="A567">
        <f>SUBSTITUTE(SUBSTITUTE(SUBSTITUTE(SUBSTITUTE(TRIM(INDEX(Реестр!$B:$B,ROW())),CHAR(160),""),CHAR(9),""),CHAR(10),""),CHAR(13),"")</f>
        <v/>
      </c>
      <c r="B567">
        <f>SUBSTITUTE(SUBSTITUTE(SUBSTITUTE(SUBSTITUTE(SUBSTITUTE(SUBSTITUTE(SUBSTITUTE(TRIM(INDEX(Реестр!$D:$D, ROW())), "-", ""), " ", ""), CHAR(160), ""), CHAR(9), ""), CHAR(10), ""), CHAR(13), ""), CHAR(32), "")</f>
        <v/>
      </c>
      <c r="C567">
        <f>INDEX(Реестр!$H:$H, ROW())</f>
        <v/>
      </c>
      <c r="D567">
        <f>IF(OR(ISBLANK(INDEX(Реестр!$B:$B, ROW())), INDEX(Реестр!$B:$B, ROW())=""), " ", IF(IFERROR(ISNUMBER(--A567),FALSE), IF(LEN(A567)=10, IF(MOD(MOD(H567,11),10)=--RIGHT(A567,1), "OK", "ОШИБКА"), IF(LEN(A567)=12, IF(AND(MOD(MOD(H567,11),10)=--MID(A567,11,1), MOD(MOD(I567,11),10)=--RIGHT(A567,1)), "OK", "ОШИБКА"), "ДЛИНА (10 или 12)")), "НЕ ЦИФРЫ"))</f>
        <v/>
      </c>
      <c r="E567">
        <f>MID(B567,1,1)*9+MID(B567,2,1)*8+MID(B567,3,1)*7+MID(B567,4,1)*6+MID(B567,5,1)*5+MID(B567,6,1)*4+MID(B567,7,1)*3+MID(B567,8,1)*2+MID(B567,9,1)</f>
        <v/>
      </c>
      <c r="F567">
        <f>IF(B567="", " ", IF(LEN(B567)&lt;&gt;11, "ДЛИНА", IF(NOT(ISNUMBER(--B567)), "НЕ ЦИФРЫ", IF(LEFT(B567,9)*1&lt;=1001998, "OK", IF(RIGHT(B567,2)*1=IF(MOD(E567,101)&gt;=100,0,MOD(E567,101)),"OK","ОШИБКА")))))</f>
        <v/>
      </c>
      <c r="G5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7">
        <f>IF(LEN(TRIM(A567))=10, --MID(A567,1,1)*2+--MID(A567,2,1)*4+--MID(A567,3,1)*10+--MID(A567,4,1)*3+--MID(A567,5,1)*5+--MID(A567,6,1)*9+--MID(A567,7,1)*4+--MID(A567,8,1)*6+--MID(A567,9,1)*8, IF(LEN(TRIM(A567))=12, --MID(A567,1,1)*7+--MID(A567,2,1)*2+--MID(A567,3,1)*4+--MID(A567,4,1)*10+--MID(A567,5,1)*3+--MID(A567,6,1)*5+--MID(A567,7,1)*9+--MID(A567,8,1)*4+--MID(A567,9,1)*6+--MID(A567,10,1)*8, ""))</f>
        <v/>
      </c>
      <c r="I567">
        <f>IF(LEN(TRIM(A567))=12, --MID(A567,1,1)*3+--MID(A567,2,1)*7+--MID(A567,3,1)*2+--MID(A567,4,1)*4+--MID(A567,5,1)*10+--MID(A567,6,1)*3+--MID(A567,7,1)*5+--MID(A567,8,1)*9+--MID(A567,9,1)*4+--MID(A567,10,1)*6+--MID(A567,11,1)*8, "")</f>
        <v/>
      </c>
    </row>
    <row r="568">
      <c r="A568">
        <f>SUBSTITUTE(SUBSTITUTE(SUBSTITUTE(SUBSTITUTE(TRIM(INDEX(Реестр!$B:$B,ROW())),CHAR(160),""),CHAR(9),""),CHAR(10),""),CHAR(13),"")</f>
        <v/>
      </c>
      <c r="B568">
        <f>SUBSTITUTE(SUBSTITUTE(SUBSTITUTE(SUBSTITUTE(SUBSTITUTE(SUBSTITUTE(SUBSTITUTE(TRIM(INDEX(Реестр!$D:$D, ROW())), "-", ""), " ", ""), CHAR(160), ""), CHAR(9), ""), CHAR(10), ""), CHAR(13), ""), CHAR(32), "")</f>
        <v/>
      </c>
      <c r="C568">
        <f>INDEX(Реестр!$H:$H, ROW())</f>
        <v/>
      </c>
      <c r="D568">
        <f>IF(OR(ISBLANK(INDEX(Реестр!$B:$B, ROW())), INDEX(Реестр!$B:$B, ROW())=""), " ", IF(IFERROR(ISNUMBER(--A568),FALSE), IF(LEN(A568)=10, IF(MOD(MOD(H568,11),10)=--RIGHT(A568,1), "OK", "ОШИБКА"), IF(LEN(A568)=12, IF(AND(MOD(MOD(H568,11),10)=--MID(A568,11,1), MOD(MOD(I568,11),10)=--RIGHT(A568,1)), "OK", "ОШИБКА"), "ДЛИНА (10 или 12)")), "НЕ ЦИФРЫ"))</f>
        <v/>
      </c>
      <c r="E568">
        <f>MID(B568,1,1)*9+MID(B568,2,1)*8+MID(B568,3,1)*7+MID(B568,4,1)*6+MID(B568,5,1)*5+MID(B568,6,1)*4+MID(B568,7,1)*3+MID(B568,8,1)*2+MID(B568,9,1)</f>
        <v/>
      </c>
      <c r="F568">
        <f>IF(B568="", " ", IF(LEN(B568)&lt;&gt;11, "ДЛИНА", IF(NOT(ISNUMBER(--B568)), "НЕ ЦИФРЫ", IF(LEFT(B568,9)*1&lt;=1001998, "OK", IF(RIGHT(B568,2)*1=IF(MOD(E568,101)&gt;=100,0,MOD(E568,101)),"OK","ОШИБКА")))))</f>
        <v/>
      </c>
      <c r="G5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8">
        <f>IF(LEN(TRIM(A568))=10, --MID(A568,1,1)*2+--MID(A568,2,1)*4+--MID(A568,3,1)*10+--MID(A568,4,1)*3+--MID(A568,5,1)*5+--MID(A568,6,1)*9+--MID(A568,7,1)*4+--MID(A568,8,1)*6+--MID(A568,9,1)*8, IF(LEN(TRIM(A568))=12, --MID(A568,1,1)*7+--MID(A568,2,1)*2+--MID(A568,3,1)*4+--MID(A568,4,1)*10+--MID(A568,5,1)*3+--MID(A568,6,1)*5+--MID(A568,7,1)*9+--MID(A568,8,1)*4+--MID(A568,9,1)*6+--MID(A568,10,1)*8, ""))</f>
        <v/>
      </c>
      <c r="I568">
        <f>IF(LEN(TRIM(A568))=12, --MID(A568,1,1)*3+--MID(A568,2,1)*7+--MID(A568,3,1)*2+--MID(A568,4,1)*4+--MID(A568,5,1)*10+--MID(A568,6,1)*3+--MID(A568,7,1)*5+--MID(A568,8,1)*9+--MID(A568,9,1)*4+--MID(A568,10,1)*6+--MID(A568,11,1)*8, "")</f>
        <v/>
      </c>
    </row>
    <row r="569">
      <c r="A569">
        <f>SUBSTITUTE(SUBSTITUTE(SUBSTITUTE(SUBSTITUTE(TRIM(INDEX(Реестр!$B:$B,ROW())),CHAR(160),""),CHAR(9),""),CHAR(10),""),CHAR(13),"")</f>
        <v/>
      </c>
      <c r="B569">
        <f>SUBSTITUTE(SUBSTITUTE(SUBSTITUTE(SUBSTITUTE(SUBSTITUTE(SUBSTITUTE(SUBSTITUTE(TRIM(INDEX(Реестр!$D:$D, ROW())), "-", ""), " ", ""), CHAR(160), ""), CHAR(9), ""), CHAR(10), ""), CHAR(13), ""), CHAR(32), "")</f>
        <v/>
      </c>
      <c r="C569">
        <f>INDEX(Реестр!$H:$H, ROW())</f>
        <v/>
      </c>
      <c r="D569">
        <f>IF(OR(ISBLANK(INDEX(Реестр!$B:$B, ROW())), INDEX(Реестр!$B:$B, ROW())=""), " ", IF(IFERROR(ISNUMBER(--A569),FALSE), IF(LEN(A569)=10, IF(MOD(MOD(H569,11),10)=--RIGHT(A569,1), "OK", "ОШИБКА"), IF(LEN(A569)=12, IF(AND(MOD(MOD(H569,11),10)=--MID(A569,11,1), MOD(MOD(I569,11),10)=--RIGHT(A569,1)), "OK", "ОШИБКА"), "ДЛИНА (10 или 12)")), "НЕ ЦИФРЫ"))</f>
        <v/>
      </c>
      <c r="E569">
        <f>MID(B569,1,1)*9+MID(B569,2,1)*8+MID(B569,3,1)*7+MID(B569,4,1)*6+MID(B569,5,1)*5+MID(B569,6,1)*4+MID(B569,7,1)*3+MID(B569,8,1)*2+MID(B569,9,1)</f>
        <v/>
      </c>
      <c r="F569">
        <f>IF(B569="", " ", IF(LEN(B569)&lt;&gt;11, "ДЛИНА", IF(NOT(ISNUMBER(--B569)), "НЕ ЦИФРЫ", IF(LEFT(B569,9)*1&lt;=1001998, "OK", IF(RIGHT(B569,2)*1=IF(MOD(E569,101)&gt;=100,0,MOD(E569,101)),"OK","ОШИБКА")))))</f>
        <v/>
      </c>
      <c r="G5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69">
        <f>IF(LEN(TRIM(A569))=10, --MID(A569,1,1)*2+--MID(A569,2,1)*4+--MID(A569,3,1)*10+--MID(A569,4,1)*3+--MID(A569,5,1)*5+--MID(A569,6,1)*9+--MID(A569,7,1)*4+--MID(A569,8,1)*6+--MID(A569,9,1)*8, IF(LEN(TRIM(A569))=12, --MID(A569,1,1)*7+--MID(A569,2,1)*2+--MID(A569,3,1)*4+--MID(A569,4,1)*10+--MID(A569,5,1)*3+--MID(A569,6,1)*5+--MID(A569,7,1)*9+--MID(A569,8,1)*4+--MID(A569,9,1)*6+--MID(A569,10,1)*8, ""))</f>
        <v/>
      </c>
      <c r="I569">
        <f>IF(LEN(TRIM(A569))=12, --MID(A569,1,1)*3+--MID(A569,2,1)*7+--MID(A569,3,1)*2+--MID(A569,4,1)*4+--MID(A569,5,1)*10+--MID(A569,6,1)*3+--MID(A569,7,1)*5+--MID(A569,8,1)*9+--MID(A569,9,1)*4+--MID(A569,10,1)*6+--MID(A569,11,1)*8, "")</f>
        <v/>
      </c>
    </row>
    <row r="570">
      <c r="A570">
        <f>SUBSTITUTE(SUBSTITUTE(SUBSTITUTE(SUBSTITUTE(TRIM(INDEX(Реестр!$B:$B,ROW())),CHAR(160),""),CHAR(9),""),CHAR(10),""),CHAR(13),"")</f>
        <v/>
      </c>
      <c r="B570">
        <f>SUBSTITUTE(SUBSTITUTE(SUBSTITUTE(SUBSTITUTE(SUBSTITUTE(SUBSTITUTE(SUBSTITUTE(TRIM(INDEX(Реестр!$D:$D, ROW())), "-", ""), " ", ""), CHAR(160), ""), CHAR(9), ""), CHAR(10), ""), CHAR(13), ""), CHAR(32), "")</f>
        <v/>
      </c>
      <c r="C570">
        <f>INDEX(Реестр!$H:$H, ROW())</f>
        <v/>
      </c>
      <c r="D570">
        <f>IF(OR(ISBLANK(INDEX(Реестр!$B:$B, ROW())), INDEX(Реестр!$B:$B, ROW())=""), " ", IF(IFERROR(ISNUMBER(--A570),FALSE), IF(LEN(A570)=10, IF(MOD(MOD(H570,11),10)=--RIGHT(A570,1), "OK", "ОШИБКА"), IF(LEN(A570)=12, IF(AND(MOD(MOD(H570,11),10)=--MID(A570,11,1), MOD(MOD(I570,11),10)=--RIGHT(A570,1)), "OK", "ОШИБКА"), "ДЛИНА (10 или 12)")), "НЕ ЦИФРЫ"))</f>
        <v/>
      </c>
      <c r="E570">
        <f>MID(B570,1,1)*9+MID(B570,2,1)*8+MID(B570,3,1)*7+MID(B570,4,1)*6+MID(B570,5,1)*5+MID(B570,6,1)*4+MID(B570,7,1)*3+MID(B570,8,1)*2+MID(B570,9,1)</f>
        <v/>
      </c>
      <c r="F570">
        <f>IF(B570="", " ", IF(LEN(B570)&lt;&gt;11, "ДЛИНА", IF(NOT(ISNUMBER(--B570)), "НЕ ЦИФРЫ", IF(LEFT(B570,9)*1&lt;=1001998, "OK", IF(RIGHT(B570,2)*1=IF(MOD(E570,101)&gt;=100,0,MOD(E570,101)),"OK","ОШИБКА")))))</f>
        <v/>
      </c>
      <c r="G5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0">
        <f>IF(LEN(TRIM(A570))=10, --MID(A570,1,1)*2+--MID(A570,2,1)*4+--MID(A570,3,1)*10+--MID(A570,4,1)*3+--MID(A570,5,1)*5+--MID(A570,6,1)*9+--MID(A570,7,1)*4+--MID(A570,8,1)*6+--MID(A570,9,1)*8, IF(LEN(TRIM(A570))=12, --MID(A570,1,1)*7+--MID(A570,2,1)*2+--MID(A570,3,1)*4+--MID(A570,4,1)*10+--MID(A570,5,1)*3+--MID(A570,6,1)*5+--MID(A570,7,1)*9+--MID(A570,8,1)*4+--MID(A570,9,1)*6+--MID(A570,10,1)*8, ""))</f>
        <v/>
      </c>
      <c r="I570">
        <f>IF(LEN(TRIM(A570))=12, --MID(A570,1,1)*3+--MID(A570,2,1)*7+--MID(A570,3,1)*2+--MID(A570,4,1)*4+--MID(A570,5,1)*10+--MID(A570,6,1)*3+--MID(A570,7,1)*5+--MID(A570,8,1)*9+--MID(A570,9,1)*4+--MID(A570,10,1)*6+--MID(A570,11,1)*8, "")</f>
        <v/>
      </c>
    </row>
    <row r="571">
      <c r="A571">
        <f>SUBSTITUTE(SUBSTITUTE(SUBSTITUTE(SUBSTITUTE(TRIM(INDEX(Реестр!$B:$B,ROW())),CHAR(160),""),CHAR(9),""),CHAR(10),""),CHAR(13),"")</f>
        <v/>
      </c>
      <c r="B571">
        <f>SUBSTITUTE(SUBSTITUTE(SUBSTITUTE(SUBSTITUTE(SUBSTITUTE(SUBSTITUTE(SUBSTITUTE(TRIM(INDEX(Реестр!$D:$D, ROW())), "-", ""), " ", ""), CHAR(160), ""), CHAR(9), ""), CHAR(10), ""), CHAR(13), ""), CHAR(32), "")</f>
        <v/>
      </c>
      <c r="C571">
        <f>INDEX(Реестр!$H:$H, ROW())</f>
        <v/>
      </c>
      <c r="D571">
        <f>IF(OR(ISBLANK(INDEX(Реестр!$B:$B, ROW())), INDEX(Реестр!$B:$B, ROW())=""), " ", IF(IFERROR(ISNUMBER(--A571),FALSE), IF(LEN(A571)=10, IF(MOD(MOD(H571,11),10)=--RIGHT(A571,1), "OK", "ОШИБКА"), IF(LEN(A571)=12, IF(AND(MOD(MOD(H571,11),10)=--MID(A571,11,1), MOD(MOD(I571,11),10)=--RIGHT(A571,1)), "OK", "ОШИБКА"), "ДЛИНА (10 или 12)")), "НЕ ЦИФРЫ"))</f>
        <v/>
      </c>
      <c r="E571">
        <f>MID(B571,1,1)*9+MID(B571,2,1)*8+MID(B571,3,1)*7+MID(B571,4,1)*6+MID(B571,5,1)*5+MID(B571,6,1)*4+MID(B571,7,1)*3+MID(B571,8,1)*2+MID(B571,9,1)</f>
        <v/>
      </c>
      <c r="F571">
        <f>IF(B571="", " ", IF(LEN(B571)&lt;&gt;11, "ДЛИНА", IF(NOT(ISNUMBER(--B571)), "НЕ ЦИФРЫ", IF(LEFT(B571,9)*1&lt;=1001998, "OK", IF(RIGHT(B571,2)*1=IF(MOD(E571,101)&gt;=100,0,MOD(E571,101)),"OK","ОШИБКА")))))</f>
        <v/>
      </c>
      <c r="G5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1">
        <f>IF(LEN(TRIM(A571))=10, --MID(A571,1,1)*2+--MID(A571,2,1)*4+--MID(A571,3,1)*10+--MID(A571,4,1)*3+--MID(A571,5,1)*5+--MID(A571,6,1)*9+--MID(A571,7,1)*4+--MID(A571,8,1)*6+--MID(A571,9,1)*8, IF(LEN(TRIM(A571))=12, --MID(A571,1,1)*7+--MID(A571,2,1)*2+--MID(A571,3,1)*4+--MID(A571,4,1)*10+--MID(A571,5,1)*3+--MID(A571,6,1)*5+--MID(A571,7,1)*9+--MID(A571,8,1)*4+--MID(A571,9,1)*6+--MID(A571,10,1)*8, ""))</f>
        <v/>
      </c>
      <c r="I571">
        <f>IF(LEN(TRIM(A571))=12, --MID(A571,1,1)*3+--MID(A571,2,1)*7+--MID(A571,3,1)*2+--MID(A571,4,1)*4+--MID(A571,5,1)*10+--MID(A571,6,1)*3+--MID(A571,7,1)*5+--MID(A571,8,1)*9+--MID(A571,9,1)*4+--MID(A571,10,1)*6+--MID(A571,11,1)*8, "")</f>
        <v/>
      </c>
    </row>
    <row r="572">
      <c r="A572">
        <f>SUBSTITUTE(SUBSTITUTE(SUBSTITUTE(SUBSTITUTE(TRIM(INDEX(Реестр!$B:$B,ROW())),CHAR(160),""),CHAR(9),""),CHAR(10),""),CHAR(13),"")</f>
        <v/>
      </c>
      <c r="B572">
        <f>SUBSTITUTE(SUBSTITUTE(SUBSTITUTE(SUBSTITUTE(SUBSTITUTE(SUBSTITUTE(SUBSTITUTE(TRIM(INDEX(Реестр!$D:$D, ROW())), "-", ""), " ", ""), CHAR(160), ""), CHAR(9), ""), CHAR(10), ""), CHAR(13), ""), CHAR(32), "")</f>
        <v/>
      </c>
      <c r="C572">
        <f>INDEX(Реестр!$H:$H, ROW())</f>
        <v/>
      </c>
      <c r="D572">
        <f>IF(OR(ISBLANK(INDEX(Реестр!$B:$B, ROW())), INDEX(Реестр!$B:$B, ROW())=""), " ", IF(IFERROR(ISNUMBER(--A572),FALSE), IF(LEN(A572)=10, IF(MOD(MOD(H572,11),10)=--RIGHT(A572,1), "OK", "ОШИБКА"), IF(LEN(A572)=12, IF(AND(MOD(MOD(H572,11),10)=--MID(A572,11,1), MOD(MOD(I572,11),10)=--RIGHT(A572,1)), "OK", "ОШИБКА"), "ДЛИНА (10 или 12)")), "НЕ ЦИФРЫ"))</f>
        <v/>
      </c>
      <c r="E572">
        <f>MID(B572,1,1)*9+MID(B572,2,1)*8+MID(B572,3,1)*7+MID(B572,4,1)*6+MID(B572,5,1)*5+MID(B572,6,1)*4+MID(B572,7,1)*3+MID(B572,8,1)*2+MID(B572,9,1)</f>
        <v/>
      </c>
      <c r="F572">
        <f>IF(B572="", " ", IF(LEN(B572)&lt;&gt;11, "ДЛИНА", IF(NOT(ISNUMBER(--B572)), "НЕ ЦИФРЫ", IF(LEFT(B572,9)*1&lt;=1001998, "OK", IF(RIGHT(B572,2)*1=IF(MOD(E572,101)&gt;=100,0,MOD(E572,101)),"OK","ОШИБКА")))))</f>
        <v/>
      </c>
      <c r="G5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2">
        <f>IF(LEN(TRIM(A572))=10, --MID(A572,1,1)*2+--MID(A572,2,1)*4+--MID(A572,3,1)*10+--MID(A572,4,1)*3+--MID(A572,5,1)*5+--MID(A572,6,1)*9+--MID(A572,7,1)*4+--MID(A572,8,1)*6+--MID(A572,9,1)*8, IF(LEN(TRIM(A572))=12, --MID(A572,1,1)*7+--MID(A572,2,1)*2+--MID(A572,3,1)*4+--MID(A572,4,1)*10+--MID(A572,5,1)*3+--MID(A572,6,1)*5+--MID(A572,7,1)*9+--MID(A572,8,1)*4+--MID(A572,9,1)*6+--MID(A572,10,1)*8, ""))</f>
        <v/>
      </c>
      <c r="I572">
        <f>IF(LEN(TRIM(A572))=12, --MID(A572,1,1)*3+--MID(A572,2,1)*7+--MID(A572,3,1)*2+--MID(A572,4,1)*4+--MID(A572,5,1)*10+--MID(A572,6,1)*3+--MID(A572,7,1)*5+--MID(A572,8,1)*9+--MID(A572,9,1)*4+--MID(A572,10,1)*6+--MID(A572,11,1)*8, "")</f>
        <v/>
      </c>
    </row>
    <row r="573">
      <c r="A573">
        <f>SUBSTITUTE(SUBSTITUTE(SUBSTITUTE(SUBSTITUTE(TRIM(INDEX(Реестр!$B:$B,ROW())),CHAR(160),""),CHAR(9),""),CHAR(10),""),CHAR(13),"")</f>
        <v/>
      </c>
      <c r="B573">
        <f>SUBSTITUTE(SUBSTITUTE(SUBSTITUTE(SUBSTITUTE(SUBSTITUTE(SUBSTITUTE(SUBSTITUTE(TRIM(INDEX(Реестр!$D:$D, ROW())), "-", ""), " ", ""), CHAR(160), ""), CHAR(9), ""), CHAR(10), ""), CHAR(13), ""), CHAR(32), "")</f>
        <v/>
      </c>
      <c r="C573">
        <f>INDEX(Реестр!$H:$H, ROW())</f>
        <v/>
      </c>
      <c r="D573">
        <f>IF(OR(ISBLANK(INDEX(Реестр!$B:$B, ROW())), INDEX(Реестр!$B:$B, ROW())=""), " ", IF(IFERROR(ISNUMBER(--A573),FALSE), IF(LEN(A573)=10, IF(MOD(MOD(H573,11),10)=--RIGHT(A573,1), "OK", "ОШИБКА"), IF(LEN(A573)=12, IF(AND(MOD(MOD(H573,11),10)=--MID(A573,11,1), MOD(MOD(I573,11),10)=--RIGHT(A573,1)), "OK", "ОШИБКА"), "ДЛИНА (10 или 12)")), "НЕ ЦИФРЫ"))</f>
        <v/>
      </c>
      <c r="E573">
        <f>MID(B573,1,1)*9+MID(B573,2,1)*8+MID(B573,3,1)*7+MID(B573,4,1)*6+MID(B573,5,1)*5+MID(B573,6,1)*4+MID(B573,7,1)*3+MID(B573,8,1)*2+MID(B573,9,1)</f>
        <v/>
      </c>
      <c r="F573">
        <f>IF(B573="", " ", IF(LEN(B573)&lt;&gt;11, "ДЛИНА", IF(NOT(ISNUMBER(--B573)), "НЕ ЦИФРЫ", IF(LEFT(B573,9)*1&lt;=1001998, "OK", IF(RIGHT(B573,2)*1=IF(MOD(E573,101)&gt;=100,0,MOD(E573,101)),"OK","ОШИБКА")))))</f>
        <v/>
      </c>
      <c r="G5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3">
        <f>IF(LEN(TRIM(A573))=10, --MID(A573,1,1)*2+--MID(A573,2,1)*4+--MID(A573,3,1)*10+--MID(A573,4,1)*3+--MID(A573,5,1)*5+--MID(A573,6,1)*9+--MID(A573,7,1)*4+--MID(A573,8,1)*6+--MID(A573,9,1)*8, IF(LEN(TRIM(A573))=12, --MID(A573,1,1)*7+--MID(A573,2,1)*2+--MID(A573,3,1)*4+--MID(A573,4,1)*10+--MID(A573,5,1)*3+--MID(A573,6,1)*5+--MID(A573,7,1)*9+--MID(A573,8,1)*4+--MID(A573,9,1)*6+--MID(A573,10,1)*8, ""))</f>
        <v/>
      </c>
      <c r="I573">
        <f>IF(LEN(TRIM(A573))=12, --MID(A573,1,1)*3+--MID(A573,2,1)*7+--MID(A573,3,1)*2+--MID(A573,4,1)*4+--MID(A573,5,1)*10+--MID(A573,6,1)*3+--MID(A573,7,1)*5+--MID(A573,8,1)*9+--MID(A573,9,1)*4+--MID(A573,10,1)*6+--MID(A573,11,1)*8, "")</f>
        <v/>
      </c>
    </row>
    <row r="574">
      <c r="A574">
        <f>SUBSTITUTE(SUBSTITUTE(SUBSTITUTE(SUBSTITUTE(TRIM(INDEX(Реестр!$B:$B,ROW())),CHAR(160),""),CHAR(9),""),CHAR(10),""),CHAR(13),"")</f>
        <v/>
      </c>
      <c r="B574">
        <f>SUBSTITUTE(SUBSTITUTE(SUBSTITUTE(SUBSTITUTE(SUBSTITUTE(SUBSTITUTE(SUBSTITUTE(TRIM(INDEX(Реестр!$D:$D, ROW())), "-", ""), " ", ""), CHAR(160), ""), CHAR(9), ""), CHAR(10), ""), CHAR(13), ""), CHAR(32), "")</f>
        <v/>
      </c>
      <c r="C574">
        <f>INDEX(Реестр!$H:$H, ROW())</f>
        <v/>
      </c>
      <c r="D574">
        <f>IF(OR(ISBLANK(INDEX(Реестр!$B:$B, ROW())), INDEX(Реестр!$B:$B, ROW())=""), " ", IF(IFERROR(ISNUMBER(--A574),FALSE), IF(LEN(A574)=10, IF(MOD(MOD(H574,11),10)=--RIGHT(A574,1), "OK", "ОШИБКА"), IF(LEN(A574)=12, IF(AND(MOD(MOD(H574,11),10)=--MID(A574,11,1), MOD(MOD(I574,11),10)=--RIGHT(A574,1)), "OK", "ОШИБКА"), "ДЛИНА (10 или 12)")), "НЕ ЦИФРЫ"))</f>
        <v/>
      </c>
      <c r="E574">
        <f>MID(B574,1,1)*9+MID(B574,2,1)*8+MID(B574,3,1)*7+MID(B574,4,1)*6+MID(B574,5,1)*5+MID(B574,6,1)*4+MID(B574,7,1)*3+MID(B574,8,1)*2+MID(B574,9,1)</f>
        <v/>
      </c>
      <c r="F574">
        <f>IF(B574="", " ", IF(LEN(B574)&lt;&gt;11, "ДЛИНА", IF(NOT(ISNUMBER(--B574)), "НЕ ЦИФРЫ", IF(LEFT(B574,9)*1&lt;=1001998, "OK", IF(RIGHT(B574,2)*1=IF(MOD(E574,101)&gt;=100,0,MOD(E574,101)),"OK","ОШИБКА")))))</f>
        <v/>
      </c>
      <c r="G5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4">
        <f>IF(LEN(TRIM(A574))=10, --MID(A574,1,1)*2+--MID(A574,2,1)*4+--MID(A574,3,1)*10+--MID(A574,4,1)*3+--MID(A574,5,1)*5+--MID(A574,6,1)*9+--MID(A574,7,1)*4+--MID(A574,8,1)*6+--MID(A574,9,1)*8, IF(LEN(TRIM(A574))=12, --MID(A574,1,1)*7+--MID(A574,2,1)*2+--MID(A574,3,1)*4+--MID(A574,4,1)*10+--MID(A574,5,1)*3+--MID(A574,6,1)*5+--MID(A574,7,1)*9+--MID(A574,8,1)*4+--MID(A574,9,1)*6+--MID(A574,10,1)*8, ""))</f>
        <v/>
      </c>
      <c r="I574">
        <f>IF(LEN(TRIM(A574))=12, --MID(A574,1,1)*3+--MID(A574,2,1)*7+--MID(A574,3,1)*2+--MID(A574,4,1)*4+--MID(A574,5,1)*10+--MID(A574,6,1)*3+--MID(A574,7,1)*5+--MID(A574,8,1)*9+--MID(A574,9,1)*4+--MID(A574,10,1)*6+--MID(A574,11,1)*8, "")</f>
        <v/>
      </c>
    </row>
    <row r="575">
      <c r="A575">
        <f>SUBSTITUTE(SUBSTITUTE(SUBSTITUTE(SUBSTITUTE(TRIM(INDEX(Реестр!$B:$B,ROW())),CHAR(160),""),CHAR(9),""),CHAR(10),""),CHAR(13),"")</f>
        <v/>
      </c>
      <c r="B575">
        <f>SUBSTITUTE(SUBSTITUTE(SUBSTITUTE(SUBSTITUTE(SUBSTITUTE(SUBSTITUTE(SUBSTITUTE(TRIM(INDEX(Реестр!$D:$D, ROW())), "-", ""), " ", ""), CHAR(160), ""), CHAR(9), ""), CHAR(10), ""), CHAR(13), ""), CHAR(32), "")</f>
        <v/>
      </c>
      <c r="C575">
        <f>INDEX(Реестр!$H:$H, ROW())</f>
        <v/>
      </c>
      <c r="D575">
        <f>IF(OR(ISBLANK(INDEX(Реестр!$B:$B, ROW())), INDEX(Реестр!$B:$B, ROW())=""), " ", IF(IFERROR(ISNUMBER(--A575),FALSE), IF(LEN(A575)=10, IF(MOD(MOD(H575,11),10)=--RIGHT(A575,1), "OK", "ОШИБКА"), IF(LEN(A575)=12, IF(AND(MOD(MOD(H575,11),10)=--MID(A575,11,1), MOD(MOD(I575,11),10)=--RIGHT(A575,1)), "OK", "ОШИБКА"), "ДЛИНА (10 или 12)")), "НЕ ЦИФРЫ"))</f>
        <v/>
      </c>
      <c r="E575">
        <f>MID(B575,1,1)*9+MID(B575,2,1)*8+MID(B575,3,1)*7+MID(B575,4,1)*6+MID(B575,5,1)*5+MID(B575,6,1)*4+MID(B575,7,1)*3+MID(B575,8,1)*2+MID(B575,9,1)</f>
        <v/>
      </c>
      <c r="F575">
        <f>IF(B575="", " ", IF(LEN(B575)&lt;&gt;11, "ДЛИНА", IF(NOT(ISNUMBER(--B575)), "НЕ ЦИФРЫ", IF(LEFT(B575,9)*1&lt;=1001998, "OK", IF(RIGHT(B575,2)*1=IF(MOD(E575,101)&gt;=100,0,MOD(E575,101)),"OK","ОШИБКА")))))</f>
        <v/>
      </c>
      <c r="G5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5">
        <f>IF(LEN(TRIM(A575))=10, --MID(A575,1,1)*2+--MID(A575,2,1)*4+--MID(A575,3,1)*10+--MID(A575,4,1)*3+--MID(A575,5,1)*5+--MID(A575,6,1)*9+--MID(A575,7,1)*4+--MID(A575,8,1)*6+--MID(A575,9,1)*8, IF(LEN(TRIM(A575))=12, --MID(A575,1,1)*7+--MID(A575,2,1)*2+--MID(A575,3,1)*4+--MID(A575,4,1)*10+--MID(A575,5,1)*3+--MID(A575,6,1)*5+--MID(A575,7,1)*9+--MID(A575,8,1)*4+--MID(A575,9,1)*6+--MID(A575,10,1)*8, ""))</f>
        <v/>
      </c>
      <c r="I575">
        <f>IF(LEN(TRIM(A575))=12, --MID(A575,1,1)*3+--MID(A575,2,1)*7+--MID(A575,3,1)*2+--MID(A575,4,1)*4+--MID(A575,5,1)*10+--MID(A575,6,1)*3+--MID(A575,7,1)*5+--MID(A575,8,1)*9+--MID(A575,9,1)*4+--MID(A575,10,1)*6+--MID(A575,11,1)*8, "")</f>
        <v/>
      </c>
    </row>
    <row r="576">
      <c r="A576">
        <f>SUBSTITUTE(SUBSTITUTE(SUBSTITUTE(SUBSTITUTE(TRIM(INDEX(Реестр!$B:$B,ROW())),CHAR(160),""),CHAR(9),""),CHAR(10),""),CHAR(13),"")</f>
        <v/>
      </c>
      <c r="B576">
        <f>SUBSTITUTE(SUBSTITUTE(SUBSTITUTE(SUBSTITUTE(SUBSTITUTE(SUBSTITUTE(SUBSTITUTE(TRIM(INDEX(Реестр!$D:$D, ROW())), "-", ""), " ", ""), CHAR(160), ""), CHAR(9), ""), CHAR(10), ""), CHAR(13), ""), CHAR(32), "")</f>
        <v/>
      </c>
      <c r="C576">
        <f>INDEX(Реестр!$H:$H, ROW())</f>
        <v/>
      </c>
      <c r="D576">
        <f>IF(OR(ISBLANK(INDEX(Реестр!$B:$B, ROW())), INDEX(Реестр!$B:$B, ROW())=""), " ", IF(IFERROR(ISNUMBER(--A576),FALSE), IF(LEN(A576)=10, IF(MOD(MOD(H576,11),10)=--RIGHT(A576,1), "OK", "ОШИБКА"), IF(LEN(A576)=12, IF(AND(MOD(MOD(H576,11),10)=--MID(A576,11,1), MOD(MOD(I576,11),10)=--RIGHT(A576,1)), "OK", "ОШИБКА"), "ДЛИНА (10 или 12)")), "НЕ ЦИФРЫ"))</f>
        <v/>
      </c>
      <c r="E576">
        <f>MID(B576,1,1)*9+MID(B576,2,1)*8+MID(B576,3,1)*7+MID(B576,4,1)*6+MID(B576,5,1)*5+MID(B576,6,1)*4+MID(B576,7,1)*3+MID(B576,8,1)*2+MID(B576,9,1)</f>
        <v/>
      </c>
      <c r="F576">
        <f>IF(B576="", " ", IF(LEN(B576)&lt;&gt;11, "ДЛИНА", IF(NOT(ISNUMBER(--B576)), "НЕ ЦИФРЫ", IF(LEFT(B576,9)*1&lt;=1001998, "OK", IF(RIGHT(B576,2)*1=IF(MOD(E576,101)&gt;=100,0,MOD(E576,101)),"OK","ОШИБКА")))))</f>
        <v/>
      </c>
      <c r="G5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6">
        <f>IF(LEN(TRIM(A576))=10, --MID(A576,1,1)*2+--MID(A576,2,1)*4+--MID(A576,3,1)*10+--MID(A576,4,1)*3+--MID(A576,5,1)*5+--MID(A576,6,1)*9+--MID(A576,7,1)*4+--MID(A576,8,1)*6+--MID(A576,9,1)*8, IF(LEN(TRIM(A576))=12, --MID(A576,1,1)*7+--MID(A576,2,1)*2+--MID(A576,3,1)*4+--MID(A576,4,1)*10+--MID(A576,5,1)*3+--MID(A576,6,1)*5+--MID(A576,7,1)*9+--MID(A576,8,1)*4+--MID(A576,9,1)*6+--MID(A576,10,1)*8, ""))</f>
        <v/>
      </c>
      <c r="I576">
        <f>IF(LEN(TRIM(A576))=12, --MID(A576,1,1)*3+--MID(A576,2,1)*7+--MID(A576,3,1)*2+--MID(A576,4,1)*4+--MID(A576,5,1)*10+--MID(A576,6,1)*3+--MID(A576,7,1)*5+--MID(A576,8,1)*9+--MID(A576,9,1)*4+--MID(A576,10,1)*6+--MID(A576,11,1)*8, "")</f>
        <v/>
      </c>
    </row>
    <row r="577">
      <c r="A577">
        <f>SUBSTITUTE(SUBSTITUTE(SUBSTITUTE(SUBSTITUTE(TRIM(INDEX(Реестр!$B:$B,ROW())),CHAR(160),""),CHAR(9),""),CHAR(10),""),CHAR(13),"")</f>
        <v/>
      </c>
      <c r="B577">
        <f>SUBSTITUTE(SUBSTITUTE(SUBSTITUTE(SUBSTITUTE(SUBSTITUTE(SUBSTITUTE(SUBSTITUTE(TRIM(INDEX(Реестр!$D:$D, ROW())), "-", ""), " ", ""), CHAR(160), ""), CHAR(9), ""), CHAR(10), ""), CHAR(13), ""), CHAR(32), "")</f>
        <v/>
      </c>
      <c r="C577">
        <f>INDEX(Реестр!$H:$H, ROW())</f>
        <v/>
      </c>
      <c r="D577">
        <f>IF(OR(ISBLANK(INDEX(Реестр!$B:$B, ROW())), INDEX(Реестр!$B:$B, ROW())=""), " ", IF(IFERROR(ISNUMBER(--A577),FALSE), IF(LEN(A577)=10, IF(MOD(MOD(H577,11),10)=--RIGHT(A577,1), "OK", "ОШИБКА"), IF(LEN(A577)=12, IF(AND(MOD(MOD(H577,11),10)=--MID(A577,11,1), MOD(MOD(I577,11),10)=--RIGHT(A577,1)), "OK", "ОШИБКА"), "ДЛИНА (10 или 12)")), "НЕ ЦИФРЫ"))</f>
        <v/>
      </c>
      <c r="E577">
        <f>MID(B577,1,1)*9+MID(B577,2,1)*8+MID(B577,3,1)*7+MID(B577,4,1)*6+MID(B577,5,1)*5+MID(B577,6,1)*4+MID(B577,7,1)*3+MID(B577,8,1)*2+MID(B577,9,1)</f>
        <v/>
      </c>
      <c r="F577">
        <f>IF(B577="", " ", IF(LEN(B577)&lt;&gt;11, "ДЛИНА", IF(NOT(ISNUMBER(--B577)), "НЕ ЦИФРЫ", IF(LEFT(B577,9)*1&lt;=1001998, "OK", IF(RIGHT(B577,2)*1=IF(MOD(E577,101)&gt;=100,0,MOD(E577,101)),"OK","ОШИБКА")))))</f>
        <v/>
      </c>
      <c r="G5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7">
        <f>IF(LEN(TRIM(A577))=10, --MID(A577,1,1)*2+--MID(A577,2,1)*4+--MID(A577,3,1)*10+--MID(A577,4,1)*3+--MID(A577,5,1)*5+--MID(A577,6,1)*9+--MID(A577,7,1)*4+--MID(A577,8,1)*6+--MID(A577,9,1)*8, IF(LEN(TRIM(A577))=12, --MID(A577,1,1)*7+--MID(A577,2,1)*2+--MID(A577,3,1)*4+--MID(A577,4,1)*10+--MID(A577,5,1)*3+--MID(A577,6,1)*5+--MID(A577,7,1)*9+--MID(A577,8,1)*4+--MID(A577,9,1)*6+--MID(A577,10,1)*8, ""))</f>
        <v/>
      </c>
      <c r="I577">
        <f>IF(LEN(TRIM(A577))=12, --MID(A577,1,1)*3+--MID(A577,2,1)*7+--MID(A577,3,1)*2+--MID(A577,4,1)*4+--MID(A577,5,1)*10+--MID(A577,6,1)*3+--MID(A577,7,1)*5+--MID(A577,8,1)*9+--MID(A577,9,1)*4+--MID(A577,10,1)*6+--MID(A577,11,1)*8, "")</f>
        <v/>
      </c>
    </row>
    <row r="578">
      <c r="A578">
        <f>SUBSTITUTE(SUBSTITUTE(SUBSTITUTE(SUBSTITUTE(TRIM(INDEX(Реестр!$B:$B,ROW())),CHAR(160),""),CHAR(9),""),CHAR(10),""),CHAR(13),"")</f>
        <v/>
      </c>
      <c r="B578">
        <f>SUBSTITUTE(SUBSTITUTE(SUBSTITUTE(SUBSTITUTE(SUBSTITUTE(SUBSTITUTE(SUBSTITUTE(TRIM(INDEX(Реестр!$D:$D, ROW())), "-", ""), " ", ""), CHAR(160), ""), CHAR(9), ""), CHAR(10), ""), CHAR(13), ""), CHAR(32), "")</f>
        <v/>
      </c>
      <c r="C578">
        <f>INDEX(Реестр!$H:$H, ROW())</f>
        <v/>
      </c>
      <c r="D578">
        <f>IF(OR(ISBLANK(INDEX(Реестр!$B:$B, ROW())), INDEX(Реестр!$B:$B, ROW())=""), " ", IF(IFERROR(ISNUMBER(--A578),FALSE), IF(LEN(A578)=10, IF(MOD(MOD(H578,11),10)=--RIGHT(A578,1), "OK", "ОШИБКА"), IF(LEN(A578)=12, IF(AND(MOD(MOD(H578,11),10)=--MID(A578,11,1), MOD(MOD(I578,11),10)=--RIGHT(A578,1)), "OK", "ОШИБКА"), "ДЛИНА (10 или 12)")), "НЕ ЦИФРЫ"))</f>
        <v/>
      </c>
      <c r="E578">
        <f>MID(B578,1,1)*9+MID(B578,2,1)*8+MID(B578,3,1)*7+MID(B578,4,1)*6+MID(B578,5,1)*5+MID(B578,6,1)*4+MID(B578,7,1)*3+MID(B578,8,1)*2+MID(B578,9,1)</f>
        <v/>
      </c>
      <c r="F578">
        <f>IF(B578="", " ", IF(LEN(B578)&lt;&gt;11, "ДЛИНА", IF(NOT(ISNUMBER(--B578)), "НЕ ЦИФРЫ", IF(LEFT(B578,9)*1&lt;=1001998, "OK", IF(RIGHT(B578,2)*1=IF(MOD(E578,101)&gt;=100,0,MOD(E578,101)),"OK","ОШИБКА")))))</f>
        <v/>
      </c>
      <c r="G5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8">
        <f>IF(LEN(TRIM(A578))=10, --MID(A578,1,1)*2+--MID(A578,2,1)*4+--MID(A578,3,1)*10+--MID(A578,4,1)*3+--MID(A578,5,1)*5+--MID(A578,6,1)*9+--MID(A578,7,1)*4+--MID(A578,8,1)*6+--MID(A578,9,1)*8, IF(LEN(TRIM(A578))=12, --MID(A578,1,1)*7+--MID(A578,2,1)*2+--MID(A578,3,1)*4+--MID(A578,4,1)*10+--MID(A578,5,1)*3+--MID(A578,6,1)*5+--MID(A578,7,1)*9+--MID(A578,8,1)*4+--MID(A578,9,1)*6+--MID(A578,10,1)*8, ""))</f>
        <v/>
      </c>
      <c r="I578">
        <f>IF(LEN(TRIM(A578))=12, --MID(A578,1,1)*3+--MID(A578,2,1)*7+--MID(A578,3,1)*2+--MID(A578,4,1)*4+--MID(A578,5,1)*10+--MID(A578,6,1)*3+--MID(A578,7,1)*5+--MID(A578,8,1)*9+--MID(A578,9,1)*4+--MID(A578,10,1)*6+--MID(A578,11,1)*8, "")</f>
        <v/>
      </c>
    </row>
    <row r="579">
      <c r="A579">
        <f>SUBSTITUTE(SUBSTITUTE(SUBSTITUTE(SUBSTITUTE(TRIM(INDEX(Реестр!$B:$B,ROW())),CHAR(160),""),CHAR(9),""),CHAR(10),""),CHAR(13),"")</f>
        <v/>
      </c>
      <c r="B579">
        <f>SUBSTITUTE(SUBSTITUTE(SUBSTITUTE(SUBSTITUTE(SUBSTITUTE(SUBSTITUTE(SUBSTITUTE(TRIM(INDEX(Реестр!$D:$D, ROW())), "-", ""), " ", ""), CHAR(160), ""), CHAR(9), ""), CHAR(10), ""), CHAR(13), ""), CHAR(32), "")</f>
        <v/>
      </c>
      <c r="C579">
        <f>INDEX(Реестр!$H:$H, ROW())</f>
        <v/>
      </c>
      <c r="D579">
        <f>IF(OR(ISBLANK(INDEX(Реестр!$B:$B, ROW())), INDEX(Реестр!$B:$B, ROW())=""), " ", IF(IFERROR(ISNUMBER(--A579),FALSE), IF(LEN(A579)=10, IF(MOD(MOD(H579,11),10)=--RIGHT(A579,1), "OK", "ОШИБКА"), IF(LEN(A579)=12, IF(AND(MOD(MOD(H579,11),10)=--MID(A579,11,1), MOD(MOD(I579,11),10)=--RIGHT(A579,1)), "OK", "ОШИБКА"), "ДЛИНА (10 или 12)")), "НЕ ЦИФРЫ"))</f>
        <v/>
      </c>
      <c r="E579">
        <f>MID(B579,1,1)*9+MID(B579,2,1)*8+MID(B579,3,1)*7+MID(B579,4,1)*6+MID(B579,5,1)*5+MID(B579,6,1)*4+MID(B579,7,1)*3+MID(B579,8,1)*2+MID(B579,9,1)</f>
        <v/>
      </c>
      <c r="F579">
        <f>IF(B579="", " ", IF(LEN(B579)&lt;&gt;11, "ДЛИНА", IF(NOT(ISNUMBER(--B579)), "НЕ ЦИФРЫ", IF(LEFT(B579,9)*1&lt;=1001998, "OK", IF(RIGHT(B579,2)*1=IF(MOD(E579,101)&gt;=100,0,MOD(E579,101)),"OK","ОШИБКА")))))</f>
        <v/>
      </c>
      <c r="G5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79">
        <f>IF(LEN(TRIM(A579))=10, --MID(A579,1,1)*2+--MID(A579,2,1)*4+--MID(A579,3,1)*10+--MID(A579,4,1)*3+--MID(A579,5,1)*5+--MID(A579,6,1)*9+--MID(A579,7,1)*4+--MID(A579,8,1)*6+--MID(A579,9,1)*8, IF(LEN(TRIM(A579))=12, --MID(A579,1,1)*7+--MID(A579,2,1)*2+--MID(A579,3,1)*4+--MID(A579,4,1)*10+--MID(A579,5,1)*3+--MID(A579,6,1)*5+--MID(A579,7,1)*9+--MID(A579,8,1)*4+--MID(A579,9,1)*6+--MID(A579,10,1)*8, ""))</f>
        <v/>
      </c>
      <c r="I579">
        <f>IF(LEN(TRIM(A579))=12, --MID(A579,1,1)*3+--MID(A579,2,1)*7+--MID(A579,3,1)*2+--MID(A579,4,1)*4+--MID(A579,5,1)*10+--MID(A579,6,1)*3+--MID(A579,7,1)*5+--MID(A579,8,1)*9+--MID(A579,9,1)*4+--MID(A579,10,1)*6+--MID(A579,11,1)*8, "")</f>
        <v/>
      </c>
    </row>
    <row r="580">
      <c r="A580">
        <f>SUBSTITUTE(SUBSTITUTE(SUBSTITUTE(SUBSTITUTE(TRIM(INDEX(Реестр!$B:$B,ROW())),CHAR(160),""),CHAR(9),""),CHAR(10),""),CHAR(13),"")</f>
        <v/>
      </c>
      <c r="B580">
        <f>SUBSTITUTE(SUBSTITUTE(SUBSTITUTE(SUBSTITUTE(SUBSTITUTE(SUBSTITUTE(SUBSTITUTE(TRIM(INDEX(Реестр!$D:$D, ROW())), "-", ""), " ", ""), CHAR(160), ""), CHAR(9), ""), CHAR(10), ""), CHAR(13), ""), CHAR(32), "")</f>
        <v/>
      </c>
      <c r="C580">
        <f>INDEX(Реестр!$H:$H, ROW())</f>
        <v/>
      </c>
      <c r="D580">
        <f>IF(OR(ISBLANK(INDEX(Реестр!$B:$B, ROW())), INDEX(Реестр!$B:$B, ROW())=""), " ", IF(IFERROR(ISNUMBER(--A580),FALSE), IF(LEN(A580)=10, IF(MOD(MOD(H580,11),10)=--RIGHT(A580,1), "OK", "ОШИБКА"), IF(LEN(A580)=12, IF(AND(MOD(MOD(H580,11),10)=--MID(A580,11,1), MOD(MOD(I580,11),10)=--RIGHT(A580,1)), "OK", "ОШИБКА"), "ДЛИНА (10 или 12)")), "НЕ ЦИФРЫ"))</f>
        <v/>
      </c>
      <c r="E580">
        <f>MID(B580,1,1)*9+MID(B580,2,1)*8+MID(B580,3,1)*7+MID(B580,4,1)*6+MID(B580,5,1)*5+MID(B580,6,1)*4+MID(B580,7,1)*3+MID(B580,8,1)*2+MID(B580,9,1)</f>
        <v/>
      </c>
      <c r="F580">
        <f>IF(B580="", " ", IF(LEN(B580)&lt;&gt;11, "ДЛИНА", IF(NOT(ISNUMBER(--B580)), "НЕ ЦИФРЫ", IF(LEFT(B580,9)*1&lt;=1001998, "OK", IF(RIGHT(B580,2)*1=IF(MOD(E580,101)&gt;=100,0,MOD(E580,101)),"OK","ОШИБКА")))))</f>
        <v/>
      </c>
      <c r="G5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0">
        <f>IF(LEN(TRIM(A580))=10, --MID(A580,1,1)*2+--MID(A580,2,1)*4+--MID(A580,3,1)*10+--MID(A580,4,1)*3+--MID(A580,5,1)*5+--MID(A580,6,1)*9+--MID(A580,7,1)*4+--MID(A580,8,1)*6+--MID(A580,9,1)*8, IF(LEN(TRIM(A580))=12, --MID(A580,1,1)*7+--MID(A580,2,1)*2+--MID(A580,3,1)*4+--MID(A580,4,1)*10+--MID(A580,5,1)*3+--MID(A580,6,1)*5+--MID(A580,7,1)*9+--MID(A580,8,1)*4+--MID(A580,9,1)*6+--MID(A580,10,1)*8, ""))</f>
        <v/>
      </c>
      <c r="I580">
        <f>IF(LEN(TRIM(A580))=12, --MID(A580,1,1)*3+--MID(A580,2,1)*7+--MID(A580,3,1)*2+--MID(A580,4,1)*4+--MID(A580,5,1)*10+--MID(A580,6,1)*3+--MID(A580,7,1)*5+--MID(A580,8,1)*9+--MID(A580,9,1)*4+--MID(A580,10,1)*6+--MID(A580,11,1)*8, "")</f>
        <v/>
      </c>
    </row>
    <row r="581">
      <c r="A581">
        <f>SUBSTITUTE(SUBSTITUTE(SUBSTITUTE(SUBSTITUTE(TRIM(INDEX(Реестр!$B:$B,ROW())),CHAR(160),""),CHAR(9),""),CHAR(10),""),CHAR(13),"")</f>
        <v/>
      </c>
      <c r="B581">
        <f>SUBSTITUTE(SUBSTITUTE(SUBSTITUTE(SUBSTITUTE(SUBSTITUTE(SUBSTITUTE(SUBSTITUTE(TRIM(INDEX(Реестр!$D:$D, ROW())), "-", ""), " ", ""), CHAR(160), ""), CHAR(9), ""), CHAR(10), ""), CHAR(13), ""), CHAR(32), "")</f>
        <v/>
      </c>
      <c r="C581">
        <f>INDEX(Реестр!$H:$H, ROW())</f>
        <v/>
      </c>
      <c r="D581">
        <f>IF(OR(ISBLANK(INDEX(Реестр!$B:$B, ROW())), INDEX(Реестр!$B:$B, ROW())=""), " ", IF(IFERROR(ISNUMBER(--A581),FALSE), IF(LEN(A581)=10, IF(MOD(MOD(H581,11),10)=--RIGHT(A581,1), "OK", "ОШИБКА"), IF(LEN(A581)=12, IF(AND(MOD(MOD(H581,11),10)=--MID(A581,11,1), MOD(MOD(I581,11),10)=--RIGHT(A581,1)), "OK", "ОШИБКА"), "ДЛИНА (10 или 12)")), "НЕ ЦИФРЫ"))</f>
        <v/>
      </c>
      <c r="E581">
        <f>MID(B581,1,1)*9+MID(B581,2,1)*8+MID(B581,3,1)*7+MID(B581,4,1)*6+MID(B581,5,1)*5+MID(B581,6,1)*4+MID(B581,7,1)*3+MID(B581,8,1)*2+MID(B581,9,1)</f>
        <v/>
      </c>
      <c r="F581">
        <f>IF(B581="", " ", IF(LEN(B581)&lt;&gt;11, "ДЛИНА", IF(NOT(ISNUMBER(--B581)), "НЕ ЦИФРЫ", IF(LEFT(B581,9)*1&lt;=1001998, "OK", IF(RIGHT(B581,2)*1=IF(MOD(E581,101)&gt;=100,0,MOD(E581,101)),"OK","ОШИБКА")))))</f>
        <v/>
      </c>
      <c r="G5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1">
        <f>IF(LEN(TRIM(A581))=10, --MID(A581,1,1)*2+--MID(A581,2,1)*4+--MID(A581,3,1)*10+--MID(A581,4,1)*3+--MID(A581,5,1)*5+--MID(A581,6,1)*9+--MID(A581,7,1)*4+--MID(A581,8,1)*6+--MID(A581,9,1)*8, IF(LEN(TRIM(A581))=12, --MID(A581,1,1)*7+--MID(A581,2,1)*2+--MID(A581,3,1)*4+--MID(A581,4,1)*10+--MID(A581,5,1)*3+--MID(A581,6,1)*5+--MID(A581,7,1)*9+--MID(A581,8,1)*4+--MID(A581,9,1)*6+--MID(A581,10,1)*8, ""))</f>
        <v/>
      </c>
      <c r="I581">
        <f>IF(LEN(TRIM(A581))=12, --MID(A581,1,1)*3+--MID(A581,2,1)*7+--MID(A581,3,1)*2+--MID(A581,4,1)*4+--MID(A581,5,1)*10+--MID(A581,6,1)*3+--MID(A581,7,1)*5+--MID(A581,8,1)*9+--MID(A581,9,1)*4+--MID(A581,10,1)*6+--MID(A581,11,1)*8, "")</f>
        <v/>
      </c>
    </row>
    <row r="582">
      <c r="A582">
        <f>SUBSTITUTE(SUBSTITUTE(SUBSTITUTE(SUBSTITUTE(TRIM(INDEX(Реестр!$B:$B,ROW())),CHAR(160),""),CHAR(9),""),CHAR(10),""),CHAR(13),"")</f>
        <v/>
      </c>
      <c r="B582">
        <f>SUBSTITUTE(SUBSTITUTE(SUBSTITUTE(SUBSTITUTE(SUBSTITUTE(SUBSTITUTE(SUBSTITUTE(TRIM(INDEX(Реестр!$D:$D, ROW())), "-", ""), " ", ""), CHAR(160), ""), CHAR(9), ""), CHAR(10), ""), CHAR(13), ""), CHAR(32), "")</f>
        <v/>
      </c>
      <c r="C582">
        <f>INDEX(Реестр!$H:$H, ROW())</f>
        <v/>
      </c>
      <c r="D582">
        <f>IF(OR(ISBLANK(INDEX(Реестр!$B:$B, ROW())), INDEX(Реестр!$B:$B, ROW())=""), " ", IF(IFERROR(ISNUMBER(--A582),FALSE), IF(LEN(A582)=10, IF(MOD(MOD(H582,11),10)=--RIGHT(A582,1), "OK", "ОШИБКА"), IF(LEN(A582)=12, IF(AND(MOD(MOD(H582,11),10)=--MID(A582,11,1), MOD(MOD(I582,11),10)=--RIGHT(A582,1)), "OK", "ОШИБКА"), "ДЛИНА (10 или 12)")), "НЕ ЦИФРЫ"))</f>
        <v/>
      </c>
      <c r="E582">
        <f>MID(B582,1,1)*9+MID(B582,2,1)*8+MID(B582,3,1)*7+MID(B582,4,1)*6+MID(B582,5,1)*5+MID(B582,6,1)*4+MID(B582,7,1)*3+MID(B582,8,1)*2+MID(B582,9,1)</f>
        <v/>
      </c>
      <c r="F582">
        <f>IF(B582="", " ", IF(LEN(B582)&lt;&gt;11, "ДЛИНА", IF(NOT(ISNUMBER(--B582)), "НЕ ЦИФРЫ", IF(LEFT(B582,9)*1&lt;=1001998, "OK", IF(RIGHT(B582,2)*1=IF(MOD(E582,101)&gt;=100,0,MOD(E582,101)),"OK","ОШИБКА")))))</f>
        <v/>
      </c>
      <c r="G5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2">
        <f>IF(LEN(TRIM(A582))=10, --MID(A582,1,1)*2+--MID(A582,2,1)*4+--MID(A582,3,1)*10+--MID(A582,4,1)*3+--MID(A582,5,1)*5+--MID(A582,6,1)*9+--MID(A582,7,1)*4+--MID(A582,8,1)*6+--MID(A582,9,1)*8, IF(LEN(TRIM(A582))=12, --MID(A582,1,1)*7+--MID(A582,2,1)*2+--MID(A582,3,1)*4+--MID(A582,4,1)*10+--MID(A582,5,1)*3+--MID(A582,6,1)*5+--MID(A582,7,1)*9+--MID(A582,8,1)*4+--MID(A582,9,1)*6+--MID(A582,10,1)*8, ""))</f>
        <v/>
      </c>
      <c r="I582">
        <f>IF(LEN(TRIM(A582))=12, --MID(A582,1,1)*3+--MID(A582,2,1)*7+--MID(A582,3,1)*2+--MID(A582,4,1)*4+--MID(A582,5,1)*10+--MID(A582,6,1)*3+--MID(A582,7,1)*5+--MID(A582,8,1)*9+--MID(A582,9,1)*4+--MID(A582,10,1)*6+--MID(A582,11,1)*8, "")</f>
        <v/>
      </c>
    </row>
    <row r="583">
      <c r="A583">
        <f>SUBSTITUTE(SUBSTITUTE(SUBSTITUTE(SUBSTITUTE(TRIM(INDEX(Реестр!$B:$B,ROW())),CHAR(160),""),CHAR(9),""),CHAR(10),""),CHAR(13),"")</f>
        <v/>
      </c>
      <c r="B583">
        <f>SUBSTITUTE(SUBSTITUTE(SUBSTITUTE(SUBSTITUTE(SUBSTITUTE(SUBSTITUTE(SUBSTITUTE(TRIM(INDEX(Реестр!$D:$D, ROW())), "-", ""), " ", ""), CHAR(160), ""), CHAR(9), ""), CHAR(10), ""), CHAR(13), ""), CHAR(32), "")</f>
        <v/>
      </c>
      <c r="C583">
        <f>INDEX(Реестр!$H:$H, ROW())</f>
        <v/>
      </c>
      <c r="D583">
        <f>IF(OR(ISBLANK(INDEX(Реестр!$B:$B, ROW())), INDEX(Реестр!$B:$B, ROW())=""), " ", IF(IFERROR(ISNUMBER(--A583),FALSE), IF(LEN(A583)=10, IF(MOD(MOD(H583,11),10)=--RIGHT(A583,1), "OK", "ОШИБКА"), IF(LEN(A583)=12, IF(AND(MOD(MOD(H583,11),10)=--MID(A583,11,1), MOD(MOD(I583,11),10)=--RIGHT(A583,1)), "OK", "ОШИБКА"), "ДЛИНА (10 или 12)")), "НЕ ЦИФРЫ"))</f>
        <v/>
      </c>
      <c r="E583">
        <f>MID(B583,1,1)*9+MID(B583,2,1)*8+MID(B583,3,1)*7+MID(B583,4,1)*6+MID(B583,5,1)*5+MID(B583,6,1)*4+MID(B583,7,1)*3+MID(B583,8,1)*2+MID(B583,9,1)</f>
        <v/>
      </c>
      <c r="F583">
        <f>IF(B583="", " ", IF(LEN(B583)&lt;&gt;11, "ДЛИНА", IF(NOT(ISNUMBER(--B583)), "НЕ ЦИФРЫ", IF(LEFT(B583,9)*1&lt;=1001998, "OK", IF(RIGHT(B583,2)*1=IF(MOD(E583,101)&gt;=100,0,MOD(E583,101)),"OK","ОШИБКА")))))</f>
        <v/>
      </c>
      <c r="G5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3">
        <f>IF(LEN(TRIM(A583))=10, --MID(A583,1,1)*2+--MID(A583,2,1)*4+--MID(A583,3,1)*10+--MID(A583,4,1)*3+--MID(A583,5,1)*5+--MID(A583,6,1)*9+--MID(A583,7,1)*4+--MID(A583,8,1)*6+--MID(A583,9,1)*8, IF(LEN(TRIM(A583))=12, --MID(A583,1,1)*7+--MID(A583,2,1)*2+--MID(A583,3,1)*4+--MID(A583,4,1)*10+--MID(A583,5,1)*3+--MID(A583,6,1)*5+--MID(A583,7,1)*9+--MID(A583,8,1)*4+--MID(A583,9,1)*6+--MID(A583,10,1)*8, ""))</f>
        <v/>
      </c>
      <c r="I583">
        <f>IF(LEN(TRIM(A583))=12, --MID(A583,1,1)*3+--MID(A583,2,1)*7+--MID(A583,3,1)*2+--MID(A583,4,1)*4+--MID(A583,5,1)*10+--MID(A583,6,1)*3+--MID(A583,7,1)*5+--MID(A583,8,1)*9+--MID(A583,9,1)*4+--MID(A583,10,1)*6+--MID(A583,11,1)*8, "")</f>
        <v/>
      </c>
    </row>
    <row r="584">
      <c r="A584">
        <f>SUBSTITUTE(SUBSTITUTE(SUBSTITUTE(SUBSTITUTE(TRIM(INDEX(Реестр!$B:$B,ROW())),CHAR(160),""),CHAR(9),""),CHAR(10),""),CHAR(13),"")</f>
        <v/>
      </c>
      <c r="B584">
        <f>SUBSTITUTE(SUBSTITUTE(SUBSTITUTE(SUBSTITUTE(SUBSTITUTE(SUBSTITUTE(SUBSTITUTE(TRIM(INDEX(Реестр!$D:$D, ROW())), "-", ""), " ", ""), CHAR(160), ""), CHAR(9), ""), CHAR(10), ""), CHAR(13), ""), CHAR(32), "")</f>
        <v/>
      </c>
      <c r="C584">
        <f>INDEX(Реестр!$H:$H, ROW())</f>
        <v/>
      </c>
      <c r="D584">
        <f>IF(OR(ISBLANK(INDEX(Реестр!$B:$B, ROW())), INDEX(Реестр!$B:$B, ROW())=""), " ", IF(IFERROR(ISNUMBER(--A584),FALSE), IF(LEN(A584)=10, IF(MOD(MOD(H584,11),10)=--RIGHT(A584,1), "OK", "ОШИБКА"), IF(LEN(A584)=12, IF(AND(MOD(MOD(H584,11),10)=--MID(A584,11,1), MOD(MOD(I584,11),10)=--RIGHT(A584,1)), "OK", "ОШИБКА"), "ДЛИНА (10 или 12)")), "НЕ ЦИФРЫ"))</f>
        <v/>
      </c>
      <c r="E584">
        <f>MID(B584,1,1)*9+MID(B584,2,1)*8+MID(B584,3,1)*7+MID(B584,4,1)*6+MID(B584,5,1)*5+MID(B584,6,1)*4+MID(B584,7,1)*3+MID(B584,8,1)*2+MID(B584,9,1)</f>
        <v/>
      </c>
      <c r="F584">
        <f>IF(B584="", " ", IF(LEN(B584)&lt;&gt;11, "ДЛИНА", IF(NOT(ISNUMBER(--B584)), "НЕ ЦИФРЫ", IF(LEFT(B584,9)*1&lt;=1001998, "OK", IF(RIGHT(B584,2)*1=IF(MOD(E584,101)&gt;=100,0,MOD(E584,101)),"OK","ОШИБКА")))))</f>
        <v/>
      </c>
      <c r="G5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4">
        <f>IF(LEN(TRIM(A584))=10, --MID(A584,1,1)*2+--MID(A584,2,1)*4+--MID(A584,3,1)*10+--MID(A584,4,1)*3+--MID(A584,5,1)*5+--MID(A584,6,1)*9+--MID(A584,7,1)*4+--MID(A584,8,1)*6+--MID(A584,9,1)*8, IF(LEN(TRIM(A584))=12, --MID(A584,1,1)*7+--MID(A584,2,1)*2+--MID(A584,3,1)*4+--MID(A584,4,1)*10+--MID(A584,5,1)*3+--MID(A584,6,1)*5+--MID(A584,7,1)*9+--MID(A584,8,1)*4+--MID(A584,9,1)*6+--MID(A584,10,1)*8, ""))</f>
        <v/>
      </c>
      <c r="I584">
        <f>IF(LEN(TRIM(A584))=12, --MID(A584,1,1)*3+--MID(A584,2,1)*7+--MID(A584,3,1)*2+--MID(A584,4,1)*4+--MID(A584,5,1)*10+--MID(A584,6,1)*3+--MID(A584,7,1)*5+--MID(A584,8,1)*9+--MID(A584,9,1)*4+--MID(A584,10,1)*6+--MID(A584,11,1)*8, "")</f>
        <v/>
      </c>
    </row>
    <row r="585">
      <c r="A585">
        <f>SUBSTITUTE(SUBSTITUTE(SUBSTITUTE(SUBSTITUTE(TRIM(INDEX(Реестр!$B:$B,ROW())),CHAR(160),""),CHAR(9),""),CHAR(10),""),CHAR(13),"")</f>
        <v/>
      </c>
      <c r="B585">
        <f>SUBSTITUTE(SUBSTITUTE(SUBSTITUTE(SUBSTITUTE(SUBSTITUTE(SUBSTITUTE(SUBSTITUTE(TRIM(INDEX(Реестр!$D:$D, ROW())), "-", ""), " ", ""), CHAR(160), ""), CHAR(9), ""), CHAR(10), ""), CHAR(13), ""), CHAR(32), "")</f>
        <v/>
      </c>
      <c r="C585">
        <f>INDEX(Реестр!$H:$H, ROW())</f>
        <v/>
      </c>
      <c r="D585">
        <f>IF(OR(ISBLANK(INDEX(Реестр!$B:$B, ROW())), INDEX(Реестр!$B:$B, ROW())=""), " ", IF(IFERROR(ISNUMBER(--A585),FALSE), IF(LEN(A585)=10, IF(MOD(MOD(H585,11),10)=--RIGHT(A585,1), "OK", "ОШИБКА"), IF(LEN(A585)=12, IF(AND(MOD(MOD(H585,11),10)=--MID(A585,11,1), MOD(MOD(I585,11),10)=--RIGHT(A585,1)), "OK", "ОШИБКА"), "ДЛИНА (10 или 12)")), "НЕ ЦИФРЫ"))</f>
        <v/>
      </c>
      <c r="E585">
        <f>MID(B585,1,1)*9+MID(B585,2,1)*8+MID(B585,3,1)*7+MID(B585,4,1)*6+MID(B585,5,1)*5+MID(B585,6,1)*4+MID(B585,7,1)*3+MID(B585,8,1)*2+MID(B585,9,1)</f>
        <v/>
      </c>
      <c r="F585">
        <f>IF(B585="", " ", IF(LEN(B585)&lt;&gt;11, "ДЛИНА", IF(NOT(ISNUMBER(--B585)), "НЕ ЦИФРЫ", IF(LEFT(B585,9)*1&lt;=1001998, "OK", IF(RIGHT(B585,2)*1=IF(MOD(E585,101)&gt;=100,0,MOD(E585,101)),"OK","ОШИБКА")))))</f>
        <v/>
      </c>
      <c r="G5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5">
        <f>IF(LEN(TRIM(A585))=10, --MID(A585,1,1)*2+--MID(A585,2,1)*4+--MID(A585,3,1)*10+--MID(A585,4,1)*3+--MID(A585,5,1)*5+--MID(A585,6,1)*9+--MID(A585,7,1)*4+--MID(A585,8,1)*6+--MID(A585,9,1)*8, IF(LEN(TRIM(A585))=12, --MID(A585,1,1)*7+--MID(A585,2,1)*2+--MID(A585,3,1)*4+--MID(A585,4,1)*10+--MID(A585,5,1)*3+--MID(A585,6,1)*5+--MID(A585,7,1)*9+--MID(A585,8,1)*4+--MID(A585,9,1)*6+--MID(A585,10,1)*8, ""))</f>
        <v/>
      </c>
      <c r="I585">
        <f>IF(LEN(TRIM(A585))=12, --MID(A585,1,1)*3+--MID(A585,2,1)*7+--MID(A585,3,1)*2+--MID(A585,4,1)*4+--MID(A585,5,1)*10+--MID(A585,6,1)*3+--MID(A585,7,1)*5+--MID(A585,8,1)*9+--MID(A585,9,1)*4+--MID(A585,10,1)*6+--MID(A585,11,1)*8, "")</f>
        <v/>
      </c>
    </row>
    <row r="586">
      <c r="A586">
        <f>SUBSTITUTE(SUBSTITUTE(SUBSTITUTE(SUBSTITUTE(TRIM(INDEX(Реестр!$B:$B,ROW())),CHAR(160),""),CHAR(9),""),CHAR(10),""),CHAR(13),"")</f>
        <v/>
      </c>
      <c r="B586">
        <f>SUBSTITUTE(SUBSTITUTE(SUBSTITUTE(SUBSTITUTE(SUBSTITUTE(SUBSTITUTE(SUBSTITUTE(TRIM(INDEX(Реестр!$D:$D, ROW())), "-", ""), " ", ""), CHAR(160), ""), CHAR(9), ""), CHAR(10), ""), CHAR(13), ""), CHAR(32), "")</f>
        <v/>
      </c>
      <c r="C586">
        <f>INDEX(Реестр!$H:$H, ROW())</f>
        <v/>
      </c>
      <c r="D586">
        <f>IF(OR(ISBLANK(INDEX(Реестр!$B:$B, ROW())), INDEX(Реестр!$B:$B, ROW())=""), " ", IF(IFERROR(ISNUMBER(--A586),FALSE), IF(LEN(A586)=10, IF(MOD(MOD(H586,11),10)=--RIGHT(A586,1), "OK", "ОШИБКА"), IF(LEN(A586)=12, IF(AND(MOD(MOD(H586,11),10)=--MID(A586,11,1), MOD(MOD(I586,11),10)=--RIGHT(A586,1)), "OK", "ОШИБКА"), "ДЛИНА (10 или 12)")), "НЕ ЦИФРЫ"))</f>
        <v/>
      </c>
      <c r="E586">
        <f>MID(B586,1,1)*9+MID(B586,2,1)*8+MID(B586,3,1)*7+MID(B586,4,1)*6+MID(B586,5,1)*5+MID(B586,6,1)*4+MID(B586,7,1)*3+MID(B586,8,1)*2+MID(B586,9,1)</f>
        <v/>
      </c>
      <c r="F586">
        <f>IF(B586="", " ", IF(LEN(B586)&lt;&gt;11, "ДЛИНА", IF(NOT(ISNUMBER(--B586)), "НЕ ЦИФРЫ", IF(LEFT(B586,9)*1&lt;=1001998, "OK", IF(RIGHT(B586,2)*1=IF(MOD(E586,101)&gt;=100,0,MOD(E586,101)),"OK","ОШИБКА")))))</f>
        <v/>
      </c>
      <c r="G5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6">
        <f>IF(LEN(TRIM(A586))=10, --MID(A586,1,1)*2+--MID(A586,2,1)*4+--MID(A586,3,1)*10+--MID(A586,4,1)*3+--MID(A586,5,1)*5+--MID(A586,6,1)*9+--MID(A586,7,1)*4+--MID(A586,8,1)*6+--MID(A586,9,1)*8, IF(LEN(TRIM(A586))=12, --MID(A586,1,1)*7+--MID(A586,2,1)*2+--MID(A586,3,1)*4+--MID(A586,4,1)*10+--MID(A586,5,1)*3+--MID(A586,6,1)*5+--MID(A586,7,1)*9+--MID(A586,8,1)*4+--MID(A586,9,1)*6+--MID(A586,10,1)*8, ""))</f>
        <v/>
      </c>
      <c r="I586">
        <f>IF(LEN(TRIM(A586))=12, --MID(A586,1,1)*3+--MID(A586,2,1)*7+--MID(A586,3,1)*2+--MID(A586,4,1)*4+--MID(A586,5,1)*10+--MID(A586,6,1)*3+--MID(A586,7,1)*5+--MID(A586,8,1)*9+--MID(A586,9,1)*4+--MID(A586,10,1)*6+--MID(A586,11,1)*8, "")</f>
        <v/>
      </c>
    </row>
    <row r="587">
      <c r="A587">
        <f>SUBSTITUTE(SUBSTITUTE(SUBSTITUTE(SUBSTITUTE(TRIM(INDEX(Реестр!$B:$B,ROW())),CHAR(160),""),CHAR(9),""),CHAR(10),""),CHAR(13),"")</f>
        <v/>
      </c>
      <c r="B587">
        <f>SUBSTITUTE(SUBSTITUTE(SUBSTITUTE(SUBSTITUTE(SUBSTITUTE(SUBSTITUTE(SUBSTITUTE(TRIM(INDEX(Реестр!$D:$D, ROW())), "-", ""), " ", ""), CHAR(160), ""), CHAR(9), ""), CHAR(10), ""), CHAR(13), ""), CHAR(32), "")</f>
        <v/>
      </c>
      <c r="C587">
        <f>INDEX(Реестр!$H:$H, ROW())</f>
        <v/>
      </c>
      <c r="D587">
        <f>IF(OR(ISBLANK(INDEX(Реестр!$B:$B, ROW())), INDEX(Реестр!$B:$B, ROW())=""), " ", IF(IFERROR(ISNUMBER(--A587),FALSE), IF(LEN(A587)=10, IF(MOD(MOD(H587,11),10)=--RIGHT(A587,1), "OK", "ОШИБКА"), IF(LEN(A587)=12, IF(AND(MOD(MOD(H587,11),10)=--MID(A587,11,1), MOD(MOD(I587,11),10)=--RIGHT(A587,1)), "OK", "ОШИБКА"), "ДЛИНА (10 или 12)")), "НЕ ЦИФРЫ"))</f>
        <v/>
      </c>
      <c r="E587">
        <f>MID(B587,1,1)*9+MID(B587,2,1)*8+MID(B587,3,1)*7+MID(B587,4,1)*6+MID(B587,5,1)*5+MID(B587,6,1)*4+MID(B587,7,1)*3+MID(B587,8,1)*2+MID(B587,9,1)</f>
        <v/>
      </c>
      <c r="F587">
        <f>IF(B587="", " ", IF(LEN(B587)&lt;&gt;11, "ДЛИНА", IF(NOT(ISNUMBER(--B587)), "НЕ ЦИФРЫ", IF(LEFT(B587,9)*1&lt;=1001998, "OK", IF(RIGHT(B587,2)*1=IF(MOD(E587,101)&gt;=100,0,MOD(E587,101)),"OK","ОШИБКА")))))</f>
        <v/>
      </c>
      <c r="G5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7">
        <f>IF(LEN(TRIM(A587))=10, --MID(A587,1,1)*2+--MID(A587,2,1)*4+--MID(A587,3,1)*10+--MID(A587,4,1)*3+--MID(A587,5,1)*5+--MID(A587,6,1)*9+--MID(A587,7,1)*4+--MID(A587,8,1)*6+--MID(A587,9,1)*8, IF(LEN(TRIM(A587))=12, --MID(A587,1,1)*7+--MID(A587,2,1)*2+--MID(A587,3,1)*4+--MID(A587,4,1)*10+--MID(A587,5,1)*3+--MID(A587,6,1)*5+--MID(A587,7,1)*9+--MID(A587,8,1)*4+--MID(A587,9,1)*6+--MID(A587,10,1)*8, ""))</f>
        <v/>
      </c>
      <c r="I587">
        <f>IF(LEN(TRIM(A587))=12, --MID(A587,1,1)*3+--MID(A587,2,1)*7+--MID(A587,3,1)*2+--MID(A587,4,1)*4+--MID(A587,5,1)*10+--MID(A587,6,1)*3+--MID(A587,7,1)*5+--MID(A587,8,1)*9+--MID(A587,9,1)*4+--MID(A587,10,1)*6+--MID(A587,11,1)*8, "")</f>
        <v/>
      </c>
    </row>
    <row r="588">
      <c r="A588">
        <f>SUBSTITUTE(SUBSTITUTE(SUBSTITUTE(SUBSTITUTE(TRIM(INDEX(Реестр!$B:$B,ROW())),CHAR(160),""),CHAR(9),""),CHAR(10),""),CHAR(13),"")</f>
        <v/>
      </c>
      <c r="B588">
        <f>SUBSTITUTE(SUBSTITUTE(SUBSTITUTE(SUBSTITUTE(SUBSTITUTE(SUBSTITUTE(SUBSTITUTE(TRIM(INDEX(Реестр!$D:$D, ROW())), "-", ""), " ", ""), CHAR(160), ""), CHAR(9), ""), CHAR(10), ""), CHAR(13), ""), CHAR(32), "")</f>
        <v/>
      </c>
      <c r="C588">
        <f>INDEX(Реестр!$H:$H, ROW())</f>
        <v/>
      </c>
      <c r="D588">
        <f>IF(OR(ISBLANK(INDEX(Реестр!$B:$B, ROW())), INDEX(Реестр!$B:$B, ROW())=""), " ", IF(IFERROR(ISNUMBER(--A588),FALSE), IF(LEN(A588)=10, IF(MOD(MOD(H588,11),10)=--RIGHT(A588,1), "OK", "ОШИБКА"), IF(LEN(A588)=12, IF(AND(MOD(MOD(H588,11),10)=--MID(A588,11,1), MOD(MOD(I588,11),10)=--RIGHT(A588,1)), "OK", "ОШИБКА"), "ДЛИНА (10 или 12)")), "НЕ ЦИФРЫ"))</f>
        <v/>
      </c>
      <c r="E588">
        <f>MID(B588,1,1)*9+MID(B588,2,1)*8+MID(B588,3,1)*7+MID(B588,4,1)*6+MID(B588,5,1)*5+MID(B588,6,1)*4+MID(B588,7,1)*3+MID(B588,8,1)*2+MID(B588,9,1)</f>
        <v/>
      </c>
      <c r="F588">
        <f>IF(B588="", " ", IF(LEN(B588)&lt;&gt;11, "ДЛИНА", IF(NOT(ISNUMBER(--B588)), "НЕ ЦИФРЫ", IF(LEFT(B588,9)*1&lt;=1001998, "OK", IF(RIGHT(B588,2)*1=IF(MOD(E588,101)&gt;=100,0,MOD(E588,101)),"OK","ОШИБКА")))))</f>
        <v/>
      </c>
      <c r="G5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8">
        <f>IF(LEN(TRIM(A588))=10, --MID(A588,1,1)*2+--MID(A588,2,1)*4+--MID(A588,3,1)*10+--MID(A588,4,1)*3+--MID(A588,5,1)*5+--MID(A588,6,1)*9+--MID(A588,7,1)*4+--MID(A588,8,1)*6+--MID(A588,9,1)*8, IF(LEN(TRIM(A588))=12, --MID(A588,1,1)*7+--MID(A588,2,1)*2+--MID(A588,3,1)*4+--MID(A588,4,1)*10+--MID(A588,5,1)*3+--MID(A588,6,1)*5+--MID(A588,7,1)*9+--MID(A588,8,1)*4+--MID(A588,9,1)*6+--MID(A588,10,1)*8, ""))</f>
        <v/>
      </c>
      <c r="I588">
        <f>IF(LEN(TRIM(A588))=12, --MID(A588,1,1)*3+--MID(A588,2,1)*7+--MID(A588,3,1)*2+--MID(A588,4,1)*4+--MID(A588,5,1)*10+--MID(A588,6,1)*3+--MID(A588,7,1)*5+--MID(A588,8,1)*9+--MID(A588,9,1)*4+--MID(A588,10,1)*6+--MID(A588,11,1)*8, "")</f>
        <v/>
      </c>
    </row>
    <row r="589">
      <c r="A589">
        <f>SUBSTITUTE(SUBSTITUTE(SUBSTITUTE(SUBSTITUTE(TRIM(INDEX(Реестр!$B:$B,ROW())),CHAR(160),""),CHAR(9),""),CHAR(10),""),CHAR(13),"")</f>
        <v/>
      </c>
      <c r="B589">
        <f>SUBSTITUTE(SUBSTITUTE(SUBSTITUTE(SUBSTITUTE(SUBSTITUTE(SUBSTITUTE(SUBSTITUTE(TRIM(INDEX(Реестр!$D:$D, ROW())), "-", ""), " ", ""), CHAR(160), ""), CHAR(9), ""), CHAR(10), ""), CHAR(13), ""), CHAR(32), "")</f>
        <v/>
      </c>
      <c r="C589">
        <f>INDEX(Реестр!$H:$H, ROW())</f>
        <v/>
      </c>
      <c r="D589">
        <f>IF(OR(ISBLANK(INDEX(Реестр!$B:$B, ROW())), INDEX(Реестр!$B:$B, ROW())=""), " ", IF(IFERROR(ISNUMBER(--A589),FALSE), IF(LEN(A589)=10, IF(MOD(MOD(H589,11),10)=--RIGHT(A589,1), "OK", "ОШИБКА"), IF(LEN(A589)=12, IF(AND(MOD(MOD(H589,11),10)=--MID(A589,11,1), MOD(MOD(I589,11),10)=--RIGHT(A589,1)), "OK", "ОШИБКА"), "ДЛИНА (10 или 12)")), "НЕ ЦИФРЫ"))</f>
        <v/>
      </c>
      <c r="E589">
        <f>MID(B589,1,1)*9+MID(B589,2,1)*8+MID(B589,3,1)*7+MID(B589,4,1)*6+MID(B589,5,1)*5+MID(B589,6,1)*4+MID(B589,7,1)*3+MID(B589,8,1)*2+MID(B589,9,1)</f>
        <v/>
      </c>
      <c r="F589">
        <f>IF(B589="", " ", IF(LEN(B589)&lt;&gt;11, "ДЛИНА", IF(NOT(ISNUMBER(--B589)), "НЕ ЦИФРЫ", IF(LEFT(B589,9)*1&lt;=1001998, "OK", IF(RIGHT(B589,2)*1=IF(MOD(E589,101)&gt;=100,0,MOD(E589,101)),"OK","ОШИБКА")))))</f>
        <v/>
      </c>
      <c r="G5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89">
        <f>IF(LEN(TRIM(A589))=10, --MID(A589,1,1)*2+--MID(A589,2,1)*4+--MID(A589,3,1)*10+--MID(A589,4,1)*3+--MID(A589,5,1)*5+--MID(A589,6,1)*9+--MID(A589,7,1)*4+--MID(A589,8,1)*6+--MID(A589,9,1)*8, IF(LEN(TRIM(A589))=12, --MID(A589,1,1)*7+--MID(A589,2,1)*2+--MID(A589,3,1)*4+--MID(A589,4,1)*10+--MID(A589,5,1)*3+--MID(A589,6,1)*5+--MID(A589,7,1)*9+--MID(A589,8,1)*4+--MID(A589,9,1)*6+--MID(A589,10,1)*8, ""))</f>
        <v/>
      </c>
      <c r="I589">
        <f>IF(LEN(TRIM(A589))=12, --MID(A589,1,1)*3+--MID(A589,2,1)*7+--MID(A589,3,1)*2+--MID(A589,4,1)*4+--MID(A589,5,1)*10+--MID(A589,6,1)*3+--MID(A589,7,1)*5+--MID(A589,8,1)*9+--MID(A589,9,1)*4+--MID(A589,10,1)*6+--MID(A589,11,1)*8, "")</f>
        <v/>
      </c>
    </row>
    <row r="590">
      <c r="A590">
        <f>SUBSTITUTE(SUBSTITUTE(SUBSTITUTE(SUBSTITUTE(TRIM(INDEX(Реестр!$B:$B,ROW())),CHAR(160),""),CHAR(9),""),CHAR(10),""),CHAR(13),"")</f>
        <v/>
      </c>
      <c r="B590">
        <f>SUBSTITUTE(SUBSTITUTE(SUBSTITUTE(SUBSTITUTE(SUBSTITUTE(SUBSTITUTE(SUBSTITUTE(TRIM(INDEX(Реестр!$D:$D, ROW())), "-", ""), " ", ""), CHAR(160), ""), CHAR(9), ""), CHAR(10), ""), CHAR(13), ""), CHAR(32), "")</f>
        <v/>
      </c>
      <c r="C590">
        <f>INDEX(Реестр!$H:$H, ROW())</f>
        <v/>
      </c>
      <c r="D590">
        <f>IF(OR(ISBLANK(INDEX(Реестр!$B:$B, ROW())), INDEX(Реестр!$B:$B, ROW())=""), " ", IF(IFERROR(ISNUMBER(--A590),FALSE), IF(LEN(A590)=10, IF(MOD(MOD(H590,11),10)=--RIGHT(A590,1), "OK", "ОШИБКА"), IF(LEN(A590)=12, IF(AND(MOD(MOD(H590,11),10)=--MID(A590,11,1), MOD(MOD(I590,11),10)=--RIGHT(A590,1)), "OK", "ОШИБКА"), "ДЛИНА (10 или 12)")), "НЕ ЦИФРЫ"))</f>
        <v/>
      </c>
      <c r="E590">
        <f>MID(B590,1,1)*9+MID(B590,2,1)*8+MID(B590,3,1)*7+MID(B590,4,1)*6+MID(B590,5,1)*5+MID(B590,6,1)*4+MID(B590,7,1)*3+MID(B590,8,1)*2+MID(B590,9,1)</f>
        <v/>
      </c>
      <c r="F590">
        <f>IF(B590="", " ", IF(LEN(B590)&lt;&gt;11, "ДЛИНА", IF(NOT(ISNUMBER(--B590)), "НЕ ЦИФРЫ", IF(LEFT(B590,9)*1&lt;=1001998, "OK", IF(RIGHT(B590,2)*1=IF(MOD(E590,101)&gt;=100,0,MOD(E590,101)),"OK","ОШИБКА")))))</f>
        <v/>
      </c>
      <c r="G5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0">
        <f>IF(LEN(TRIM(A590))=10, --MID(A590,1,1)*2+--MID(A590,2,1)*4+--MID(A590,3,1)*10+--MID(A590,4,1)*3+--MID(A590,5,1)*5+--MID(A590,6,1)*9+--MID(A590,7,1)*4+--MID(A590,8,1)*6+--MID(A590,9,1)*8, IF(LEN(TRIM(A590))=12, --MID(A590,1,1)*7+--MID(A590,2,1)*2+--MID(A590,3,1)*4+--MID(A590,4,1)*10+--MID(A590,5,1)*3+--MID(A590,6,1)*5+--MID(A590,7,1)*9+--MID(A590,8,1)*4+--MID(A590,9,1)*6+--MID(A590,10,1)*8, ""))</f>
        <v/>
      </c>
      <c r="I590">
        <f>IF(LEN(TRIM(A590))=12, --MID(A590,1,1)*3+--MID(A590,2,1)*7+--MID(A590,3,1)*2+--MID(A590,4,1)*4+--MID(A590,5,1)*10+--MID(A590,6,1)*3+--MID(A590,7,1)*5+--MID(A590,8,1)*9+--MID(A590,9,1)*4+--MID(A590,10,1)*6+--MID(A590,11,1)*8, "")</f>
        <v/>
      </c>
    </row>
    <row r="591">
      <c r="A591">
        <f>SUBSTITUTE(SUBSTITUTE(SUBSTITUTE(SUBSTITUTE(TRIM(INDEX(Реестр!$B:$B,ROW())),CHAR(160),""),CHAR(9),""),CHAR(10),""),CHAR(13),"")</f>
        <v/>
      </c>
      <c r="B591">
        <f>SUBSTITUTE(SUBSTITUTE(SUBSTITUTE(SUBSTITUTE(SUBSTITUTE(SUBSTITUTE(SUBSTITUTE(TRIM(INDEX(Реестр!$D:$D, ROW())), "-", ""), " ", ""), CHAR(160), ""), CHAR(9), ""), CHAR(10), ""), CHAR(13), ""), CHAR(32), "")</f>
        <v/>
      </c>
      <c r="C591">
        <f>INDEX(Реестр!$H:$H, ROW())</f>
        <v/>
      </c>
      <c r="D591">
        <f>IF(OR(ISBLANK(INDEX(Реестр!$B:$B, ROW())), INDEX(Реестр!$B:$B, ROW())=""), " ", IF(IFERROR(ISNUMBER(--A591),FALSE), IF(LEN(A591)=10, IF(MOD(MOD(H591,11),10)=--RIGHT(A591,1), "OK", "ОШИБКА"), IF(LEN(A591)=12, IF(AND(MOD(MOD(H591,11),10)=--MID(A591,11,1), MOD(MOD(I591,11),10)=--RIGHT(A591,1)), "OK", "ОШИБКА"), "ДЛИНА (10 или 12)")), "НЕ ЦИФРЫ"))</f>
        <v/>
      </c>
      <c r="E591">
        <f>MID(B591,1,1)*9+MID(B591,2,1)*8+MID(B591,3,1)*7+MID(B591,4,1)*6+MID(B591,5,1)*5+MID(B591,6,1)*4+MID(B591,7,1)*3+MID(B591,8,1)*2+MID(B591,9,1)</f>
        <v/>
      </c>
      <c r="F591">
        <f>IF(B591="", " ", IF(LEN(B591)&lt;&gt;11, "ДЛИНА", IF(NOT(ISNUMBER(--B591)), "НЕ ЦИФРЫ", IF(LEFT(B591,9)*1&lt;=1001998, "OK", IF(RIGHT(B591,2)*1=IF(MOD(E591,101)&gt;=100,0,MOD(E591,101)),"OK","ОШИБКА")))))</f>
        <v/>
      </c>
      <c r="G5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1">
        <f>IF(LEN(TRIM(A591))=10, --MID(A591,1,1)*2+--MID(A591,2,1)*4+--MID(A591,3,1)*10+--MID(A591,4,1)*3+--MID(A591,5,1)*5+--MID(A591,6,1)*9+--MID(A591,7,1)*4+--MID(A591,8,1)*6+--MID(A591,9,1)*8, IF(LEN(TRIM(A591))=12, --MID(A591,1,1)*7+--MID(A591,2,1)*2+--MID(A591,3,1)*4+--MID(A591,4,1)*10+--MID(A591,5,1)*3+--MID(A591,6,1)*5+--MID(A591,7,1)*9+--MID(A591,8,1)*4+--MID(A591,9,1)*6+--MID(A591,10,1)*8, ""))</f>
        <v/>
      </c>
      <c r="I591">
        <f>IF(LEN(TRIM(A591))=12, --MID(A591,1,1)*3+--MID(A591,2,1)*7+--MID(A591,3,1)*2+--MID(A591,4,1)*4+--MID(A591,5,1)*10+--MID(A591,6,1)*3+--MID(A591,7,1)*5+--MID(A591,8,1)*9+--MID(A591,9,1)*4+--MID(A591,10,1)*6+--MID(A591,11,1)*8, "")</f>
        <v/>
      </c>
    </row>
    <row r="592">
      <c r="A592">
        <f>SUBSTITUTE(SUBSTITUTE(SUBSTITUTE(SUBSTITUTE(TRIM(INDEX(Реестр!$B:$B,ROW())),CHAR(160),""),CHAR(9),""),CHAR(10),""),CHAR(13),"")</f>
        <v/>
      </c>
      <c r="B592">
        <f>SUBSTITUTE(SUBSTITUTE(SUBSTITUTE(SUBSTITUTE(SUBSTITUTE(SUBSTITUTE(SUBSTITUTE(TRIM(INDEX(Реестр!$D:$D, ROW())), "-", ""), " ", ""), CHAR(160), ""), CHAR(9), ""), CHAR(10), ""), CHAR(13), ""), CHAR(32), "")</f>
        <v/>
      </c>
      <c r="C592">
        <f>INDEX(Реестр!$H:$H, ROW())</f>
        <v/>
      </c>
      <c r="D592">
        <f>IF(OR(ISBLANK(INDEX(Реестр!$B:$B, ROW())), INDEX(Реестр!$B:$B, ROW())=""), " ", IF(IFERROR(ISNUMBER(--A592),FALSE), IF(LEN(A592)=10, IF(MOD(MOD(H592,11),10)=--RIGHT(A592,1), "OK", "ОШИБКА"), IF(LEN(A592)=12, IF(AND(MOD(MOD(H592,11),10)=--MID(A592,11,1), MOD(MOD(I592,11),10)=--RIGHT(A592,1)), "OK", "ОШИБКА"), "ДЛИНА (10 или 12)")), "НЕ ЦИФРЫ"))</f>
        <v/>
      </c>
      <c r="E592">
        <f>MID(B592,1,1)*9+MID(B592,2,1)*8+MID(B592,3,1)*7+MID(B592,4,1)*6+MID(B592,5,1)*5+MID(B592,6,1)*4+MID(B592,7,1)*3+MID(B592,8,1)*2+MID(B592,9,1)</f>
        <v/>
      </c>
      <c r="F592">
        <f>IF(B592="", " ", IF(LEN(B592)&lt;&gt;11, "ДЛИНА", IF(NOT(ISNUMBER(--B592)), "НЕ ЦИФРЫ", IF(LEFT(B592,9)*1&lt;=1001998, "OK", IF(RIGHT(B592,2)*1=IF(MOD(E592,101)&gt;=100,0,MOD(E592,101)),"OK","ОШИБКА")))))</f>
        <v/>
      </c>
      <c r="G5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2">
        <f>IF(LEN(TRIM(A592))=10, --MID(A592,1,1)*2+--MID(A592,2,1)*4+--MID(A592,3,1)*10+--MID(A592,4,1)*3+--MID(A592,5,1)*5+--MID(A592,6,1)*9+--MID(A592,7,1)*4+--MID(A592,8,1)*6+--MID(A592,9,1)*8, IF(LEN(TRIM(A592))=12, --MID(A592,1,1)*7+--MID(A592,2,1)*2+--MID(A592,3,1)*4+--MID(A592,4,1)*10+--MID(A592,5,1)*3+--MID(A592,6,1)*5+--MID(A592,7,1)*9+--MID(A592,8,1)*4+--MID(A592,9,1)*6+--MID(A592,10,1)*8, ""))</f>
        <v/>
      </c>
      <c r="I592">
        <f>IF(LEN(TRIM(A592))=12, --MID(A592,1,1)*3+--MID(A592,2,1)*7+--MID(A592,3,1)*2+--MID(A592,4,1)*4+--MID(A592,5,1)*10+--MID(A592,6,1)*3+--MID(A592,7,1)*5+--MID(A592,8,1)*9+--MID(A592,9,1)*4+--MID(A592,10,1)*6+--MID(A592,11,1)*8, "")</f>
        <v/>
      </c>
    </row>
    <row r="593">
      <c r="A593">
        <f>SUBSTITUTE(SUBSTITUTE(SUBSTITUTE(SUBSTITUTE(TRIM(INDEX(Реестр!$B:$B,ROW())),CHAR(160),""),CHAR(9),""),CHAR(10),""),CHAR(13),"")</f>
        <v/>
      </c>
      <c r="B593">
        <f>SUBSTITUTE(SUBSTITUTE(SUBSTITUTE(SUBSTITUTE(SUBSTITUTE(SUBSTITUTE(SUBSTITUTE(TRIM(INDEX(Реестр!$D:$D, ROW())), "-", ""), " ", ""), CHAR(160), ""), CHAR(9), ""), CHAR(10), ""), CHAR(13), ""), CHAR(32), "")</f>
        <v/>
      </c>
      <c r="C593">
        <f>INDEX(Реестр!$H:$H, ROW())</f>
        <v/>
      </c>
      <c r="D593">
        <f>IF(OR(ISBLANK(INDEX(Реестр!$B:$B, ROW())), INDEX(Реестр!$B:$B, ROW())=""), " ", IF(IFERROR(ISNUMBER(--A593),FALSE), IF(LEN(A593)=10, IF(MOD(MOD(H593,11),10)=--RIGHT(A593,1), "OK", "ОШИБКА"), IF(LEN(A593)=12, IF(AND(MOD(MOD(H593,11),10)=--MID(A593,11,1), MOD(MOD(I593,11),10)=--RIGHT(A593,1)), "OK", "ОШИБКА"), "ДЛИНА (10 или 12)")), "НЕ ЦИФРЫ"))</f>
        <v/>
      </c>
      <c r="E593">
        <f>MID(B593,1,1)*9+MID(B593,2,1)*8+MID(B593,3,1)*7+MID(B593,4,1)*6+MID(B593,5,1)*5+MID(B593,6,1)*4+MID(B593,7,1)*3+MID(B593,8,1)*2+MID(B593,9,1)</f>
        <v/>
      </c>
      <c r="F593">
        <f>IF(B593="", " ", IF(LEN(B593)&lt;&gt;11, "ДЛИНА", IF(NOT(ISNUMBER(--B593)), "НЕ ЦИФРЫ", IF(LEFT(B593,9)*1&lt;=1001998, "OK", IF(RIGHT(B593,2)*1=IF(MOD(E593,101)&gt;=100,0,MOD(E593,101)),"OK","ОШИБКА")))))</f>
        <v/>
      </c>
      <c r="G5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3">
        <f>IF(LEN(TRIM(A593))=10, --MID(A593,1,1)*2+--MID(A593,2,1)*4+--MID(A593,3,1)*10+--MID(A593,4,1)*3+--MID(A593,5,1)*5+--MID(A593,6,1)*9+--MID(A593,7,1)*4+--MID(A593,8,1)*6+--MID(A593,9,1)*8, IF(LEN(TRIM(A593))=12, --MID(A593,1,1)*7+--MID(A593,2,1)*2+--MID(A593,3,1)*4+--MID(A593,4,1)*10+--MID(A593,5,1)*3+--MID(A593,6,1)*5+--MID(A593,7,1)*9+--MID(A593,8,1)*4+--MID(A593,9,1)*6+--MID(A593,10,1)*8, ""))</f>
        <v/>
      </c>
      <c r="I593">
        <f>IF(LEN(TRIM(A593))=12, --MID(A593,1,1)*3+--MID(A593,2,1)*7+--MID(A593,3,1)*2+--MID(A593,4,1)*4+--MID(A593,5,1)*10+--MID(A593,6,1)*3+--MID(A593,7,1)*5+--MID(A593,8,1)*9+--MID(A593,9,1)*4+--MID(A593,10,1)*6+--MID(A593,11,1)*8, "")</f>
        <v/>
      </c>
    </row>
    <row r="594">
      <c r="A594">
        <f>SUBSTITUTE(SUBSTITUTE(SUBSTITUTE(SUBSTITUTE(TRIM(INDEX(Реестр!$B:$B,ROW())),CHAR(160),""),CHAR(9),""),CHAR(10),""),CHAR(13),"")</f>
        <v/>
      </c>
      <c r="B594">
        <f>SUBSTITUTE(SUBSTITUTE(SUBSTITUTE(SUBSTITUTE(SUBSTITUTE(SUBSTITUTE(SUBSTITUTE(TRIM(INDEX(Реестр!$D:$D, ROW())), "-", ""), " ", ""), CHAR(160), ""), CHAR(9), ""), CHAR(10), ""), CHAR(13), ""), CHAR(32), "")</f>
        <v/>
      </c>
      <c r="C594">
        <f>INDEX(Реестр!$H:$H, ROW())</f>
        <v/>
      </c>
      <c r="D594">
        <f>IF(OR(ISBLANK(INDEX(Реестр!$B:$B, ROW())), INDEX(Реестр!$B:$B, ROW())=""), " ", IF(IFERROR(ISNUMBER(--A594),FALSE), IF(LEN(A594)=10, IF(MOD(MOD(H594,11),10)=--RIGHT(A594,1), "OK", "ОШИБКА"), IF(LEN(A594)=12, IF(AND(MOD(MOD(H594,11),10)=--MID(A594,11,1), MOD(MOD(I594,11),10)=--RIGHT(A594,1)), "OK", "ОШИБКА"), "ДЛИНА (10 или 12)")), "НЕ ЦИФРЫ"))</f>
        <v/>
      </c>
      <c r="E594">
        <f>MID(B594,1,1)*9+MID(B594,2,1)*8+MID(B594,3,1)*7+MID(B594,4,1)*6+MID(B594,5,1)*5+MID(B594,6,1)*4+MID(B594,7,1)*3+MID(B594,8,1)*2+MID(B594,9,1)</f>
        <v/>
      </c>
      <c r="F594">
        <f>IF(B594="", " ", IF(LEN(B594)&lt;&gt;11, "ДЛИНА", IF(NOT(ISNUMBER(--B594)), "НЕ ЦИФРЫ", IF(LEFT(B594,9)*1&lt;=1001998, "OK", IF(RIGHT(B594,2)*1=IF(MOD(E594,101)&gt;=100,0,MOD(E594,101)),"OK","ОШИБКА")))))</f>
        <v/>
      </c>
      <c r="G5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4">
        <f>IF(LEN(TRIM(A594))=10, --MID(A594,1,1)*2+--MID(A594,2,1)*4+--MID(A594,3,1)*10+--MID(A594,4,1)*3+--MID(A594,5,1)*5+--MID(A594,6,1)*9+--MID(A594,7,1)*4+--MID(A594,8,1)*6+--MID(A594,9,1)*8, IF(LEN(TRIM(A594))=12, --MID(A594,1,1)*7+--MID(A594,2,1)*2+--MID(A594,3,1)*4+--MID(A594,4,1)*10+--MID(A594,5,1)*3+--MID(A594,6,1)*5+--MID(A594,7,1)*9+--MID(A594,8,1)*4+--MID(A594,9,1)*6+--MID(A594,10,1)*8, ""))</f>
        <v/>
      </c>
      <c r="I594">
        <f>IF(LEN(TRIM(A594))=12, --MID(A594,1,1)*3+--MID(A594,2,1)*7+--MID(A594,3,1)*2+--MID(A594,4,1)*4+--MID(A594,5,1)*10+--MID(A594,6,1)*3+--MID(A594,7,1)*5+--MID(A594,8,1)*9+--MID(A594,9,1)*4+--MID(A594,10,1)*6+--MID(A594,11,1)*8, "")</f>
        <v/>
      </c>
    </row>
    <row r="595">
      <c r="A595">
        <f>SUBSTITUTE(SUBSTITUTE(SUBSTITUTE(SUBSTITUTE(TRIM(INDEX(Реестр!$B:$B,ROW())),CHAR(160),""),CHAR(9),""),CHAR(10),""),CHAR(13),"")</f>
        <v/>
      </c>
      <c r="B595">
        <f>SUBSTITUTE(SUBSTITUTE(SUBSTITUTE(SUBSTITUTE(SUBSTITUTE(SUBSTITUTE(SUBSTITUTE(TRIM(INDEX(Реестр!$D:$D, ROW())), "-", ""), " ", ""), CHAR(160), ""), CHAR(9), ""), CHAR(10), ""), CHAR(13), ""), CHAR(32), "")</f>
        <v/>
      </c>
      <c r="C595">
        <f>INDEX(Реестр!$H:$H, ROW())</f>
        <v/>
      </c>
      <c r="D595">
        <f>IF(OR(ISBLANK(INDEX(Реестр!$B:$B, ROW())), INDEX(Реестр!$B:$B, ROW())=""), " ", IF(IFERROR(ISNUMBER(--A595),FALSE), IF(LEN(A595)=10, IF(MOD(MOD(H595,11),10)=--RIGHT(A595,1), "OK", "ОШИБКА"), IF(LEN(A595)=12, IF(AND(MOD(MOD(H595,11),10)=--MID(A595,11,1), MOD(MOD(I595,11),10)=--RIGHT(A595,1)), "OK", "ОШИБКА"), "ДЛИНА (10 или 12)")), "НЕ ЦИФРЫ"))</f>
        <v/>
      </c>
      <c r="E595">
        <f>MID(B595,1,1)*9+MID(B595,2,1)*8+MID(B595,3,1)*7+MID(B595,4,1)*6+MID(B595,5,1)*5+MID(B595,6,1)*4+MID(B595,7,1)*3+MID(B595,8,1)*2+MID(B595,9,1)</f>
        <v/>
      </c>
      <c r="F595">
        <f>IF(B595="", " ", IF(LEN(B595)&lt;&gt;11, "ДЛИНА", IF(NOT(ISNUMBER(--B595)), "НЕ ЦИФРЫ", IF(LEFT(B595,9)*1&lt;=1001998, "OK", IF(RIGHT(B595,2)*1=IF(MOD(E595,101)&gt;=100,0,MOD(E595,101)),"OK","ОШИБКА")))))</f>
        <v/>
      </c>
      <c r="G5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5">
        <f>IF(LEN(TRIM(A595))=10, --MID(A595,1,1)*2+--MID(A595,2,1)*4+--MID(A595,3,1)*10+--MID(A595,4,1)*3+--MID(A595,5,1)*5+--MID(A595,6,1)*9+--MID(A595,7,1)*4+--MID(A595,8,1)*6+--MID(A595,9,1)*8, IF(LEN(TRIM(A595))=12, --MID(A595,1,1)*7+--MID(A595,2,1)*2+--MID(A595,3,1)*4+--MID(A595,4,1)*10+--MID(A595,5,1)*3+--MID(A595,6,1)*5+--MID(A595,7,1)*9+--MID(A595,8,1)*4+--MID(A595,9,1)*6+--MID(A595,10,1)*8, ""))</f>
        <v/>
      </c>
      <c r="I595">
        <f>IF(LEN(TRIM(A595))=12, --MID(A595,1,1)*3+--MID(A595,2,1)*7+--MID(A595,3,1)*2+--MID(A595,4,1)*4+--MID(A595,5,1)*10+--MID(A595,6,1)*3+--MID(A595,7,1)*5+--MID(A595,8,1)*9+--MID(A595,9,1)*4+--MID(A595,10,1)*6+--MID(A595,11,1)*8, "")</f>
        <v/>
      </c>
    </row>
    <row r="596">
      <c r="A596">
        <f>SUBSTITUTE(SUBSTITUTE(SUBSTITUTE(SUBSTITUTE(TRIM(INDEX(Реестр!$B:$B,ROW())),CHAR(160),""),CHAR(9),""),CHAR(10),""),CHAR(13),"")</f>
        <v/>
      </c>
      <c r="B596">
        <f>SUBSTITUTE(SUBSTITUTE(SUBSTITUTE(SUBSTITUTE(SUBSTITUTE(SUBSTITUTE(SUBSTITUTE(TRIM(INDEX(Реестр!$D:$D, ROW())), "-", ""), " ", ""), CHAR(160), ""), CHAR(9), ""), CHAR(10), ""), CHAR(13), ""), CHAR(32), "")</f>
        <v/>
      </c>
      <c r="C596">
        <f>INDEX(Реестр!$H:$H, ROW())</f>
        <v/>
      </c>
      <c r="D596">
        <f>IF(OR(ISBLANK(INDEX(Реестр!$B:$B, ROW())), INDEX(Реестр!$B:$B, ROW())=""), " ", IF(IFERROR(ISNUMBER(--A596),FALSE), IF(LEN(A596)=10, IF(MOD(MOD(H596,11),10)=--RIGHT(A596,1), "OK", "ОШИБКА"), IF(LEN(A596)=12, IF(AND(MOD(MOD(H596,11),10)=--MID(A596,11,1), MOD(MOD(I596,11),10)=--RIGHT(A596,1)), "OK", "ОШИБКА"), "ДЛИНА (10 или 12)")), "НЕ ЦИФРЫ"))</f>
        <v/>
      </c>
      <c r="E596">
        <f>MID(B596,1,1)*9+MID(B596,2,1)*8+MID(B596,3,1)*7+MID(B596,4,1)*6+MID(B596,5,1)*5+MID(B596,6,1)*4+MID(B596,7,1)*3+MID(B596,8,1)*2+MID(B596,9,1)</f>
        <v/>
      </c>
      <c r="F596">
        <f>IF(B596="", " ", IF(LEN(B596)&lt;&gt;11, "ДЛИНА", IF(NOT(ISNUMBER(--B596)), "НЕ ЦИФРЫ", IF(LEFT(B596,9)*1&lt;=1001998, "OK", IF(RIGHT(B596,2)*1=IF(MOD(E596,101)&gt;=100,0,MOD(E596,101)),"OK","ОШИБКА")))))</f>
        <v/>
      </c>
      <c r="G5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6">
        <f>IF(LEN(TRIM(A596))=10, --MID(A596,1,1)*2+--MID(A596,2,1)*4+--MID(A596,3,1)*10+--MID(A596,4,1)*3+--MID(A596,5,1)*5+--MID(A596,6,1)*9+--MID(A596,7,1)*4+--MID(A596,8,1)*6+--MID(A596,9,1)*8, IF(LEN(TRIM(A596))=12, --MID(A596,1,1)*7+--MID(A596,2,1)*2+--MID(A596,3,1)*4+--MID(A596,4,1)*10+--MID(A596,5,1)*3+--MID(A596,6,1)*5+--MID(A596,7,1)*9+--MID(A596,8,1)*4+--MID(A596,9,1)*6+--MID(A596,10,1)*8, ""))</f>
        <v/>
      </c>
      <c r="I596">
        <f>IF(LEN(TRIM(A596))=12, --MID(A596,1,1)*3+--MID(A596,2,1)*7+--MID(A596,3,1)*2+--MID(A596,4,1)*4+--MID(A596,5,1)*10+--MID(A596,6,1)*3+--MID(A596,7,1)*5+--MID(A596,8,1)*9+--MID(A596,9,1)*4+--MID(A596,10,1)*6+--MID(A596,11,1)*8, "")</f>
        <v/>
      </c>
    </row>
    <row r="597">
      <c r="A597">
        <f>SUBSTITUTE(SUBSTITUTE(SUBSTITUTE(SUBSTITUTE(TRIM(INDEX(Реестр!$B:$B,ROW())),CHAR(160),""),CHAR(9),""),CHAR(10),""),CHAR(13),"")</f>
        <v/>
      </c>
      <c r="B597">
        <f>SUBSTITUTE(SUBSTITUTE(SUBSTITUTE(SUBSTITUTE(SUBSTITUTE(SUBSTITUTE(SUBSTITUTE(TRIM(INDEX(Реестр!$D:$D, ROW())), "-", ""), " ", ""), CHAR(160), ""), CHAR(9), ""), CHAR(10), ""), CHAR(13), ""), CHAR(32), "")</f>
        <v/>
      </c>
      <c r="C597">
        <f>INDEX(Реестр!$H:$H, ROW())</f>
        <v/>
      </c>
      <c r="D597">
        <f>IF(OR(ISBLANK(INDEX(Реестр!$B:$B, ROW())), INDEX(Реестр!$B:$B, ROW())=""), " ", IF(IFERROR(ISNUMBER(--A597),FALSE), IF(LEN(A597)=10, IF(MOD(MOD(H597,11),10)=--RIGHT(A597,1), "OK", "ОШИБКА"), IF(LEN(A597)=12, IF(AND(MOD(MOD(H597,11),10)=--MID(A597,11,1), MOD(MOD(I597,11),10)=--RIGHT(A597,1)), "OK", "ОШИБКА"), "ДЛИНА (10 или 12)")), "НЕ ЦИФРЫ"))</f>
        <v/>
      </c>
      <c r="E597">
        <f>MID(B597,1,1)*9+MID(B597,2,1)*8+MID(B597,3,1)*7+MID(B597,4,1)*6+MID(B597,5,1)*5+MID(B597,6,1)*4+MID(B597,7,1)*3+MID(B597,8,1)*2+MID(B597,9,1)</f>
        <v/>
      </c>
      <c r="F597">
        <f>IF(B597="", " ", IF(LEN(B597)&lt;&gt;11, "ДЛИНА", IF(NOT(ISNUMBER(--B597)), "НЕ ЦИФРЫ", IF(LEFT(B597,9)*1&lt;=1001998, "OK", IF(RIGHT(B597,2)*1=IF(MOD(E597,101)&gt;=100,0,MOD(E597,101)),"OK","ОШИБКА")))))</f>
        <v/>
      </c>
      <c r="G5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7">
        <f>IF(LEN(TRIM(A597))=10, --MID(A597,1,1)*2+--MID(A597,2,1)*4+--MID(A597,3,1)*10+--MID(A597,4,1)*3+--MID(A597,5,1)*5+--MID(A597,6,1)*9+--MID(A597,7,1)*4+--MID(A597,8,1)*6+--MID(A597,9,1)*8, IF(LEN(TRIM(A597))=12, --MID(A597,1,1)*7+--MID(A597,2,1)*2+--MID(A597,3,1)*4+--MID(A597,4,1)*10+--MID(A597,5,1)*3+--MID(A597,6,1)*5+--MID(A597,7,1)*9+--MID(A597,8,1)*4+--MID(A597,9,1)*6+--MID(A597,10,1)*8, ""))</f>
        <v/>
      </c>
      <c r="I597">
        <f>IF(LEN(TRIM(A597))=12, --MID(A597,1,1)*3+--MID(A597,2,1)*7+--MID(A597,3,1)*2+--MID(A597,4,1)*4+--MID(A597,5,1)*10+--MID(A597,6,1)*3+--MID(A597,7,1)*5+--MID(A597,8,1)*9+--MID(A597,9,1)*4+--MID(A597,10,1)*6+--MID(A597,11,1)*8, "")</f>
        <v/>
      </c>
    </row>
    <row r="598">
      <c r="A598">
        <f>SUBSTITUTE(SUBSTITUTE(SUBSTITUTE(SUBSTITUTE(TRIM(INDEX(Реестр!$B:$B,ROW())),CHAR(160),""),CHAR(9),""),CHAR(10),""),CHAR(13),"")</f>
        <v/>
      </c>
      <c r="B598">
        <f>SUBSTITUTE(SUBSTITUTE(SUBSTITUTE(SUBSTITUTE(SUBSTITUTE(SUBSTITUTE(SUBSTITUTE(TRIM(INDEX(Реестр!$D:$D, ROW())), "-", ""), " ", ""), CHAR(160), ""), CHAR(9), ""), CHAR(10), ""), CHAR(13), ""), CHAR(32), "")</f>
        <v/>
      </c>
      <c r="C598">
        <f>INDEX(Реестр!$H:$H, ROW())</f>
        <v/>
      </c>
      <c r="D598">
        <f>IF(OR(ISBLANK(INDEX(Реестр!$B:$B, ROW())), INDEX(Реестр!$B:$B, ROW())=""), " ", IF(IFERROR(ISNUMBER(--A598),FALSE), IF(LEN(A598)=10, IF(MOD(MOD(H598,11),10)=--RIGHT(A598,1), "OK", "ОШИБКА"), IF(LEN(A598)=12, IF(AND(MOD(MOD(H598,11),10)=--MID(A598,11,1), MOD(MOD(I598,11),10)=--RIGHT(A598,1)), "OK", "ОШИБКА"), "ДЛИНА (10 или 12)")), "НЕ ЦИФРЫ"))</f>
        <v/>
      </c>
      <c r="E598">
        <f>MID(B598,1,1)*9+MID(B598,2,1)*8+MID(B598,3,1)*7+MID(B598,4,1)*6+MID(B598,5,1)*5+MID(B598,6,1)*4+MID(B598,7,1)*3+MID(B598,8,1)*2+MID(B598,9,1)</f>
        <v/>
      </c>
      <c r="F598">
        <f>IF(B598="", " ", IF(LEN(B598)&lt;&gt;11, "ДЛИНА", IF(NOT(ISNUMBER(--B598)), "НЕ ЦИФРЫ", IF(LEFT(B598,9)*1&lt;=1001998, "OK", IF(RIGHT(B598,2)*1=IF(MOD(E598,101)&gt;=100,0,MOD(E598,101)),"OK","ОШИБКА")))))</f>
        <v/>
      </c>
      <c r="G5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8">
        <f>IF(LEN(TRIM(A598))=10, --MID(A598,1,1)*2+--MID(A598,2,1)*4+--MID(A598,3,1)*10+--MID(A598,4,1)*3+--MID(A598,5,1)*5+--MID(A598,6,1)*9+--MID(A598,7,1)*4+--MID(A598,8,1)*6+--MID(A598,9,1)*8, IF(LEN(TRIM(A598))=12, --MID(A598,1,1)*7+--MID(A598,2,1)*2+--MID(A598,3,1)*4+--MID(A598,4,1)*10+--MID(A598,5,1)*3+--MID(A598,6,1)*5+--MID(A598,7,1)*9+--MID(A598,8,1)*4+--MID(A598,9,1)*6+--MID(A598,10,1)*8, ""))</f>
        <v/>
      </c>
      <c r="I598">
        <f>IF(LEN(TRIM(A598))=12, --MID(A598,1,1)*3+--MID(A598,2,1)*7+--MID(A598,3,1)*2+--MID(A598,4,1)*4+--MID(A598,5,1)*10+--MID(A598,6,1)*3+--MID(A598,7,1)*5+--MID(A598,8,1)*9+--MID(A598,9,1)*4+--MID(A598,10,1)*6+--MID(A598,11,1)*8, "")</f>
        <v/>
      </c>
    </row>
    <row r="599">
      <c r="A599">
        <f>SUBSTITUTE(SUBSTITUTE(SUBSTITUTE(SUBSTITUTE(TRIM(INDEX(Реестр!$B:$B,ROW())),CHAR(160),""),CHAR(9),""),CHAR(10),""),CHAR(13),"")</f>
        <v/>
      </c>
      <c r="B599">
        <f>SUBSTITUTE(SUBSTITUTE(SUBSTITUTE(SUBSTITUTE(SUBSTITUTE(SUBSTITUTE(SUBSTITUTE(TRIM(INDEX(Реестр!$D:$D, ROW())), "-", ""), " ", ""), CHAR(160), ""), CHAR(9), ""), CHAR(10), ""), CHAR(13), ""), CHAR(32), "")</f>
        <v/>
      </c>
      <c r="C599">
        <f>INDEX(Реестр!$H:$H, ROW())</f>
        <v/>
      </c>
      <c r="D599">
        <f>IF(OR(ISBLANK(INDEX(Реестр!$B:$B, ROW())), INDEX(Реестр!$B:$B, ROW())=""), " ", IF(IFERROR(ISNUMBER(--A599),FALSE), IF(LEN(A599)=10, IF(MOD(MOD(H599,11),10)=--RIGHT(A599,1), "OK", "ОШИБКА"), IF(LEN(A599)=12, IF(AND(MOD(MOD(H599,11),10)=--MID(A599,11,1), MOD(MOD(I599,11),10)=--RIGHT(A599,1)), "OK", "ОШИБКА"), "ДЛИНА (10 или 12)")), "НЕ ЦИФРЫ"))</f>
        <v/>
      </c>
      <c r="E599">
        <f>MID(B599,1,1)*9+MID(B599,2,1)*8+MID(B599,3,1)*7+MID(B599,4,1)*6+MID(B599,5,1)*5+MID(B599,6,1)*4+MID(B599,7,1)*3+MID(B599,8,1)*2+MID(B599,9,1)</f>
        <v/>
      </c>
      <c r="F599">
        <f>IF(B599="", " ", IF(LEN(B599)&lt;&gt;11, "ДЛИНА", IF(NOT(ISNUMBER(--B599)), "НЕ ЦИФРЫ", IF(LEFT(B599,9)*1&lt;=1001998, "OK", IF(RIGHT(B599,2)*1=IF(MOD(E599,101)&gt;=100,0,MOD(E599,101)),"OK","ОШИБКА")))))</f>
        <v/>
      </c>
      <c r="G5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599">
        <f>IF(LEN(TRIM(A599))=10, --MID(A599,1,1)*2+--MID(A599,2,1)*4+--MID(A599,3,1)*10+--MID(A599,4,1)*3+--MID(A599,5,1)*5+--MID(A599,6,1)*9+--MID(A599,7,1)*4+--MID(A599,8,1)*6+--MID(A599,9,1)*8, IF(LEN(TRIM(A599))=12, --MID(A599,1,1)*7+--MID(A599,2,1)*2+--MID(A599,3,1)*4+--MID(A599,4,1)*10+--MID(A599,5,1)*3+--MID(A599,6,1)*5+--MID(A599,7,1)*9+--MID(A599,8,1)*4+--MID(A599,9,1)*6+--MID(A599,10,1)*8, ""))</f>
        <v/>
      </c>
      <c r="I599">
        <f>IF(LEN(TRIM(A599))=12, --MID(A599,1,1)*3+--MID(A599,2,1)*7+--MID(A599,3,1)*2+--MID(A599,4,1)*4+--MID(A599,5,1)*10+--MID(A599,6,1)*3+--MID(A599,7,1)*5+--MID(A599,8,1)*9+--MID(A599,9,1)*4+--MID(A599,10,1)*6+--MID(A599,11,1)*8, "")</f>
        <v/>
      </c>
    </row>
    <row r="600">
      <c r="A600">
        <f>SUBSTITUTE(SUBSTITUTE(SUBSTITUTE(SUBSTITUTE(TRIM(INDEX(Реестр!$B:$B,ROW())),CHAR(160),""),CHAR(9),""),CHAR(10),""),CHAR(13),"")</f>
        <v/>
      </c>
      <c r="B600">
        <f>SUBSTITUTE(SUBSTITUTE(SUBSTITUTE(SUBSTITUTE(SUBSTITUTE(SUBSTITUTE(SUBSTITUTE(TRIM(INDEX(Реестр!$D:$D, ROW())), "-", ""), " ", ""), CHAR(160), ""), CHAR(9), ""), CHAR(10), ""), CHAR(13), ""), CHAR(32), "")</f>
        <v/>
      </c>
      <c r="C600">
        <f>INDEX(Реестр!$H:$H, ROW())</f>
        <v/>
      </c>
      <c r="D600">
        <f>IF(OR(ISBLANK(INDEX(Реестр!$B:$B, ROW())), INDEX(Реестр!$B:$B, ROW())=""), " ", IF(IFERROR(ISNUMBER(--A600),FALSE), IF(LEN(A600)=10, IF(MOD(MOD(H600,11),10)=--RIGHT(A600,1), "OK", "ОШИБКА"), IF(LEN(A600)=12, IF(AND(MOD(MOD(H600,11),10)=--MID(A600,11,1), MOD(MOD(I600,11),10)=--RIGHT(A600,1)), "OK", "ОШИБКА"), "ДЛИНА (10 или 12)")), "НЕ ЦИФРЫ"))</f>
        <v/>
      </c>
      <c r="E600">
        <f>MID(B600,1,1)*9+MID(B600,2,1)*8+MID(B600,3,1)*7+MID(B600,4,1)*6+MID(B600,5,1)*5+MID(B600,6,1)*4+MID(B600,7,1)*3+MID(B600,8,1)*2+MID(B600,9,1)</f>
        <v/>
      </c>
      <c r="F600">
        <f>IF(B600="", " ", IF(LEN(B600)&lt;&gt;11, "ДЛИНА", IF(NOT(ISNUMBER(--B600)), "НЕ ЦИФРЫ", IF(LEFT(B600,9)*1&lt;=1001998, "OK", IF(RIGHT(B600,2)*1=IF(MOD(E600,101)&gt;=100,0,MOD(E600,101)),"OK","ОШИБКА")))))</f>
        <v/>
      </c>
      <c r="G6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0">
        <f>IF(LEN(TRIM(A600))=10, --MID(A600,1,1)*2+--MID(A600,2,1)*4+--MID(A600,3,1)*10+--MID(A600,4,1)*3+--MID(A600,5,1)*5+--MID(A600,6,1)*9+--MID(A600,7,1)*4+--MID(A600,8,1)*6+--MID(A600,9,1)*8, IF(LEN(TRIM(A600))=12, --MID(A600,1,1)*7+--MID(A600,2,1)*2+--MID(A600,3,1)*4+--MID(A600,4,1)*10+--MID(A600,5,1)*3+--MID(A600,6,1)*5+--MID(A600,7,1)*9+--MID(A600,8,1)*4+--MID(A600,9,1)*6+--MID(A600,10,1)*8, ""))</f>
        <v/>
      </c>
      <c r="I600">
        <f>IF(LEN(TRIM(A600))=12, --MID(A600,1,1)*3+--MID(A600,2,1)*7+--MID(A600,3,1)*2+--MID(A600,4,1)*4+--MID(A600,5,1)*10+--MID(A600,6,1)*3+--MID(A600,7,1)*5+--MID(A600,8,1)*9+--MID(A600,9,1)*4+--MID(A600,10,1)*6+--MID(A600,11,1)*8, "")</f>
        <v/>
      </c>
    </row>
    <row r="601">
      <c r="A601">
        <f>SUBSTITUTE(SUBSTITUTE(SUBSTITUTE(SUBSTITUTE(TRIM(INDEX(Реестр!$B:$B,ROW())),CHAR(160),""),CHAR(9),""),CHAR(10),""),CHAR(13),"")</f>
        <v/>
      </c>
      <c r="B601">
        <f>SUBSTITUTE(SUBSTITUTE(SUBSTITUTE(SUBSTITUTE(SUBSTITUTE(SUBSTITUTE(SUBSTITUTE(TRIM(INDEX(Реестр!$D:$D, ROW())), "-", ""), " ", ""), CHAR(160), ""), CHAR(9), ""), CHAR(10), ""), CHAR(13), ""), CHAR(32), "")</f>
        <v/>
      </c>
      <c r="C601">
        <f>INDEX(Реестр!$H:$H, ROW())</f>
        <v/>
      </c>
      <c r="D601">
        <f>IF(OR(ISBLANK(INDEX(Реестр!$B:$B, ROW())), INDEX(Реестр!$B:$B, ROW())=""), " ", IF(IFERROR(ISNUMBER(--A601),FALSE), IF(LEN(A601)=10, IF(MOD(MOD(H601,11),10)=--RIGHT(A601,1), "OK", "ОШИБКА"), IF(LEN(A601)=12, IF(AND(MOD(MOD(H601,11),10)=--MID(A601,11,1), MOD(MOD(I601,11),10)=--RIGHT(A601,1)), "OK", "ОШИБКА"), "ДЛИНА (10 или 12)")), "НЕ ЦИФРЫ"))</f>
        <v/>
      </c>
      <c r="E601">
        <f>MID(B601,1,1)*9+MID(B601,2,1)*8+MID(B601,3,1)*7+MID(B601,4,1)*6+MID(B601,5,1)*5+MID(B601,6,1)*4+MID(B601,7,1)*3+MID(B601,8,1)*2+MID(B601,9,1)</f>
        <v/>
      </c>
      <c r="F601">
        <f>IF(B601="", " ", IF(LEN(B601)&lt;&gt;11, "ДЛИНА", IF(NOT(ISNUMBER(--B601)), "НЕ ЦИФРЫ", IF(LEFT(B601,9)*1&lt;=1001998, "OK", IF(RIGHT(B601,2)*1=IF(MOD(E601,101)&gt;=100,0,MOD(E601,101)),"OK","ОШИБКА")))))</f>
        <v/>
      </c>
      <c r="G6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1">
        <f>IF(LEN(TRIM(A601))=10, --MID(A601,1,1)*2+--MID(A601,2,1)*4+--MID(A601,3,1)*10+--MID(A601,4,1)*3+--MID(A601,5,1)*5+--MID(A601,6,1)*9+--MID(A601,7,1)*4+--MID(A601,8,1)*6+--MID(A601,9,1)*8, IF(LEN(TRIM(A601))=12, --MID(A601,1,1)*7+--MID(A601,2,1)*2+--MID(A601,3,1)*4+--MID(A601,4,1)*10+--MID(A601,5,1)*3+--MID(A601,6,1)*5+--MID(A601,7,1)*9+--MID(A601,8,1)*4+--MID(A601,9,1)*6+--MID(A601,10,1)*8, ""))</f>
        <v/>
      </c>
      <c r="I601">
        <f>IF(LEN(TRIM(A601))=12, --MID(A601,1,1)*3+--MID(A601,2,1)*7+--MID(A601,3,1)*2+--MID(A601,4,1)*4+--MID(A601,5,1)*10+--MID(A601,6,1)*3+--MID(A601,7,1)*5+--MID(A601,8,1)*9+--MID(A601,9,1)*4+--MID(A601,10,1)*6+--MID(A601,11,1)*8, "")</f>
        <v/>
      </c>
    </row>
    <row r="602">
      <c r="A602">
        <f>SUBSTITUTE(SUBSTITUTE(SUBSTITUTE(SUBSTITUTE(TRIM(INDEX(Реестр!$B:$B,ROW())),CHAR(160),""),CHAR(9),""),CHAR(10),""),CHAR(13),"")</f>
        <v/>
      </c>
      <c r="B602">
        <f>SUBSTITUTE(SUBSTITUTE(SUBSTITUTE(SUBSTITUTE(SUBSTITUTE(SUBSTITUTE(SUBSTITUTE(TRIM(INDEX(Реестр!$D:$D, ROW())), "-", ""), " ", ""), CHAR(160), ""), CHAR(9), ""), CHAR(10), ""), CHAR(13), ""), CHAR(32), "")</f>
        <v/>
      </c>
      <c r="C602">
        <f>INDEX(Реестр!$H:$H, ROW())</f>
        <v/>
      </c>
      <c r="D602">
        <f>IF(OR(ISBLANK(INDEX(Реестр!$B:$B, ROW())), INDEX(Реестр!$B:$B, ROW())=""), " ", IF(IFERROR(ISNUMBER(--A602),FALSE), IF(LEN(A602)=10, IF(MOD(MOD(H602,11),10)=--RIGHT(A602,1), "OK", "ОШИБКА"), IF(LEN(A602)=12, IF(AND(MOD(MOD(H602,11),10)=--MID(A602,11,1), MOD(MOD(I602,11),10)=--RIGHT(A602,1)), "OK", "ОШИБКА"), "ДЛИНА (10 или 12)")), "НЕ ЦИФРЫ"))</f>
        <v/>
      </c>
      <c r="E602">
        <f>MID(B602,1,1)*9+MID(B602,2,1)*8+MID(B602,3,1)*7+MID(B602,4,1)*6+MID(B602,5,1)*5+MID(B602,6,1)*4+MID(B602,7,1)*3+MID(B602,8,1)*2+MID(B602,9,1)</f>
        <v/>
      </c>
      <c r="F602">
        <f>IF(B602="", " ", IF(LEN(B602)&lt;&gt;11, "ДЛИНА", IF(NOT(ISNUMBER(--B602)), "НЕ ЦИФРЫ", IF(LEFT(B602,9)*1&lt;=1001998, "OK", IF(RIGHT(B602,2)*1=IF(MOD(E602,101)&gt;=100,0,MOD(E602,101)),"OK","ОШИБКА")))))</f>
        <v/>
      </c>
      <c r="G6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2">
        <f>IF(LEN(TRIM(A602))=10, --MID(A602,1,1)*2+--MID(A602,2,1)*4+--MID(A602,3,1)*10+--MID(A602,4,1)*3+--MID(A602,5,1)*5+--MID(A602,6,1)*9+--MID(A602,7,1)*4+--MID(A602,8,1)*6+--MID(A602,9,1)*8, IF(LEN(TRIM(A602))=12, --MID(A602,1,1)*7+--MID(A602,2,1)*2+--MID(A602,3,1)*4+--MID(A602,4,1)*10+--MID(A602,5,1)*3+--MID(A602,6,1)*5+--MID(A602,7,1)*9+--MID(A602,8,1)*4+--MID(A602,9,1)*6+--MID(A602,10,1)*8, ""))</f>
        <v/>
      </c>
      <c r="I602">
        <f>IF(LEN(TRIM(A602))=12, --MID(A602,1,1)*3+--MID(A602,2,1)*7+--MID(A602,3,1)*2+--MID(A602,4,1)*4+--MID(A602,5,1)*10+--MID(A602,6,1)*3+--MID(A602,7,1)*5+--MID(A602,8,1)*9+--MID(A602,9,1)*4+--MID(A602,10,1)*6+--MID(A602,11,1)*8, "")</f>
        <v/>
      </c>
    </row>
    <row r="603">
      <c r="A603">
        <f>SUBSTITUTE(SUBSTITUTE(SUBSTITUTE(SUBSTITUTE(TRIM(INDEX(Реестр!$B:$B,ROW())),CHAR(160),""),CHAR(9),""),CHAR(10),""),CHAR(13),"")</f>
        <v/>
      </c>
      <c r="B603">
        <f>SUBSTITUTE(SUBSTITUTE(SUBSTITUTE(SUBSTITUTE(SUBSTITUTE(SUBSTITUTE(SUBSTITUTE(TRIM(INDEX(Реестр!$D:$D, ROW())), "-", ""), " ", ""), CHAR(160), ""), CHAR(9), ""), CHAR(10), ""), CHAR(13), ""), CHAR(32), "")</f>
        <v/>
      </c>
      <c r="C603">
        <f>INDEX(Реестр!$H:$H, ROW())</f>
        <v/>
      </c>
      <c r="D603">
        <f>IF(OR(ISBLANK(INDEX(Реестр!$B:$B, ROW())), INDEX(Реестр!$B:$B, ROW())=""), " ", IF(IFERROR(ISNUMBER(--A603),FALSE), IF(LEN(A603)=10, IF(MOD(MOD(H603,11),10)=--RIGHT(A603,1), "OK", "ОШИБКА"), IF(LEN(A603)=12, IF(AND(MOD(MOD(H603,11),10)=--MID(A603,11,1), MOD(MOD(I603,11),10)=--RIGHT(A603,1)), "OK", "ОШИБКА"), "ДЛИНА (10 или 12)")), "НЕ ЦИФРЫ"))</f>
        <v/>
      </c>
      <c r="E603">
        <f>MID(B603,1,1)*9+MID(B603,2,1)*8+MID(B603,3,1)*7+MID(B603,4,1)*6+MID(B603,5,1)*5+MID(B603,6,1)*4+MID(B603,7,1)*3+MID(B603,8,1)*2+MID(B603,9,1)</f>
        <v/>
      </c>
      <c r="F603">
        <f>IF(B603="", " ", IF(LEN(B603)&lt;&gt;11, "ДЛИНА", IF(NOT(ISNUMBER(--B603)), "НЕ ЦИФРЫ", IF(LEFT(B603,9)*1&lt;=1001998, "OK", IF(RIGHT(B603,2)*1=IF(MOD(E603,101)&gt;=100,0,MOD(E603,101)),"OK","ОШИБКА")))))</f>
        <v/>
      </c>
      <c r="G6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3">
        <f>IF(LEN(TRIM(A603))=10, --MID(A603,1,1)*2+--MID(A603,2,1)*4+--MID(A603,3,1)*10+--MID(A603,4,1)*3+--MID(A603,5,1)*5+--MID(A603,6,1)*9+--MID(A603,7,1)*4+--MID(A603,8,1)*6+--MID(A603,9,1)*8, IF(LEN(TRIM(A603))=12, --MID(A603,1,1)*7+--MID(A603,2,1)*2+--MID(A603,3,1)*4+--MID(A603,4,1)*10+--MID(A603,5,1)*3+--MID(A603,6,1)*5+--MID(A603,7,1)*9+--MID(A603,8,1)*4+--MID(A603,9,1)*6+--MID(A603,10,1)*8, ""))</f>
        <v/>
      </c>
      <c r="I603">
        <f>IF(LEN(TRIM(A603))=12, --MID(A603,1,1)*3+--MID(A603,2,1)*7+--MID(A603,3,1)*2+--MID(A603,4,1)*4+--MID(A603,5,1)*10+--MID(A603,6,1)*3+--MID(A603,7,1)*5+--MID(A603,8,1)*9+--MID(A603,9,1)*4+--MID(A603,10,1)*6+--MID(A603,11,1)*8, "")</f>
        <v/>
      </c>
    </row>
    <row r="604">
      <c r="A604">
        <f>SUBSTITUTE(SUBSTITUTE(SUBSTITUTE(SUBSTITUTE(TRIM(INDEX(Реестр!$B:$B,ROW())),CHAR(160),""),CHAR(9),""),CHAR(10),""),CHAR(13),"")</f>
        <v/>
      </c>
      <c r="B604">
        <f>SUBSTITUTE(SUBSTITUTE(SUBSTITUTE(SUBSTITUTE(SUBSTITUTE(SUBSTITUTE(SUBSTITUTE(TRIM(INDEX(Реестр!$D:$D, ROW())), "-", ""), " ", ""), CHAR(160), ""), CHAR(9), ""), CHAR(10), ""), CHAR(13), ""), CHAR(32), "")</f>
        <v/>
      </c>
      <c r="C604">
        <f>INDEX(Реестр!$H:$H, ROW())</f>
        <v/>
      </c>
      <c r="D604">
        <f>IF(OR(ISBLANK(INDEX(Реестр!$B:$B, ROW())), INDEX(Реестр!$B:$B, ROW())=""), " ", IF(IFERROR(ISNUMBER(--A604),FALSE), IF(LEN(A604)=10, IF(MOD(MOD(H604,11),10)=--RIGHT(A604,1), "OK", "ОШИБКА"), IF(LEN(A604)=12, IF(AND(MOD(MOD(H604,11),10)=--MID(A604,11,1), MOD(MOD(I604,11),10)=--RIGHT(A604,1)), "OK", "ОШИБКА"), "ДЛИНА (10 или 12)")), "НЕ ЦИФРЫ"))</f>
        <v/>
      </c>
      <c r="E604">
        <f>MID(B604,1,1)*9+MID(B604,2,1)*8+MID(B604,3,1)*7+MID(B604,4,1)*6+MID(B604,5,1)*5+MID(B604,6,1)*4+MID(B604,7,1)*3+MID(B604,8,1)*2+MID(B604,9,1)</f>
        <v/>
      </c>
      <c r="F604">
        <f>IF(B604="", " ", IF(LEN(B604)&lt;&gt;11, "ДЛИНА", IF(NOT(ISNUMBER(--B604)), "НЕ ЦИФРЫ", IF(LEFT(B604,9)*1&lt;=1001998, "OK", IF(RIGHT(B604,2)*1=IF(MOD(E604,101)&gt;=100,0,MOD(E604,101)),"OK","ОШИБКА")))))</f>
        <v/>
      </c>
      <c r="G6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4">
        <f>IF(LEN(TRIM(A604))=10, --MID(A604,1,1)*2+--MID(A604,2,1)*4+--MID(A604,3,1)*10+--MID(A604,4,1)*3+--MID(A604,5,1)*5+--MID(A604,6,1)*9+--MID(A604,7,1)*4+--MID(A604,8,1)*6+--MID(A604,9,1)*8, IF(LEN(TRIM(A604))=12, --MID(A604,1,1)*7+--MID(A604,2,1)*2+--MID(A604,3,1)*4+--MID(A604,4,1)*10+--MID(A604,5,1)*3+--MID(A604,6,1)*5+--MID(A604,7,1)*9+--MID(A604,8,1)*4+--MID(A604,9,1)*6+--MID(A604,10,1)*8, ""))</f>
        <v/>
      </c>
      <c r="I604">
        <f>IF(LEN(TRIM(A604))=12, --MID(A604,1,1)*3+--MID(A604,2,1)*7+--MID(A604,3,1)*2+--MID(A604,4,1)*4+--MID(A604,5,1)*10+--MID(A604,6,1)*3+--MID(A604,7,1)*5+--MID(A604,8,1)*9+--MID(A604,9,1)*4+--MID(A604,10,1)*6+--MID(A604,11,1)*8, "")</f>
        <v/>
      </c>
    </row>
    <row r="605">
      <c r="A605">
        <f>SUBSTITUTE(SUBSTITUTE(SUBSTITUTE(SUBSTITUTE(TRIM(INDEX(Реестр!$B:$B,ROW())),CHAR(160),""),CHAR(9),""),CHAR(10),""),CHAR(13),"")</f>
        <v/>
      </c>
      <c r="B605">
        <f>SUBSTITUTE(SUBSTITUTE(SUBSTITUTE(SUBSTITUTE(SUBSTITUTE(SUBSTITUTE(SUBSTITUTE(TRIM(INDEX(Реестр!$D:$D, ROW())), "-", ""), " ", ""), CHAR(160), ""), CHAR(9), ""), CHAR(10), ""), CHAR(13), ""), CHAR(32), "")</f>
        <v/>
      </c>
      <c r="C605">
        <f>INDEX(Реестр!$H:$H, ROW())</f>
        <v/>
      </c>
      <c r="D605">
        <f>IF(OR(ISBLANK(INDEX(Реестр!$B:$B, ROW())), INDEX(Реестр!$B:$B, ROW())=""), " ", IF(IFERROR(ISNUMBER(--A605),FALSE), IF(LEN(A605)=10, IF(MOD(MOD(H605,11),10)=--RIGHT(A605,1), "OK", "ОШИБКА"), IF(LEN(A605)=12, IF(AND(MOD(MOD(H605,11),10)=--MID(A605,11,1), MOD(MOD(I605,11),10)=--RIGHT(A605,1)), "OK", "ОШИБКА"), "ДЛИНА (10 или 12)")), "НЕ ЦИФРЫ"))</f>
        <v/>
      </c>
      <c r="E605">
        <f>MID(B605,1,1)*9+MID(B605,2,1)*8+MID(B605,3,1)*7+MID(B605,4,1)*6+MID(B605,5,1)*5+MID(B605,6,1)*4+MID(B605,7,1)*3+MID(B605,8,1)*2+MID(B605,9,1)</f>
        <v/>
      </c>
      <c r="F605">
        <f>IF(B605="", " ", IF(LEN(B605)&lt;&gt;11, "ДЛИНА", IF(NOT(ISNUMBER(--B605)), "НЕ ЦИФРЫ", IF(LEFT(B605,9)*1&lt;=1001998, "OK", IF(RIGHT(B605,2)*1=IF(MOD(E605,101)&gt;=100,0,MOD(E605,101)),"OK","ОШИБКА")))))</f>
        <v/>
      </c>
      <c r="G6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5">
        <f>IF(LEN(TRIM(A605))=10, --MID(A605,1,1)*2+--MID(A605,2,1)*4+--MID(A605,3,1)*10+--MID(A605,4,1)*3+--MID(A605,5,1)*5+--MID(A605,6,1)*9+--MID(A605,7,1)*4+--MID(A605,8,1)*6+--MID(A605,9,1)*8, IF(LEN(TRIM(A605))=12, --MID(A605,1,1)*7+--MID(A605,2,1)*2+--MID(A605,3,1)*4+--MID(A605,4,1)*10+--MID(A605,5,1)*3+--MID(A605,6,1)*5+--MID(A605,7,1)*9+--MID(A605,8,1)*4+--MID(A605,9,1)*6+--MID(A605,10,1)*8, ""))</f>
        <v/>
      </c>
      <c r="I605">
        <f>IF(LEN(TRIM(A605))=12, --MID(A605,1,1)*3+--MID(A605,2,1)*7+--MID(A605,3,1)*2+--MID(A605,4,1)*4+--MID(A605,5,1)*10+--MID(A605,6,1)*3+--MID(A605,7,1)*5+--MID(A605,8,1)*9+--MID(A605,9,1)*4+--MID(A605,10,1)*6+--MID(A605,11,1)*8, "")</f>
        <v/>
      </c>
    </row>
    <row r="606">
      <c r="A606">
        <f>SUBSTITUTE(SUBSTITUTE(SUBSTITUTE(SUBSTITUTE(TRIM(INDEX(Реестр!$B:$B,ROW())),CHAR(160),""),CHAR(9),""),CHAR(10),""),CHAR(13),"")</f>
        <v/>
      </c>
      <c r="B606">
        <f>SUBSTITUTE(SUBSTITUTE(SUBSTITUTE(SUBSTITUTE(SUBSTITUTE(SUBSTITUTE(SUBSTITUTE(TRIM(INDEX(Реестр!$D:$D, ROW())), "-", ""), " ", ""), CHAR(160), ""), CHAR(9), ""), CHAR(10), ""), CHAR(13), ""), CHAR(32), "")</f>
        <v/>
      </c>
      <c r="C606">
        <f>INDEX(Реестр!$H:$H, ROW())</f>
        <v/>
      </c>
      <c r="D606">
        <f>IF(OR(ISBLANK(INDEX(Реестр!$B:$B, ROW())), INDEX(Реестр!$B:$B, ROW())=""), " ", IF(IFERROR(ISNUMBER(--A606),FALSE), IF(LEN(A606)=10, IF(MOD(MOD(H606,11),10)=--RIGHT(A606,1), "OK", "ОШИБКА"), IF(LEN(A606)=12, IF(AND(MOD(MOD(H606,11),10)=--MID(A606,11,1), MOD(MOD(I606,11),10)=--RIGHT(A606,1)), "OK", "ОШИБКА"), "ДЛИНА (10 или 12)")), "НЕ ЦИФРЫ"))</f>
        <v/>
      </c>
      <c r="E606">
        <f>MID(B606,1,1)*9+MID(B606,2,1)*8+MID(B606,3,1)*7+MID(B606,4,1)*6+MID(B606,5,1)*5+MID(B606,6,1)*4+MID(B606,7,1)*3+MID(B606,8,1)*2+MID(B606,9,1)</f>
        <v/>
      </c>
      <c r="F606">
        <f>IF(B606="", " ", IF(LEN(B606)&lt;&gt;11, "ДЛИНА", IF(NOT(ISNUMBER(--B606)), "НЕ ЦИФРЫ", IF(LEFT(B606,9)*1&lt;=1001998, "OK", IF(RIGHT(B606,2)*1=IF(MOD(E606,101)&gt;=100,0,MOD(E606,101)),"OK","ОШИБКА")))))</f>
        <v/>
      </c>
      <c r="G6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6">
        <f>IF(LEN(TRIM(A606))=10, --MID(A606,1,1)*2+--MID(A606,2,1)*4+--MID(A606,3,1)*10+--MID(A606,4,1)*3+--MID(A606,5,1)*5+--MID(A606,6,1)*9+--MID(A606,7,1)*4+--MID(A606,8,1)*6+--MID(A606,9,1)*8, IF(LEN(TRIM(A606))=12, --MID(A606,1,1)*7+--MID(A606,2,1)*2+--MID(A606,3,1)*4+--MID(A606,4,1)*10+--MID(A606,5,1)*3+--MID(A606,6,1)*5+--MID(A606,7,1)*9+--MID(A606,8,1)*4+--MID(A606,9,1)*6+--MID(A606,10,1)*8, ""))</f>
        <v/>
      </c>
      <c r="I606">
        <f>IF(LEN(TRIM(A606))=12, --MID(A606,1,1)*3+--MID(A606,2,1)*7+--MID(A606,3,1)*2+--MID(A606,4,1)*4+--MID(A606,5,1)*10+--MID(A606,6,1)*3+--MID(A606,7,1)*5+--MID(A606,8,1)*9+--MID(A606,9,1)*4+--MID(A606,10,1)*6+--MID(A606,11,1)*8, "")</f>
        <v/>
      </c>
    </row>
    <row r="607">
      <c r="A607">
        <f>SUBSTITUTE(SUBSTITUTE(SUBSTITUTE(SUBSTITUTE(TRIM(INDEX(Реестр!$B:$B,ROW())),CHAR(160),""),CHAR(9),""),CHAR(10),""),CHAR(13),"")</f>
        <v/>
      </c>
      <c r="B607">
        <f>SUBSTITUTE(SUBSTITUTE(SUBSTITUTE(SUBSTITUTE(SUBSTITUTE(SUBSTITUTE(SUBSTITUTE(TRIM(INDEX(Реестр!$D:$D, ROW())), "-", ""), " ", ""), CHAR(160), ""), CHAR(9), ""), CHAR(10), ""), CHAR(13), ""), CHAR(32), "")</f>
        <v/>
      </c>
      <c r="C607">
        <f>INDEX(Реестр!$H:$H, ROW())</f>
        <v/>
      </c>
      <c r="D607">
        <f>IF(OR(ISBLANK(INDEX(Реестр!$B:$B, ROW())), INDEX(Реестр!$B:$B, ROW())=""), " ", IF(IFERROR(ISNUMBER(--A607),FALSE), IF(LEN(A607)=10, IF(MOD(MOD(H607,11),10)=--RIGHT(A607,1), "OK", "ОШИБКА"), IF(LEN(A607)=12, IF(AND(MOD(MOD(H607,11),10)=--MID(A607,11,1), MOD(MOD(I607,11),10)=--RIGHT(A607,1)), "OK", "ОШИБКА"), "ДЛИНА (10 или 12)")), "НЕ ЦИФРЫ"))</f>
        <v/>
      </c>
      <c r="E607">
        <f>MID(B607,1,1)*9+MID(B607,2,1)*8+MID(B607,3,1)*7+MID(B607,4,1)*6+MID(B607,5,1)*5+MID(B607,6,1)*4+MID(B607,7,1)*3+MID(B607,8,1)*2+MID(B607,9,1)</f>
        <v/>
      </c>
      <c r="F607">
        <f>IF(B607="", " ", IF(LEN(B607)&lt;&gt;11, "ДЛИНА", IF(NOT(ISNUMBER(--B607)), "НЕ ЦИФРЫ", IF(LEFT(B607,9)*1&lt;=1001998, "OK", IF(RIGHT(B607,2)*1=IF(MOD(E607,101)&gt;=100,0,MOD(E607,101)),"OK","ОШИБКА")))))</f>
        <v/>
      </c>
      <c r="G6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7">
        <f>IF(LEN(TRIM(A607))=10, --MID(A607,1,1)*2+--MID(A607,2,1)*4+--MID(A607,3,1)*10+--MID(A607,4,1)*3+--MID(A607,5,1)*5+--MID(A607,6,1)*9+--MID(A607,7,1)*4+--MID(A607,8,1)*6+--MID(A607,9,1)*8, IF(LEN(TRIM(A607))=12, --MID(A607,1,1)*7+--MID(A607,2,1)*2+--MID(A607,3,1)*4+--MID(A607,4,1)*10+--MID(A607,5,1)*3+--MID(A607,6,1)*5+--MID(A607,7,1)*9+--MID(A607,8,1)*4+--MID(A607,9,1)*6+--MID(A607,10,1)*8, ""))</f>
        <v/>
      </c>
      <c r="I607">
        <f>IF(LEN(TRIM(A607))=12, --MID(A607,1,1)*3+--MID(A607,2,1)*7+--MID(A607,3,1)*2+--MID(A607,4,1)*4+--MID(A607,5,1)*10+--MID(A607,6,1)*3+--MID(A607,7,1)*5+--MID(A607,8,1)*9+--MID(A607,9,1)*4+--MID(A607,10,1)*6+--MID(A607,11,1)*8, "")</f>
        <v/>
      </c>
    </row>
    <row r="608">
      <c r="A608">
        <f>SUBSTITUTE(SUBSTITUTE(SUBSTITUTE(SUBSTITUTE(TRIM(INDEX(Реестр!$B:$B,ROW())),CHAR(160),""),CHAR(9),""),CHAR(10),""),CHAR(13),"")</f>
        <v/>
      </c>
      <c r="B608">
        <f>SUBSTITUTE(SUBSTITUTE(SUBSTITUTE(SUBSTITUTE(SUBSTITUTE(SUBSTITUTE(SUBSTITUTE(TRIM(INDEX(Реестр!$D:$D, ROW())), "-", ""), " ", ""), CHAR(160), ""), CHAR(9), ""), CHAR(10), ""), CHAR(13), ""), CHAR(32), "")</f>
        <v/>
      </c>
      <c r="C608">
        <f>INDEX(Реестр!$H:$H, ROW())</f>
        <v/>
      </c>
      <c r="D608">
        <f>IF(OR(ISBLANK(INDEX(Реестр!$B:$B, ROW())), INDEX(Реестр!$B:$B, ROW())=""), " ", IF(IFERROR(ISNUMBER(--A608),FALSE), IF(LEN(A608)=10, IF(MOD(MOD(H608,11),10)=--RIGHT(A608,1), "OK", "ОШИБКА"), IF(LEN(A608)=12, IF(AND(MOD(MOD(H608,11),10)=--MID(A608,11,1), MOD(MOD(I608,11),10)=--RIGHT(A608,1)), "OK", "ОШИБКА"), "ДЛИНА (10 или 12)")), "НЕ ЦИФРЫ"))</f>
        <v/>
      </c>
      <c r="E608">
        <f>MID(B608,1,1)*9+MID(B608,2,1)*8+MID(B608,3,1)*7+MID(B608,4,1)*6+MID(B608,5,1)*5+MID(B608,6,1)*4+MID(B608,7,1)*3+MID(B608,8,1)*2+MID(B608,9,1)</f>
        <v/>
      </c>
      <c r="F608">
        <f>IF(B608="", " ", IF(LEN(B608)&lt;&gt;11, "ДЛИНА", IF(NOT(ISNUMBER(--B608)), "НЕ ЦИФРЫ", IF(LEFT(B608,9)*1&lt;=1001998, "OK", IF(RIGHT(B608,2)*1=IF(MOD(E608,101)&gt;=100,0,MOD(E608,101)),"OK","ОШИБКА")))))</f>
        <v/>
      </c>
      <c r="G6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8">
        <f>IF(LEN(TRIM(A608))=10, --MID(A608,1,1)*2+--MID(A608,2,1)*4+--MID(A608,3,1)*10+--MID(A608,4,1)*3+--MID(A608,5,1)*5+--MID(A608,6,1)*9+--MID(A608,7,1)*4+--MID(A608,8,1)*6+--MID(A608,9,1)*8, IF(LEN(TRIM(A608))=12, --MID(A608,1,1)*7+--MID(A608,2,1)*2+--MID(A608,3,1)*4+--MID(A608,4,1)*10+--MID(A608,5,1)*3+--MID(A608,6,1)*5+--MID(A608,7,1)*9+--MID(A608,8,1)*4+--MID(A608,9,1)*6+--MID(A608,10,1)*8, ""))</f>
        <v/>
      </c>
      <c r="I608">
        <f>IF(LEN(TRIM(A608))=12, --MID(A608,1,1)*3+--MID(A608,2,1)*7+--MID(A608,3,1)*2+--MID(A608,4,1)*4+--MID(A608,5,1)*10+--MID(A608,6,1)*3+--MID(A608,7,1)*5+--MID(A608,8,1)*9+--MID(A608,9,1)*4+--MID(A608,10,1)*6+--MID(A608,11,1)*8, "")</f>
        <v/>
      </c>
    </row>
    <row r="609">
      <c r="A609">
        <f>SUBSTITUTE(SUBSTITUTE(SUBSTITUTE(SUBSTITUTE(TRIM(INDEX(Реестр!$B:$B,ROW())),CHAR(160),""),CHAR(9),""),CHAR(10),""),CHAR(13),"")</f>
        <v/>
      </c>
      <c r="B609">
        <f>SUBSTITUTE(SUBSTITUTE(SUBSTITUTE(SUBSTITUTE(SUBSTITUTE(SUBSTITUTE(SUBSTITUTE(TRIM(INDEX(Реестр!$D:$D, ROW())), "-", ""), " ", ""), CHAR(160), ""), CHAR(9), ""), CHAR(10), ""), CHAR(13), ""), CHAR(32), "")</f>
        <v/>
      </c>
      <c r="C609">
        <f>INDEX(Реестр!$H:$H, ROW())</f>
        <v/>
      </c>
      <c r="D609">
        <f>IF(OR(ISBLANK(INDEX(Реестр!$B:$B, ROW())), INDEX(Реестр!$B:$B, ROW())=""), " ", IF(IFERROR(ISNUMBER(--A609),FALSE), IF(LEN(A609)=10, IF(MOD(MOD(H609,11),10)=--RIGHT(A609,1), "OK", "ОШИБКА"), IF(LEN(A609)=12, IF(AND(MOD(MOD(H609,11),10)=--MID(A609,11,1), MOD(MOD(I609,11),10)=--RIGHT(A609,1)), "OK", "ОШИБКА"), "ДЛИНА (10 или 12)")), "НЕ ЦИФРЫ"))</f>
        <v/>
      </c>
      <c r="E609">
        <f>MID(B609,1,1)*9+MID(B609,2,1)*8+MID(B609,3,1)*7+MID(B609,4,1)*6+MID(B609,5,1)*5+MID(B609,6,1)*4+MID(B609,7,1)*3+MID(B609,8,1)*2+MID(B609,9,1)</f>
        <v/>
      </c>
      <c r="F609">
        <f>IF(B609="", " ", IF(LEN(B609)&lt;&gt;11, "ДЛИНА", IF(NOT(ISNUMBER(--B609)), "НЕ ЦИФРЫ", IF(LEFT(B609,9)*1&lt;=1001998, "OK", IF(RIGHT(B609,2)*1=IF(MOD(E609,101)&gt;=100,0,MOD(E609,101)),"OK","ОШИБКА")))))</f>
        <v/>
      </c>
      <c r="G6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09">
        <f>IF(LEN(TRIM(A609))=10, --MID(A609,1,1)*2+--MID(A609,2,1)*4+--MID(A609,3,1)*10+--MID(A609,4,1)*3+--MID(A609,5,1)*5+--MID(A609,6,1)*9+--MID(A609,7,1)*4+--MID(A609,8,1)*6+--MID(A609,9,1)*8, IF(LEN(TRIM(A609))=12, --MID(A609,1,1)*7+--MID(A609,2,1)*2+--MID(A609,3,1)*4+--MID(A609,4,1)*10+--MID(A609,5,1)*3+--MID(A609,6,1)*5+--MID(A609,7,1)*9+--MID(A609,8,1)*4+--MID(A609,9,1)*6+--MID(A609,10,1)*8, ""))</f>
        <v/>
      </c>
      <c r="I609">
        <f>IF(LEN(TRIM(A609))=12, --MID(A609,1,1)*3+--MID(A609,2,1)*7+--MID(A609,3,1)*2+--MID(A609,4,1)*4+--MID(A609,5,1)*10+--MID(A609,6,1)*3+--MID(A609,7,1)*5+--MID(A609,8,1)*9+--MID(A609,9,1)*4+--MID(A609,10,1)*6+--MID(A609,11,1)*8, "")</f>
        <v/>
      </c>
    </row>
    <row r="610">
      <c r="A610">
        <f>SUBSTITUTE(SUBSTITUTE(SUBSTITUTE(SUBSTITUTE(TRIM(INDEX(Реестр!$B:$B,ROW())),CHAR(160),""),CHAR(9),""),CHAR(10),""),CHAR(13),"")</f>
        <v/>
      </c>
      <c r="B610">
        <f>SUBSTITUTE(SUBSTITUTE(SUBSTITUTE(SUBSTITUTE(SUBSTITUTE(SUBSTITUTE(SUBSTITUTE(TRIM(INDEX(Реестр!$D:$D, ROW())), "-", ""), " ", ""), CHAR(160), ""), CHAR(9), ""), CHAR(10), ""), CHAR(13), ""), CHAR(32), "")</f>
        <v/>
      </c>
      <c r="C610">
        <f>INDEX(Реестр!$H:$H, ROW())</f>
        <v/>
      </c>
      <c r="D610">
        <f>IF(OR(ISBLANK(INDEX(Реестр!$B:$B, ROW())), INDEX(Реестр!$B:$B, ROW())=""), " ", IF(IFERROR(ISNUMBER(--A610),FALSE), IF(LEN(A610)=10, IF(MOD(MOD(H610,11),10)=--RIGHT(A610,1), "OK", "ОШИБКА"), IF(LEN(A610)=12, IF(AND(MOD(MOD(H610,11),10)=--MID(A610,11,1), MOD(MOD(I610,11),10)=--RIGHT(A610,1)), "OK", "ОШИБКА"), "ДЛИНА (10 или 12)")), "НЕ ЦИФРЫ"))</f>
        <v/>
      </c>
      <c r="E610">
        <f>MID(B610,1,1)*9+MID(B610,2,1)*8+MID(B610,3,1)*7+MID(B610,4,1)*6+MID(B610,5,1)*5+MID(B610,6,1)*4+MID(B610,7,1)*3+MID(B610,8,1)*2+MID(B610,9,1)</f>
        <v/>
      </c>
      <c r="F610">
        <f>IF(B610="", " ", IF(LEN(B610)&lt;&gt;11, "ДЛИНА", IF(NOT(ISNUMBER(--B610)), "НЕ ЦИФРЫ", IF(LEFT(B610,9)*1&lt;=1001998, "OK", IF(RIGHT(B610,2)*1=IF(MOD(E610,101)&gt;=100,0,MOD(E610,101)),"OK","ОШИБКА")))))</f>
        <v/>
      </c>
      <c r="G6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0">
        <f>IF(LEN(TRIM(A610))=10, --MID(A610,1,1)*2+--MID(A610,2,1)*4+--MID(A610,3,1)*10+--MID(A610,4,1)*3+--MID(A610,5,1)*5+--MID(A610,6,1)*9+--MID(A610,7,1)*4+--MID(A610,8,1)*6+--MID(A610,9,1)*8, IF(LEN(TRIM(A610))=12, --MID(A610,1,1)*7+--MID(A610,2,1)*2+--MID(A610,3,1)*4+--MID(A610,4,1)*10+--MID(A610,5,1)*3+--MID(A610,6,1)*5+--MID(A610,7,1)*9+--MID(A610,8,1)*4+--MID(A610,9,1)*6+--MID(A610,10,1)*8, ""))</f>
        <v/>
      </c>
      <c r="I610">
        <f>IF(LEN(TRIM(A610))=12, --MID(A610,1,1)*3+--MID(A610,2,1)*7+--MID(A610,3,1)*2+--MID(A610,4,1)*4+--MID(A610,5,1)*10+--MID(A610,6,1)*3+--MID(A610,7,1)*5+--MID(A610,8,1)*9+--MID(A610,9,1)*4+--MID(A610,10,1)*6+--MID(A610,11,1)*8, "")</f>
        <v/>
      </c>
    </row>
    <row r="611">
      <c r="A611">
        <f>SUBSTITUTE(SUBSTITUTE(SUBSTITUTE(SUBSTITUTE(TRIM(INDEX(Реестр!$B:$B,ROW())),CHAR(160),""),CHAR(9),""),CHAR(10),""),CHAR(13),"")</f>
        <v/>
      </c>
      <c r="B611">
        <f>SUBSTITUTE(SUBSTITUTE(SUBSTITUTE(SUBSTITUTE(SUBSTITUTE(SUBSTITUTE(SUBSTITUTE(TRIM(INDEX(Реестр!$D:$D, ROW())), "-", ""), " ", ""), CHAR(160), ""), CHAR(9), ""), CHAR(10), ""), CHAR(13), ""), CHAR(32), "")</f>
        <v/>
      </c>
      <c r="C611">
        <f>INDEX(Реестр!$H:$H, ROW())</f>
        <v/>
      </c>
      <c r="D611">
        <f>IF(OR(ISBLANK(INDEX(Реестр!$B:$B, ROW())), INDEX(Реестр!$B:$B, ROW())=""), " ", IF(IFERROR(ISNUMBER(--A611),FALSE), IF(LEN(A611)=10, IF(MOD(MOD(H611,11),10)=--RIGHT(A611,1), "OK", "ОШИБКА"), IF(LEN(A611)=12, IF(AND(MOD(MOD(H611,11),10)=--MID(A611,11,1), MOD(MOD(I611,11),10)=--RIGHT(A611,1)), "OK", "ОШИБКА"), "ДЛИНА (10 или 12)")), "НЕ ЦИФРЫ"))</f>
        <v/>
      </c>
      <c r="E611">
        <f>MID(B611,1,1)*9+MID(B611,2,1)*8+MID(B611,3,1)*7+MID(B611,4,1)*6+MID(B611,5,1)*5+MID(B611,6,1)*4+MID(B611,7,1)*3+MID(B611,8,1)*2+MID(B611,9,1)</f>
        <v/>
      </c>
      <c r="F611">
        <f>IF(B611="", " ", IF(LEN(B611)&lt;&gt;11, "ДЛИНА", IF(NOT(ISNUMBER(--B611)), "НЕ ЦИФРЫ", IF(LEFT(B611,9)*1&lt;=1001998, "OK", IF(RIGHT(B611,2)*1=IF(MOD(E611,101)&gt;=100,0,MOD(E611,101)),"OK","ОШИБКА")))))</f>
        <v/>
      </c>
      <c r="G6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1">
        <f>IF(LEN(TRIM(A611))=10, --MID(A611,1,1)*2+--MID(A611,2,1)*4+--MID(A611,3,1)*10+--MID(A611,4,1)*3+--MID(A611,5,1)*5+--MID(A611,6,1)*9+--MID(A611,7,1)*4+--MID(A611,8,1)*6+--MID(A611,9,1)*8, IF(LEN(TRIM(A611))=12, --MID(A611,1,1)*7+--MID(A611,2,1)*2+--MID(A611,3,1)*4+--MID(A611,4,1)*10+--MID(A611,5,1)*3+--MID(A611,6,1)*5+--MID(A611,7,1)*9+--MID(A611,8,1)*4+--MID(A611,9,1)*6+--MID(A611,10,1)*8, ""))</f>
        <v/>
      </c>
      <c r="I611">
        <f>IF(LEN(TRIM(A611))=12, --MID(A611,1,1)*3+--MID(A611,2,1)*7+--MID(A611,3,1)*2+--MID(A611,4,1)*4+--MID(A611,5,1)*10+--MID(A611,6,1)*3+--MID(A611,7,1)*5+--MID(A611,8,1)*9+--MID(A611,9,1)*4+--MID(A611,10,1)*6+--MID(A611,11,1)*8, "")</f>
        <v/>
      </c>
    </row>
    <row r="612">
      <c r="A612">
        <f>SUBSTITUTE(SUBSTITUTE(SUBSTITUTE(SUBSTITUTE(TRIM(INDEX(Реестр!$B:$B,ROW())),CHAR(160),""),CHAR(9),""),CHAR(10),""),CHAR(13),"")</f>
        <v/>
      </c>
      <c r="B612">
        <f>SUBSTITUTE(SUBSTITUTE(SUBSTITUTE(SUBSTITUTE(SUBSTITUTE(SUBSTITUTE(SUBSTITUTE(TRIM(INDEX(Реестр!$D:$D, ROW())), "-", ""), " ", ""), CHAR(160), ""), CHAR(9), ""), CHAR(10), ""), CHAR(13), ""), CHAR(32), "")</f>
        <v/>
      </c>
      <c r="C612">
        <f>INDEX(Реестр!$H:$H, ROW())</f>
        <v/>
      </c>
      <c r="D612">
        <f>IF(OR(ISBLANK(INDEX(Реестр!$B:$B, ROW())), INDEX(Реестр!$B:$B, ROW())=""), " ", IF(IFERROR(ISNUMBER(--A612),FALSE), IF(LEN(A612)=10, IF(MOD(MOD(H612,11),10)=--RIGHT(A612,1), "OK", "ОШИБКА"), IF(LEN(A612)=12, IF(AND(MOD(MOD(H612,11),10)=--MID(A612,11,1), MOD(MOD(I612,11),10)=--RIGHT(A612,1)), "OK", "ОШИБКА"), "ДЛИНА (10 или 12)")), "НЕ ЦИФРЫ"))</f>
        <v/>
      </c>
      <c r="E612">
        <f>MID(B612,1,1)*9+MID(B612,2,1)*8+MID(B612,3,1)*7+MID(B612,4,1)*6+MID(B612,5,1)*5+MID(B612,6,1)*4+MID(B612,7,1)*3+MID(B612,8,1)*2+MID(B612,9,1)</f>
        <v/>
      </c>
      <c r="F612">
        <f>IF(B612="", " ", IF(LEN(B612)&lt;&gt;11, "ДЛИНА", IF(NOT(ISNUMBER(--B612)), "НЕ ЦИФРЫ", IF(LEFT(B612,9)*1&lt;=1001998, "OK", IF(RIGHT(B612,2)*1=IF(MOD(E612,101)&gt;=100,0,MOD(E612,101)),"OK","ОШИБКА")))))</f>
        <v/>
      </c>
      <c r="G6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2">
        <f>IF(LEN(TRIM(A612))=10, --MID(A612,1,1)*2+--MID(A612,2,1)*4+--MID(A612,3,1)*10+--MID(A612,4,1)*3+--MID(A612,5,1)*5+--MID(A612,6,1)*9+--MID(A612,7,1)*4+--MID(A612,8,1)*6+--MID(A612,9,1)*8, IF(LEN(TRIM(A612))=12, --MID(A612,1,1)*7+--MID(A612,2,1)*2+--MID(A612,3,1)*4+--MID(A612,4,1)*10+--MID(A612,5,1)*3+--MID(A612,6,1)*5+--MID(A612,7,1)*9+--MID(A612,8,1)*4+--MID(A612,9,1)*6+--MID(A612,10,1)*8, ""))</f>
        <v/>
      </c>
      <c r="I612">
        <f>IF(LEN(TRIM(A612))=12, --MID(A612,1,1)*3+--MID(A612,2,1)*7+--MID(A612,3,1)*2+--MID(A612,4,1)*4+--MID(A612,5,1)*10+--MID(A612,6,1)*3+--MID(A612,7,1)*5+--MID(A612,8,1)*9+--MID(A612,9,1)*4+--MID(A612,10,1)*6+--MID(A612,11,1)*8, "")</f>
        <v/>
      </c>
    </row>
    <row r="613">
      <c r="A613">
        <f>SUBSTITUTE(SUBSTITUTE(SUBSTITUTE(SUBSTITUTE(TRIM(INDEX(Реестр!$B:$B,ROW())),CHAR(160),""),CHAR(9),""),CHAR(10),""),CHAR(13),"")</f>
        <v/>
      </c>
      <c r="B613">
        <f>SUBSTITUTE(SUBSTITUTE(SUBSTITUTE(SUBSTITUTE(SUBSTITUTE(SUBSTITUTE(SUBSTITUTE(TRIM(INDEX(Реестр!$D:$D, ROW())), "-", ""), " ", ""), CHAR(160), ""), CHAR(9), ""), CHAR(10), ""), CHAR(13), ""), CHAR(32), "")</f>
        <v/>
      </c>
      <c r="C613">
        <f>INDEX(Реестр!$H:$H, ROW())</f>
        <v/>
      </c>
      <c r="D613">
        <f>IF(OR(ISBLANK(INDEX(Реестр!$B:$B, ROW())), INDEX(Реестр!$B:$B, ROW())=""), " ", IF(IFERROR(ISNUMBER(--A613),FALSE), IF(LEN(A613)=10, IF(MOD(MOD(H613,11),10)=--RIGHT(A613,1), "OK", "ОШИБКА"), IF(LEN(A613)=12, IF(AND(MOD(MOD(H613,11),10)=--MID(A613,11,1), MOD(MOD(I613,11),10)=--RIGHT(A613,1)), "OK", "ОШИБКА"), "ДЛИНА (10 или 12)")), "НЕ ЦИФРЫ"))</f>
        <v/>
      </c>
      <c r="E613">
        <f>MID(B613,1,1)*9+MID(B613,2,1)*8+MID(B613,3,1)*7+MID(B613,4,1)*6+MID(B613,5,1)*5+MID(B613,6,1)*4+MID(B613,7,1)*3+MID(B613,8,1)*2+MID(B613,9,1)</f>
        <v/>
      </c>
      <c r="F613">
        <f>IF(B613="", " ", IF(LEN(B613)&lt;&gt;11, "ДЛИНА", IF(NOT(ISNUMBER(--B613)), "НЕ ЦИФРЫ", IF(LEFT(B613,9)*1&lt;=1001998, "OK", IF(RIGHT(B613,2)*1=IF(MOD(E613,101)&gt;=100,0,MOD(E613,101)),"OK","ОШИБКА")))))</f>
        <v/>
      </c>
      <c r="G6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3">
        <f>IF(LEN(TRIM(A613))=10, --MID(A613,1,1)*2+--MID(A613,2,1)*4+--MID(A613,3,1)*10+--MID(A613,4,1)*3+--MID(A613,5,1)*5+--MID(A613,6,1)*9+--MID(A613,7,1)*4+--MID(A613,8,1)*6+--MID(A613,9,1)*8, IF(LEN(TRIM(A613))=12, --MID(A613,1,1)*7+--MID(A613,2,1)*2+--MID(A613,3,1)*4+--MID(A613,4,1)*10+--MID(A613,5,1)*3+--MID(A613,6,1)*5+--MID(A613,7,1)*9+--MID(A613,8,1)*4+--MID(A613,9,1)*6+--MID(A613,10,1)*8, ""))</f>
        <v/>
      </c>
      <c r="I613">
        <f>IF(LEN(TRIM(A613))=12, --MID(A613,1,1)*3+--MID(A613,2,1)*7+--MID(A613,3,1)*2+--MID(A613,4,1)*4+--MID(A613,5,1)*10+--MID(A613,6,1)*3+--MID(A613,7,1)*5+--MID(A613,8,1)*9+--MID(A613,9,1)*4+--MID(A613,10,1)*6+--MID(A613,11,1)*8, "")</f>
        <v/>
      </c>
    </row>
    <row r="614">
      <c r="A614">
        <f>SUBSTITUTE(SUBSTITUTE(SUBSTITUTE(SUBSTITUTE(TRIM(INDEX(Реестр!$B:$B,ROW())),CHAR(160),""),CHAR(9),""),CHAR(10),""),CHAR(13),"")</f>
        <v/>
      </c>
      <c r="B614">
        <f>SUBSTITUTE(SUBSTITUTE(SUBSTITUTE(SUBSTITUTE(SUBSTITUTE(SUBSTITUTE(SUBSTITUTE(TRIM(INDEX(Реестр!$D:$D, ROW())), "-", ""), " ", ""), CHAR(160), ""), CHAR(9), ""), CHAR(10), ""), CHAR(13), ""), CHAR(32), "")</f>
        <v/>
      </c>
      <c r="C614">
        <f>INDEX(Реестр!$H:$H, ROW())</f>
        <v/>
      </c>
      <c r="D614">
        <f>IF(OR(ISBLANK(INDEX(Реестр!$B:$B, ROW())), INDEX(Реестр!$B:$B, ROW())=""), " ", IF(IFERROR(ISNUMBER(--A614),FALSE), IF(LEN(A614)=10, IF(MOD(MOD(H614,11),10)=--RIGHT(A614,1), "OK", "ОШИБКА"), IF(LEN(A614)=12, IF(AND(MOD(MOD(H614,11),10)=--MID(A614,11,1), MOD(MOD(I614,11),10)=--RIGHT(A614,1)), "OK", "ОШИБКА"), "ДЛИНА (10 или 12)")), "НЕ ЦИФРЫ"))</f>
        <v/>
      </c>
      <c r="E614">
        <f>MID(B614,1,1)*9+MID(B614,2,1)*8+MID(B614,3,1)*7+MID(B614,4,1)*6+MID(B614,5,1)*5+MID(B614,6,1)*4+MID(B614,7,1)*3+MID(B614,8,1)*2+MID(B614,9,1)</f>
        <v/>
      </c>
      <c r="F614">
        <f>IF(B614="", " ", IF(LEN(B614)&lt;&gt;11, "ДЛИНА", IF(NOT(ISNUMBER(--B614)), "НЕ ЦИФРЫ", IF(LEFT(B614,9)*1&lt;=1001998, "OK", IF(RIGHT(B614,2)*1=IF(MOD(E614,101)&gt;=100,0,MOD(E614,101)),"OK","ОШИБКА")))))</f>
        <v/>
      </c>
      <c r="G6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4">
        <f>IF(LEN(TRIM(A614))=10, --MID(A614,1,1)*2+--MID(A614,2,1)*4+--MID(A614,3,1)*10+--MID(A614,4,1)*3+--MID(A614,5,1)*5+--MID(A614,6,1)*9+--MID(A614,7,1)*4+--MID(A614,8,1)*6+--MID(A614,9,1)*8, IF(LEN(TRIM(A614))=12, --MID(A614,1,1)*7+--MID(A614,2,1)*2+--MID(A614,3,1)*4+--MID(A614,4,1)*10+--MID(A614,5,1)*3+--MID(A614,6,1)*5+--MID(A614,7,1)*9+--MID(A614,8,1)*4+--MID(A614,9,1)*6+--MID(A614,10,1)*8, ""))</f>
        <v/>
      </c>
      <c r="I614">
        <f>IF(LEN(TRIM(A614))=12, --MID(A614,1,1)*3+--MID(A614,2,1)*7+--MID(A614,3,1)*2+--MID(A614,4,1)*4+--MID(A614,5,1)*10+--MID(A614,6,1)*3+--MID(A614,7,1)*5+--MID(A614,8,1)*9+--MID(A614,9,1)*4+--MID(A614,10,1)*6+--MID(A614,11,1)*8, "")</f>
        <v/>
      </c>
    </row>
    <row r="615">
      <c r="A615">
        <f>SUBSTITUTE(SUBSTITUTE(SUBSTITUTE(SUBSTITUTE(TRIM(INDEX(Реестр!$B:$B,ROW())),CHAR(160),""),CHAR(9),""),CHAR(10),""),CHAR(13),"")</f>
        <v/>
      </c>
      <c r="B615">
        <f>SUBSTITUTE(SUBSTITUTE(SUBSTITUTE(SUBSTITUTE(SUBSTITUTE(SUBSTITUTE(SUBSTITUTE(TRIM(INDEX(Реестр!$D:$D, ROW())), "-", ""), " ", ""), CHAR(160), ""), CHAR(9), ""), CHAR(10), ""), CHAR(13), ""), CHAR(32), "")</f>
        <v/>
      </c>
      <c r="C615">
        <f>INDEX(Реестр!$H:$H, ROW())</f>
        <v/>
      </c>
      <c r="D615">
        <f>IF(OR(ISBLANK(INDEX(Реестр!$B:$B, ROW())), INDEX(Реестр!$B:$B, ROW())=""), " ", IF(IFERROR(ISNUMBER(--A615),FALSE), IF(LEN(A615)=10, IF(MOD(MOD(H615,11),10)=--RIGHT(A615,1), "OK", "ОШИБКА"), IF(LEN(A615)=12, IF(AND(MOD(MOD(H615,11),10)=--MID(A615,11,1), MOD(MOD(I615,11),10)=--RIGHT(A615,1)), "OK", "ОШИБКА"), "ДЛИНА (10 или 12)")), "НЕ ЦИФРЫ"))</f>
        <v/>
      </c>
      <c r="E615">
        <f>MID(B615,1,1)*9+MID(B615,2,1)*8+MID(B615,3,1)*7+MID(B615,4,1)*6+MID(B615,5,1)*5+MID(B615,6,1)*4+MID(B615,7,1)*3+MID(B615,8,1)*2+MID(B615,9,1)</f>
        <v/>
      </c>
      <c r="F615">
        <f>IF(B615="", " ", IF(LEN(B615)&lt;&gt;11, "ДЛИНА", IF(NOT(ISNUMBER(--B615)), "НЕ ЦИФРЫ", IF(LEFT(B615,9)*1&lt;=1001998, "OK", IF(RIGHT(B615,2)*1=IF(MOD(E615,101)&gt;=100,0,MOD(E615,101)),"OK","ОШИБКА")))))</f>
        <v/>
      </c>
      <c r="G6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5">
        <f>IF(LEN(TRIM(A615))=10, --MID(A615,1,1)*2+--MID(A615,2,1)*4+--MID(A615,3,1)*10+--MID(A615,4,1)*3+--MID(A615,5,1)*5+--MID(A615,6,1)*9+--MID(A615,7,1)*4+--MID(A615,8,1)*6+--MID(A615,9,1)*8, IF(LEN(TRIM(A615))=12, --MID(A615,1,1)*7+--MID(A615,2,1)*2+--MID(A615,3,1)*4+--MID(A615,4,1)*10+--MID(A615,5,1)*3+--MID(A615,6,1)*5+--MID(A615,7,1)*9+--MID(A615,8,1)*4+--MID(A615,9,1)*6+--MID(A615,10,1)*8, ""))</f>
        <v/>
      </c>
      <c r="I615">
        <f>IF(LEN(TRIM(A615))=12, --MID(A615,1,1)*3+--MID(A615,2,1)*7+--MID(A615,3,1)*2+--MID(A615,4,1)*4+--MID(A615,5,1)*10+--MID(A615,6,1)*3+--MID(A615,7,1)*5+--MID(A615,8,1)*9+--MID(A615,9,1)*4+--MID(A615,10,1)*6+--MID(A615,11,1)*8, "")</f>
        <v/>
      </c>
    </row>
    <row r="616">
      <c r="A616">
        <f>SUBSTITUTE(SUBSTITUTE(SUBSTITUTE(SUBSTITUTE(TRIM(INDEX(Реестр!$B:$B,ROW())),CHAR(160),""),CHAR(9),""),CHAR(10),""),CHAR(13),"")</f>
        <v/>
      </c>
      <c r="B616">
        <f>SUBSTITUTE(SUBSTITUTE(SUBSTITUTE(SUBSTITUTE(SUBSTITUTE(SUBSTITUTE(SUBSTITUTE(TRIM(INDEX(Реестр!$D:$D, ROW())), "-", ""), " ", ""), CHAR(160), ""), CHAR(9), ""), CHAR(10), ""), CHAR(13), ""), CHAR(32), "")</f>
        <v/>
      </c>
      <c r="C616">
        <f>INDEX(Реестр!$H:$H, ROW())</f>
        <v/>
      </c>
      <c r="D616">
        <f>IF(OR(ISBLANK(INDEX(Реестр!$B:$B, ROW())), INDEX(Реестр!$B:$B, ROW())=""), " ", IF(IFERROR(ISNUMBER(--A616),FALSE), IF(LEN(A616)=10, IF(MOD(MOD(H616,11),10)=--RIGHT(A616,1), "OK", "ОШИБКА"), IF(LEN(A616)=12, IF(AND(MOD(MOD(H616,11),10)=--MID(A616,11,1), MOD(MOD(I616,11),10)=--RIGHT(A616,1)), "OK", "ОШИБКА"), "ДЛИНА (10 или 12)")), "НЕ ЦИФРЫ"))</f>
        <v/>
      </c>
      <c r="E616">
        <f>MID(B616,1,1)*9+MID(B616,2,1)*8+MID(B616,3,1)*7+MID(B616,4,1)*6+MID(B616,5,1)*5+MID(B616,6,1)*4+MID(B616,7,1)*3+MID(B616,8,1)*2+MID(B616,9,1)</f>
        <v/>
      </c>
      <c r="F616">
        <f>IF(B616="", " ", IF(LEN(B616)&lt;&gt;11, "ДЛИНА", IF(NOT(ISNUMBER(--B616)), "НЕ ЦИФРЫ", IF(LEFT(B616,9)*1&lt;=1001998, "OK", IF(RIGHT(B616,2)*1=IF(MOD(E616,101)&gt;=100,0,MOD(E616,101)),"OK","ОШИБКА")))))</f>
        <v/>
      </c>
      <c r="G6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6">
        <f>IF(LEN(TRIM(A616))=10, --MID(A616,1,1)*2+--MID(A616,2,1)*4+--MID(A616,3,1)*10+--MID(A616,4,1)*3+--MID(A616,5,1)*5+--MID(A616,6,1)*9+--MID(A616,7,1)*4+--MID(A616,8,1)*6+--MID(A616,9,1)*8, IF(LEN(TRIM(A616))=12, --MID(A616,1,1)*7+--MID(A616,2,1)*2+--MID(A616,3,1)*4+--MID(A616,4,1)*10+--MID(A616,5,1)*3+--MID(A616,6,1)*5+--MID(A616,7,1)*9+--MID(A616,8,1)*4+--MID(A616,9,1)*6+--MID(A616,10,1)*8, ""))</f>
        <v/>
      </c>
      <c r="I616">
        <f>IF(LEN(TRIM(A616))=12, --MID(A616,1,1)*3+--MID(A616,2,1)*7+--MID(A616,3,1)*2+--MID(A616,4,1)*4+--MID(A616,5,1)*10+--MID(A616,6,1)*3+--MID(A616,7,1)*5+--MID(A616,8,1)*9+--MID(A616,9,1)*4+--MID(A616,10,1)*6+--MID(A616,11,1)*8, "")</f>
        <v/>
      </c>
    </row>
    <row r="617">
      <c r="A617">
        <f>SUBSTITUTE(SUBSTITUTE(SUBSTITUTE(SUBSTITUTE(TRIM(INDEX(Реестр!$B:$B,ROW())),CHAR(160),""),CHAR(9),""),CHAR(10),""),CHAR(13),"")</f>
        <v/>
      </c>
      <c r="B617">
        <f>SUBSTITUTE(SUBSTITUTE(SUBSTITUTE(SUBSTITUTE(SUBSTITUTE(SUBSTITUTE(SUBSTITUTE(TRIM(INDEX(Реестр!$D:$D, ROW())), "-", ""), " ", ""), CHAR(160), ""), CHAR(9), ""), CHAR(10), ""), CHAR(13), ""), CHAR(32), "")</f>
        <v/>
      </c>
      <c r="C617">
        <f>INDEX(Реестр!$H:$H, ROW())</f>
        <v/>
      </c>
      <c r="D617">
        <f>IF(OR(ISBLANK(INDEX(Реестр!$B:$B, ROW())), INDEX(Реестр!$B:$B, ROW())=""), " ", IF(IFERROR(ISNUMBER(--A617),FALSE), IF(LEN(A617)=10, IF(MOD(MOD(H617,11),10)=--RIGHT(A617,1), "OK", "ОШИБКА"), IF(LEN(A617)=12, IF(AND(MOD(MOD(H617,11),10)=--MID(A617,11,1), MOD(MOD(I617,11),10)=--RIGHT(A617,1)), "OK", "ОШИБКА"), "ДЛИНА (10 или 12)")), "НЕ ЦИФРЫ"))</f>
        <v/>
      </c>
      <c r="E617">
        <f>MID(B617,1,1)*9+MID(B617,2,1)*8+MID(B617,3,1)*7+MID(B617,4,1)*6+MID(B617,5,1)*5+MID(B617,6,1)*4+MID(B617,7,1)*3+MID(B617,8,1)*2+MID(B617,9,1)</f>
        <v/>
      </c>
      <c r="F617">
        <f>IF(B617="", " ", IF(LEN(B617)&lt;&gt;11, "ДЛИНА", IF(NOT(ISNUMBER(--B617)), "НЕ ЦИФРЫ", IF(LEFT(B617,9)*1&lt;=1001998, "OK", IF(RIGHT(B617,2)*1=IF(MOD(E617,101)&gt;=100,0,MOD(E617,101)),"OK","ОШИБКА")))))</f>
        <v/>
      </c>
      <c r="G6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7">
        <f>IF(LEN(TRIM(A617))=10, --MID(A617,1,1)*2+--MID(A617,2,1)*4+--MID(A617,3,1)*10+--MID(A617,4,1)*3+--MID(A617,5,1)*5+--MID(A617,6,1)*9+--MID(A617,7,1)*4+--MID(A617,8,1)*6+--MID(A617,9,1)*8, IF(LEN(TRIM(A617))=12, --MID(A617,1,1)*7+--MID(A617,2,1)*2+--MID(A617,3,1)*4+--MID(A617,4,1)*10+--MID(A617,5,1)*3+--MID(A617,6,1)*5+--MID(A617,7,1)*9+--MID(A617,8,1)*4+--MID(A617,9,1)*6+--MID(A617,10,1)*8, ""))</f>
        <v/>
      </c>
      <c r="I617">
        <f>IF(LEN(TRIM(A617))=12, --MID(A617,1,1)*3+--MID(A617,2,1)*7+--MID(A617,3,1)*2+--MID(A617,4,1)*4+--MID(A617,5,1)*10+--MID(A617,6,1)*3+--MID(A617,7,1)*5+--MID(A617,8,1)*9+--MID(A617,9,1)*4+--MID(A617,10,1)*6+--MID(A617,11,1)*8, "")</f>
        <v/>
      </c>
    </row>
    <row r="618">
      <c r="A618">
        <f>SUBSTITUTE(SUBSTITUTE(SUBSTITUTE(SUBSTITUTE(TRIM(INDEX(Реестр!$B:$B,ROW())),CHAR(160),""),CHAR(9),""),CHAR(10),""),CHAR(13),"")</f>
        <v/>
      </c>
      <c r="B618">
        <f>SUBSTITUTE(SUBSTITUTE(SUBSTITUTE(SUBSTITUTE(SUBSTITUTE(SUBSTITUTE(SUBSTITUTE(TRIM(INDEX(Реестр!$D:$D, ROW())), "-", ""), " ", ""), CHAR(160), ""), CHAR(9), ""), CHAR(10), ""), CHAR(13), ""), CHAR(32), "")</f>
        <v/>
      </c>
      <c r="C618">
        <f>INDEX(Реестр!$H:$H, ROW())</f>
        <v/>
      </c>
      <c r="D618">
        <f>IF(OR(ISBLANK(INDEX(Реестр!$B:$B, ROW())), INDEX(Реестр!$B:$B, ROW())=""), " ", IF(IFERROR(ISNUMBER(--A618),FALSE), IF(LEN(A618)=10, IF(MOD(MOD(H618,11),10)=--RIGHT(A618,1), "OK", "ОШИБКА"), IF(LEN(A618)=12, IF(AND(MOD(MOD(H618,11),10)=--MID(A618,11,1), MOD(MOD(I618,11),10)=--RIGHT(A618,1)), "OK", "ОШИБКА"), "ДЛИНА (10 или 12)")), "НЕ ЦИФРЫ"))</f>
        <v/>
      </c>
      <c r="E618">
        <f>MID(B618,1,1)*9+MID(B618,2,1)*8+MID(B618,3,1)*7+MID(B618,4,1)*6+MID(B618,5,1)*5+MID(B618,6,1)*4+MID(B618,7,1)*3+MID(B618,8,1)*2+MID(B618,9,1)</f>
        <v/>
      </c>
      <c r="F618">
        <f>IF(B618="", " ", IF(LEN(B618)&lt;&gt;11, "ДЛИНА", IF(NOT(ISNUMBER(--B618)), "НЕ ЦИФРЫ", IF(LEFT(B618,9)*1&lt;=1001998, "OK", IF(RIGHT(B618,2)*1=IF(MOD(E618,101)&gt;=100,0,MOD(E618,101)),"OK","ОШИБКА")))))</f>
        <v/>
      </c>
      <c r="G6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8">
        <f>IF(LEN(TRIM(A618))=10, --MID(A618,1,1)*2+--MID(A618,2,1)*4+--MID(A618,3,1)*10+--MID(A618,4,1)*3+--MID(A618,5,1)*5+--MID(A618,6,1)*9+--MID(A618,7,1)*4+--MID(A618,8,1)*6+--MID(A618,9,1)*8, IF(LEN(TRIM(A618))=12, --MID(A618,1,1)*7+--MID(A618,2,1)*2+--MID(A618,3,1)*4+--MID(A618,4,1)*10+--MID(A618,5,1)*3+--MID(A618,6,1)*5+--MID(A618,7,1)*9+--MID(A618,8,1)*4+--MID(A618,9,1)*6+--MID(A618,10,1)*8, ""))</f>
        <v/>
      </c>
      <c r="I618">
        <f>IF(LEN(TRIM(A618))=12, --MID(A618,1,1)*3+--MID(A618,2,1)*7+--MID(A618,3,1)*2+--MID(A618,4,1)*4+--MID(A618,5,1)*10+--MID(A618,6,1)*3+--MID(A618,7,1)*5+--MID(A618,8,1)*9+--MID(A618,9,1)*4+--MID(A618,10,1)*6+--MID(A618,11,1)*8, "")</f>
        <v/>
      </c>
    </row>
    <row r="619">
      <c r="A619">
        <f>SUBSTITUTE(SUBSTITUTE(SUBSTITUTE(SUBSTITUTE(TRIM(INDEX(Реестр!$B:$B,ROW())),CHAR(160),""),CHAR(9),""),CHAR(10),""),CHAR(13),"")</f>
        <v/>
      </c>
      <c r="B619">
        <f>SUBSTITUTE(SUBSTITUTE(SUBSTITUTE(SUBSTITUTE(SUBSTITUTE(SUBSTITUTE(SUBSTITUTE(TRIM(INDEX(Реестр!$D:$D, ROW())), "-", ""), " ", ""), CHAR(160), ""), CHAR(9), ""), CHAR(10), ""), CHAR(13), ""), CHAR(32), "")</f>
        <v/>
      </c>
      <c r="C619">
        <f>INDEX(Реестр!$H:$H, ROW())</f>
        <v/>
      </c>
      <c r="D619">
        <f>IF(OR(ISBLANK(INDEX(Реестр!$B:$B, ROW())), INDEX(Реестр!$B:$B, ROW())=""), " ", IF(IFERROR(ISNUMBER(--A619),FALSE), IF(LEN(A619)=10, IF(MOD(MOD(H619,11),10)=--RIGHT(A619,1), "OK", "ОШИБКА"), IF(LEN(A619)=12, IF(AND(MOD(MOD(H619,11),10)=--MID(A619,11,1), MOD(MOD(I619,11),10)=--RIGHT(A619,1)), "OK", "ОШИБКА"), "ДЛИНА (10 или 12)")), "НЕ ЦИФРЫ"))</f>
        <v/>
      </c>
      <c r="E619">
        <f>MID(B619,1,1)*9+MID(B619,2,1)*8+MID(B619,3,1)*7+MID(B619,4,1)*6+MID(B619,5,1)*5+MID(B619,6,1)*4+MID(B619,7,1)*3+MID(B619,8,1)*2+MID(B619,9,1)</f>
        <v/>
      </c>
      <c r="F619">
        <f>IF(B619="", " ", IF(LEN(B619)&lt;&gt;11, "ДЛИНА", IF(NOT(ISNUMBER(--B619)), "НЕ ЦИФРЫ", IF(LEFT(B619,9)*1&lt;=1001998, "OK", IF(RIGHT(B619,2)*1=IF(MOD(E619,101)&gt;=100,0,MOD(E619,101)),"OK","ОШИБКА")))))</f>
        <v/>
      </c>
      <c r="G6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19">
        <f>IF(LEN(TRIM(A619))=10, --MID(A619,1,1)*2+--MID(A619,2,1)*4+--MID(A619,3,1)*10+--MID(A619,4,1)*3+--MID(A619,5,1)*5+--MID(A619,6,1)*9+--MID(A619,7,1)*4+--MID(A619,8,1)*6+--MID(A619,9,1)*8, IF(LEN(TRIM(A619))=12, --MID(A619,1,1)*7+--MID(A619,2,1)*2+--MID(A619,3,1)*4+--MID(A619,4,1)*10+--MID(A619,5,1)*3+--MID(A619,6,1)*5+--MID(A619,7,1)*9+--MID(A619,8,1)*4+--MID(A619,9,1)*6+--MID(A619,10,1)*8, ""))</f>
        <v/>
      </c>
      <c r="I619">
        <f>IF(LEN(TRIM(A619))=12, --MID(A619,1,1)*3+--MID(A619,2,1)*7+--MID(A619,3,1)*2+--MID(A619,4,1)*4+--MID(A619,5,1)*10+--MID(A619,6,1)*3+--MID(A619,7,1)*5+--MID(A619,8,1)*9+--MID(A619,9,1)*4+--MID(A619,10,1)*6+--MID(A619,11,1)*8, "")</f>
        <v/>
      </c>
    </row>
    <row r="620">
      <c r="A620">
        <f>SUBSTITUTE(SUBSTITUTE(SUBSTITUTE(SUBSTITUTE(TRIM(INDEX(Реестр!$B:$B,ROW())),CHAR(160),""),CHAR(9),""),CHAR(10),""),CHAR(13),"")</f>
        <v/>
      </c>
      <c r="B620">
        <f>SUBSTITUTE(SUBSTITUTE(SUBSTITUTE(SUBSTITUTE(SUBSTITUTE(SUBSTITUTE(SUBSTITUTE(TRIM(INDEX(Реестр!$D:$D, ROW())), "-", ""), " ", ""), CHAR(160), ""), CHAR(9), ""), CHAR(10), ""), CHAR(13), ""), CHAR(32), "")</f>
        <v/>
      </c>
      <c r="C620">
        <f>INDEX(Реестр!$H:$H, ROW())</f>
        <v/>
      </c>
      <c r="D620">
        <f>IF(OR(ISBLANK(INDEX(Реестр!$B:$B, ROW())), INDEX(Реестр!$B:$B, ROW())=""), " ", IF(IFERROR(ISNUMBER(--A620),FALSE), IF(LEN(A620)=10, IF(MOD(MOD(H620,11),10)=--RIGHT(A620,1), "OK", "ОШИБКА"), IF(LEN(A620)=12, IF(AND(MOD(MOD(H620,11),10)=--MID(A620,11,1), MOD(MOD(I620,11),10)=--RIGHT(A620,1)), "OK", "ОШИБКА"), "ДЛИНА (10 или 12)")), "НЕ ЦИФРЫ"))</f>
        <v/>
      </c>
      <c r="E620">
        <f>MID(B620,1,1)*9+MID(B620,2,1)*8+MID(B620,3,1)*7+MID(B620,4,1)*6+MID(B620,5,1)*5+MID(B620,6,1)*4+MID(B620,7,1)*3+MID(B620,8,1)*2+MID(B620,9,1)</f>
        <v/>
      </c>
      <c r="F620">
        <f>IF(B620="", " ", IF(LEN(B620)&lt;&gt;11, "ДЛИНА", IF(NOT(ISNUMBER(--B620)), "НЕ ЦИФРЫ", IF(LEFT(B620,9)*1&lt;=1001998, "OK", IF(RIGHT(B620,2)*1=IF(MOD(E620,101)&gt;=100,0,MOD(E620,101)),"OK","ОШИБКА")))))</f>
        <v/>
      </c>
      <c r="G6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0">
        <f>IF(LEN(TRIM(A620))=10, --MID(A620,1,1)*2+--MID(A620,2,1)*4+--MID(A620,3,1)*10+--MID(A620,4,1)*3+--MID(A620,5,1)*5+--MID(A620,6,1)*9+--MID(A620,7,1)*4+--MID(A620,8,1)*6+--MID(A620,9,1)*8, IF(LEN(TRIM(A620))=12, --MID(A620,1,1)*7+--MID(A620,2,1)*2+--MID(A620,3,1)*4+--MID(A620,4,1)*10+--MID(A620,5,1)*3+--MID(A620,6,1)*5+--MID(A620,7,1)*9+--MID(A620,8,1)*4+--MID(A620,9,1)*6+--MID(A620,10,1)*8, ""))</f>
        <v/>
      </c>
      <c r="I620">
        <f>IF(LEN(TRIM(A620))=12, --MID(A620,1,1)*3+--MID(A620,2,1)*7+--MID(A620,3,1)*2+--MID(A620,4,1)*4+--MID(A620,5,1)*10+--MID(A620,6,1)*3+--MID(A620,7,1)*5+--MID(A620,8,1)*9+--MID(A620,9,1)*4+--MID(A620,10,1)*6+--MID(A620,11,1)*8, "")</f>
        <v/>
      </c>
    </row>
    <row r="621">
      <c r="A621">
        <f>SUBSTITUTE(SUBSTITUTE(SUBSTITUTE(SUBSTITUTE(TRIM(INDEX(Реестр!$B:$B,ROW())),CHAR(160),""),CHAR(9),""),CHAR(10),""),CHAR(13),"")</f>
        <v/>
      </c>
      <c r="B621">
        <f>SUBSTITUTE(SUBSTITUTE(SUBSTITUTE(SUBSTITUTE(SUBSTITUTE(SUBSTITUTE(SUBSTITUTE(TRIM(INDEX(Реестр!$D:$D, ROW())), "-", ""), " ", ""), CHAR(160), ""), CHAR(9), ""), CHAR(10), ""), CHAR(13), ""), CHAR(32), "")</f>
        <v/>
      </c>
      <c r="C621">
        <f>INDEX(Реестр!$H:$H, ROW())</f>
        <v/>
      </c>
      <c r="D621">
        <f>IF(OR(ISBLANK(INDEX(Реестр!$B:$B, ROW())), INDEX(Реестр!$B:$B, ROW())=""), " ", IF(IFERROR(ISNUMBER(--A621),FALSE), IF(LEN(A621)=10, IF(MOD(MOD(H621,11),10)=--RIGHT(A621,1), "OK", "ОШИБКА"), IF(LEN(A621)=12, IF(AND(MOD(MOD(H621,11),10)=--MID(A621,11,1), MOD(MOD(I621,11),10)=--RIGHT(A621,1)), "OK", "ОШИБКА"), "ДЛИНА (10 или 12)")), "НЕ ЦИФРЫ"))</f>
        <v/>
      </c>
      <c r="E621">
        <f>MID(B621,1,1)*9+MID(B621,2,1)*8+MID(B621,3,1)*7+MID(B621,4,1)*6+MID(B621,5,1)*5+MID(B621,6,1)*4+MID(B621,7,1)*3+MID(B621,8,1)*2+MID(B621,9,1)</f>
        <v/>
      </c>
      <c r="F621">
        <f>IF(B621="", " ", IF(LEN(B621)&lt;&gt;11, "ДЛИНА", IF(NOT(ISNUMBER(--B621)), "НЕ ЦИФРЫ", IF(LEFT(B621,9)*1&lt;=1001998, "OK", IF(RIGHT(B621,2)*1=IF(MOD(E621,101)&gt;=100,0,MOD(E621,101)),"OK","ОШИБКА")))))</f>
        <v/>
      </c>
      <c r="G6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1">
        <f>IF(LEN(TRIM(A621))=10, --MID(A621,1,1)*2+--MID(A621,2,1)*4+--MID(A621,3,1)*10+--MID(A621,4,1)*3+--MID(A621,5,1)*5+--MID(A621,6,1)*9+--MID(A621,7,1)*4+--MID(A621,8,1)*6+--MID(A621,9,1)*8, IF(LEN(TRIM(A621))=12, --MID(A621,1,1)*7+--MID(A621,2,1)*2+--MID(A621,3,1)*4+--MID(A621,4,1)*10+--MID(A621,5,1)*3+--MID(A621,6,1)*5+--MID(A621,7,1)*9+--MID(A621,8,1)*4+--MID(A621,9,1)*6+--MID(A621,10,1)*8, ""))</f>
        <v/>
      </c>
      <c r="I621">
        <f>IF(LEN(TRIM(A621))=12, --MID(A621,1,1)*3+--MID(A621,2,1)*7+--MID(A621,3,1)*2+--MID(A621,4,1)*4+--MID(A621,5,1)*10+--MID(A621,6,1)*3+--MID(A621,7,1)*5+--MID(A621,8,1)*9+--MID(A621,9,1)*4+--MID(A621,10,1)*6+--MID(A621,11,1)*8, "")</f>
        <v/>
      </c>
    </row>
    <row r="622">
      <c r="A622">
        <f>SUBSTITUTE(SUBSTITUTE(SUBSTITUTE(SUBSTITUTE(TRIM(INDEX(Реестр!$B:$B,ROW())),CHAR(160),""),CHAR(9),""),CHAR(10),""),CHAR(13),"")</f>
        <v/>
      </c>
      <c r="B622">
        <f>SUBSTITUTE(SUBSTITUTE(SUBSTITUTE(SUBSTITUTE(SUBSTITUTE(SUBSTITUTE(SUBSTITUTE(TRIM(INDEX(Реестр!$D:$D, ROW())), "-", ""), " ", ""), CHAR(160), ""), CHAR(9), ""), CHAR(10), ""), CHAR(13), ""), CHAR(32), "")</f>
        <v/>
      </c>
      <c r="C622">
        <f>INDEX(Реестр!$H:$H, ROW())</f>
        <v/>
      </c>
      <c r="D622">
        <f>IF(OR(ISBLANK(INDEX(Реестр!$B:$B, ROW())), INDEX(Реестр!$B:$B, ROW())=""), " ", IF(IFERROR(ISNUMBER(--A622),FALSE), IF(LEN(A622)=10, IF(MOD(MOD(H622,11),10)=--RIGHT(A622,1), "OK", "ОШИБКА"), IF(LEN(A622)=12, IF(AND(MOD(MOD(H622,11),10)=--MID(A622,11,1), MOD(MOD(I622,11),10)=--RIGHT(A622,1)), "OK", "ОШИБКА"), "ДЛИНА (10 или 12)")), "НЕ ЦИФРЫ"))</f>
        <v/>
      </c>
      <c r="E622">
        <f>MID(B622,1,1)*9+MID(B622,2,1)*8+MID(B622,3,1)*7+MID(B622,4,1)*6+MID(B622,5,1)*5+MID(B622,6,1)*4+MID(B622,7,1)*3+MID(B622,8,1)*2+MID(B622,9,1)</f>
        <v/>
      </c>
      <c r="F622">
        <f>IF(B622="", " ", IF(LEN(B622)&lt;&gt;11, "ДЛИНА", IF(NOT(ISNUMBER(--B622)), "НЕ ЦИФРЫ", IF(LEFT(B622,9)*1&lt;=1001998, "OK", IF(RIGHT(B622,2)*1=IF(MOD(E622,101)&gt;=100,0,MOD(E622,101)),"OK","ОШИБКА")))))</f>
        <v/>
      </c>
      <c r="G6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2">
        <f>IF(LEN(TRIM(A622))=10, --MID(A622,1,1)*2+--MID(A622,2,1)*4+--MID(A622,3,1)*10+--MID(A622,4,1)*3+--MID(A622,5,1)*5+--MID(A622,6,1)*9+--MID(A622,7,1)*4+--MID(A622,8,1)*6+--MID(A622,9,1)*8, IF(LEN(TRIM(A622))=12, --MID(A622,1,1)*7+--MID(A622,2,1)*2+--MID(A622,3,1)*4+--MID(A622,4,1)*10+--MID(A622,5,1)*3+--MID(A622,6,1)*5+--MID(A622,7,1)*9+--MID(A622,8,1)*4+--MID(A622,9,1)*6+--MID(A622,10,1)*8, ""))</f>
        <v/>
      </c>
      <c r="I622">
        <f>IF(LEN(TRIM(A622))=12, --MID(A622,1,1)*3+--MID(A622,2,1)*7+--MID(A622,3,1)*2+--MID(A622,4,1)*4+--MID(A622,5,1)*10+--MID(A622,6,1)*3+--MID(A622,7,1)*5+--MID(A622,8,1)*9+--MID(A622,9,1)*4+--MID(A622,10,1)*6+--MID(A622,11,1)*8, "")</f>
        <v/>
      </c>
    </row>
    <row r="623">
      <c r="A623">
        <f>SUBSTITUTE(SUBSTITUTE(SUBSTITUTE(SUBSTITUTE(TRIM(INDEX(Реестр!$B:$B,ROW())),CHAR(160),""),CHAR(9),""),CHAR(10),""),CHAR(13),"")</f>
        <v/>
      </c>
      <c r="B623">
        <f>SUBSTITUTE(SUBSTITUTE(SUBSTITUTE(SUBSTITUTE(SUBSTITUTE(SUBSTITUTE(SUBSTITUTE(TRIM(INDEX(Реестр!$D:$D, ROW())), "-", ""), " ", ""), CHAR(160), ""), CHAR(9), ""), CHAR(10), ""), CHAR(13), ""), CHAR(32), "")</f>
        <v/>
      </c>
      <c r="C623">
        <f>INDEX(Реестр!$H:$H, ROW())</f>
        <v/>
      </c>
      <c r="D623">
        <f>IF(OR(ISBLANK(INDEX(Реестр!$B:$B, ROW())), INDEX(Реестр!$B:$B, ROW())=""), " ", IF(IFERROR(ISNUMBER(--A623),FALSE), IF(LEN(A623)=10, IF(MOD(MOD(H623,11),10)=--RIGHT(A623,1), "OK", "ОШИБКА"), IF(LEN(A623)=12, IF(AND(MOD(MOD(H623,11),10)=--MID(A623,11,1), MOD(MOD(I623,11),10)=--RIGHT(A623,1)), "OK", "ОШИБКА"), "ДЛИНА (10 или 12)")), "НЕ ЦИФРЫ"))</f>
        <v/>
      </c>
      <c r="E623">
        <f>MID(B623,1,1)*9+MID(B623,2,1)*8+MID(B623,3,1)*7+MID(B623,4,1)*6+MID(B623,5,1)*5+MID(B623,6,1)*4+MID(B623,7,1)*3+MID(B623,8,1)*2+MID(B623,9,1)</f>
        <v/>
      </c>
      <c r="F623">
        <f>IF(B623="", " ", IF(LEN(B623)&lt;&gt;11, "ДЛИНА", IF(NOT(ISNUMBER(--B623)), "НЕ ЦИФРЫ", IF(LEFT(B623,9)*1&lt;=1001998, "OK", IF(RIGHT(B623,2)*1=IF(MOD(E623,101)&gt;=100,0,MOD(E623,101)),"OK","ОШИБКА")))))</f>
        <v/>
      </c>
      <c r="G6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3">
        <f>IF(LEN(TRIM(A623))=10, --MID(A623,1,1)*2+--MID(A623,2,1)*4+--MID(A623,3,1)*10+--MID(A623,4,1)*3+--MID(A623,5,1)*5+--MID(A623,6,1)*9+--MID(A623,7,1)*4+--MID(A623,8,1)*6+--MID(A623,9,1)*8, IF(LEN(TRIM(A623))=12, --MID(A623,1,1)*7+--MID(A623,2,1)*2+--MID(A623,3,1)*4+--MID(A623,4,1)*10+--MID(A623,5,1)*3+--MID(A623,6,1)*5+--MID(A623,7,1)*9+--MID(A623,8,1)*4+--MID(A623,9,1)*6+--MID(A623,10,1)*8, ""))</f>
        <v/>
      </c>
      <c r="I623">
        <f>IF(LEN(TRIM(A623))=12, --MID(A623,1,1)*3+--MID(A623,2,1)*7+--MID(A623,3,1)*2+--MID(A623,4,1)*4+--MID(A623,5,1)*10+--MID(A623,6,1)*3+--MID(A623,7,1)*5+--MID(A623,8,1)*9+--MID(A623,9,1)*4+--MID(A623,10,1)*6+--MID(A623,11,1)*8, "")</f>
        <v/>
      </c>
    </row>
    <row r="624">
      <c r="A624">
        <f>SUBSTITUTE(SUBSTITUTE(SUBSTITUTE(SUBSTITUTE(TRIM(INDEX(Реестр!$B:$B,ROW())),CHAR(160),""),CHAR(9),""),CHAR(10),""),CHAR(13),"")</f>
        <v/>
      </c>
      <c r="B624">
        <f>SUBSTITUTE(SUBSTITUTE(SUBSTITUTE(SUBSTITUTE(SUBSTITUTE(SUBSTITUTE(SUBSTITUTE(TRIM(INDEX(Реестр!$D:$D, ROW())), "-", ""), " ", ""), CHAR(160), ""), CHAR(9), ""), CHAR(10), ""), CHAR(13), ""), CHAR(32), "")</f>
        <v/>
      </c>
      <c r="C624">
        <f>INDEX(Реестр!$H:$H, ROW())</f>
        <v/>
      </c>
      <c r="D624">
        <f>IF(OR(ISBLANK(INDEX(Реестр!$B:$B, ROW())), INDEX(Реестр!$B:$B, ROW())=""), " ", IF(IFERROR(ISNUMBER(--A624),FALSE), IF(LEN(A624)=10, IF(MOD(MOD(H624,11),10)=--RIGHT(A624,1), "OK", "ОШИБКА"), IF(LEN(A624)=12, IF(AND(MOD(MOD(H624,11),10)=--MID(A624,11,1), MOD(MOD(I624,11),10)=--RIGHT(A624,1)), "OK", "ОШИБКА"), "ДЛИНА (10 или 12)")), "НЕ ЦИФРЫ"))</f>
        <v/>
      </c>
      <c r="E624">
        <f>MID(B624,1,1)*9+MID(B624,2,1)*8+MID(B624,3,1)*7+MID(B624,4,1)*6+MID(B624,5,1)*5+MID(B624,6,1)*4+MID(B624,7,1)*3+MID(B624,8,1)*2+MID(B624,9,1)</f>
        <v/>
      </c>
      <c r="F624">
        <f>IF(B624="", " ", IF(LEN(B624)&lt;&gt;11, "ДЛИНА", IF(NOT(ISNUMBER(--B624)), "НЕ ЦИФРЫ", IF(LEFT(B624,9)*1&lt;=1001998, "OK", IF(RIGHT(B624,2)*1=IF(MOD(E624,101)&gt;=100,0,MOD(E624,101)),"OK","ОШИБКА")))))</f>
        <v/>
      </c>
      <c r="G6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4">
        <f>IF(LEN(TRIM(A624))=10, --MID(A624,1,1)*2+--MID(A624,2,1)*4+--MID(A624,3,1)*10+--MID(A624,4,1)*3+--MID(A624,5,1)*5+--MID(A624,6,1)*9+--MID(A624,7,1)*4+--MID(A624,8,1)*6+--MID(A624,9,1)*8, IF(LEN(TRIM(A624))=12, --MID(A624,1,1)*7+--MID(A624,2,1)*2+--MID(A624,3,1)*4+--MID(A624,4,1)*10+--MID(A624,5,1)*3+--MID(A624,6,1)*5+--MID(A624,7,1)*9+--MID(A624,8,1)*4+--MID(A624,9,1)*6+--MID(A624,10,1)*8, ""))</f>
        <v/>
      </c>
      <c r="I624">
        <f>IF(LEN(TRIM(A624))=12, --MID(A624,1,1)*3+--MID(A624,2,1)*7+--MID(A624,3,1)*2+--MID(A624,4,1)*4+--MID(A624,5,1)*10+--MID(A624,6,1)*3+--MID(A624,7,1)*5+--MID(A624,8,1)*9+--MID(A624,9,1)*4+--MID(A624,10,1)*6+--MID(A624,11,1)*8, "")</f>
        <v/>
      </c>
    </row>
    <row r="625">
      <c r="A625">
        <f>SUBSTITUTE(SUBSTITUTE(SUBSTITUTE(SUBSTITUTE(TRIM(INDEX(Реестр!$B:$B,ROW())),CHAR(160),""),CHAR(9),""),CHAR(10),""),CHAR(13),"")</f>
        <v/>
      </c>
      <c r="B625">
        <f>SUBSTITUTE(SUBSTITUTE(SUBSTITUTE(SUBSTITUTE(SUBSTITUTE(SUBSTITUTE(SUBSTITUTE(TRIM(INDEX(Реестр!$D:$D, ROW())), "-", ""), " ", ""), CHAR(160), ""), CHAR(9), ""), CHAR(10), ""), CHAR(13), ""), CHAR(32), "")</f>
        <v/>
      </c>
      <c r="C625">
        <f>INDEX(Реестр!$H:$H, ROW())</f>
        <v/>
      </c>
      <c r="D625">
        <f>IF(OR(ISBLANK(INDEX(Реестр!$B:$B, ROW())), INDEX(Реестр!$B:$B, ROW())=""), " ", IF(IFERROR(ISNUMBER(--A625),FALSE), IF(LEN(A625)=10, IF(MOD(MOD(H625,11),10)=--RIGHT(A625,1), "OK", "ОШИБКА"), IF(LEN(A625)=12, IF(AND(MOD(MOD(H625,11),10)=--MID(A625,11,1), MOD(MOD(I625,11),10)=--RIGHT(A625,1)), "OK", "ОШИБКА"), "ДЛИНА (10 или 12)")), "НЕ ЦИФРЫ"))</f>
        <v/>
      </c>
      <c r="E625">
        <f>MID(B625,1,1)*9+MID(B625,2,1)*8+MID(B625,3,1)*7+MID(B625,4,1)*6+MID(B625,5,1)*5+MID(B625,6,1)*4+MID(B625,7,1)*3+MID(B625,8,1)*2+MID(B625,9,1)</f>
        <v/>
      </c>
      <c r="F625">
        <f>IF(B625="", " ", IF(LEN(B625)&lt;&gt;11, "ДЛИНА", IF(NOT(ISNUMBER(--B625)), "НЕ ЦИФРЫ", IF(LEFT(B625,9)*1&lt;=1001998, "OK", IF(RIGHT(B625,2)*1=IF(MOD(E625,101)&gt;=100,0,MOD(E625,101)),"OK","ОШИБКА")))))</f>
        <v/>
      </c>
      <c r="G6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5">
        <f>IF(LEN(TRIM(A625))=10, --MID(A625,1,1)*2+--MID(A625,2,1)*4+--MID(A625,3,1)*10+--MID(A625,4,1)*3+--MID(A625,5,1)*5+--MID(A625,6,1)*9+--MID(A625,7,1)*4+--MID(A625,8,1)*6+--MID(A625,9,1)*8, IF(LEN(TRIM(A625))=12, --MID(A625,1,1)*7+--MID(A625,2,1)*2+--MID(A625,3,1)*4+--MID(A625,4,1)*10+--MID(A625,5,1)*3+--MID(A625,6,1)*5+--MID(A625,7,1)*9+--MID(A625,8,1)*4+--MID(A625,9,1)*6+--MID(A625,10,1)*8, ""))</f>
        <v/>
      </c>
      <c r="I625">
        <f>IF(LEN(TRIM(A625))=12, --MID(A625,1,1)*3+--MID(A625,2,1)*7+--MID(A625,3,1)*2+--MID(A625,4,1)*4+--MID(A625,5,1)*10+--MID(A625,6,1)*3+--MID(A625,7,1)*5+--MID(A625,8,1)*9+--MID(A625,9,1)*4+--MID(A625,10,1)*6+--MID(A625,11,1)*8, "")</f>
        <v/>
      </c>
    </row>
    <row r="626">
      <c r="A626">
        <f>SUBSTITUTE(SUBSTITUTE(SUBSTITUTE(SUBSTITUTE(TRIM(INDEX(Реестр!$B:$B,ROW())),CHAR(160),""),CHAR(9),""),CHAR(10),""),CHAR(13),"")</f>
        <v/>
      </c>
      <c r="B626">
        <f>SUBSTITUTE(SUBSTITUTE(SUBSTITUTE(SUBSTITUTE(SUBSTITUTE(SUBSTITUTE(SUBSTITUTE(TRIM(INDEX(Реестр!$D:$D, ROW())), "-", ""), " ", ""), CHAR(160), ""), CHAR(9), ""), CHAR(10), ""), CHAR(13), ""), CHAR(32), "")</f>
        <v/>
      </c>
      <c r="C626">
        <f>INDEX(Реестр!$H:$H, ROW())</f>
        <v/>
      </c>
      <c r="D626">
        <f>IF(OR(ISBLANK(INDEX(Реестр!$B:$B, ROW())), INDEX(Реестр!$B:$B, ROW())=""), " ", IF(IFERROR(ISNUMBER(--A626),FALSE), IF(LEN(A626)=10, IF(MOD(MOD(H626,11),10)=--RIGHT(A626,1), "OK", "ОШИБКА"), IF(LEN(A626)=12, IF(AND(MOD(MOD(H626,11),10)=--MID(A626,11,1), MOD(MOD(I626,11),10)=--RIGHT(A626,1)), "OK", "ОШИБКА"), "ДЛИНА (10 или 12)")), "НЕ ЦИФРЫ"))</f>
        <v/>
      </c>
      <c r="E626">
        <f>MID(B626,1,1)*9+MID(B626,2,1)*8+MID(B626,3,1)*7+MID(B626,4,1)*6+MID(B626,5,1)*5+MID(B626,6,1)*4+MID(B626,7,1)*3+MID(B626,8,1)*2+MID(B626,9,1)</f>
        <v/>
      </c>
      <c r="F626">
        <f>IF(B626="", " ", IF(LEN(B626)&lt;&gt;11, "ДЛИНА", IF(NOT(ISNUMBER(--B626)), "НЕ ЦИФРЫ", IF(LEFT(B626,9)*1&lt;=1001998, "OK", IF(RIGHT(B626,2)*1=IF(MOD(E626,101)&gt;=100,0,MOD(E626,101)),"OK","ОШИБКА")))))</f>
        <v/>
      </c>
      <c r="G6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6">
        <f>IF(LEN(TRIM(A626))=10, --MID(A626,1,1)*2+--MID(A626,2,1)*4+--MID(A626,3,1)*10+--MID(A626,4,1)*3+--MID(A626,5,1)*5+--MID(A626,6,1)*9+--MID(A626,7,1)*4+--MID(A626,8,1)*6+--MID(A626,9,1)*8, IF(LEN(TRIM(A626))=12, --MID(A626,1,1)*7+--MID(A626,2,1)*2+--MID(A626,3,1)*4+--MID(A626,4,1)*10+--MID(A626,5,1)*3+--MID(A626,6,1)*5+--MID(A626,7,1)*9+--MID(A626,8,1)*4+--MID(A626,9,1)*6+--MID(A626,10,1)*8, ""))</f>
        <v/>
      </c>
      <c r="I626">
        <f>IF(LEN(TRIM(A626))=12, --MID(A626,1,1)*3+--MID(A626,2,1)*7+--MID(A626,3,1)*2+--MID(A626,4,1)*4+--MID(A626,5,1)*10+--MID(A626,6,1)*3+--MID(A626,7,1)*5+--MID(A626,8,1)*9+--MID(A626,9,1)*4+--MID(A626,10,1)*6+--MID(A626,11,1)*8, "")</f>
        <v/>
      </c>
    </row>
    <row r="627">
      <c r="A627">
        <f>SUBSTITUTE(SUBSTITUTE(SUBSTITUTE(SUBSTITUTE(TRIM(INDEX(Реестр!$B:$B,ROW())),CHAR(160),""),CHAR(9),""),CHAR(10),""),CHAR(13),"")</f>
        <v/>
      </c>
      <c r="B627">
        <f>SUBSTITUTE(SUBSTITUTE(SUBSTITUTE(SUBSTITUTE(SUBSTITUTE(SUBSTITUTE(SUBSTITUTE(TRIM(INDEX(Реестр!$D:$D, ROW())), "-", ""), " ", ""), CHAR(160), ""), CHAR(9), ""), CHAR(10), ""), CHAR(13), ""), CHAR(32), "")</f>
        <v/>
      </c>
      <c r="C627">
        <f>INDEX(Реестр!$H:$H, ROW())</f>
        <v/>
      </c>
      <c r="D627">
        <f>IF(OR(ISBLANK(INDEX(Реестр!$B:$B, ROW())), INDEX(Реестр!$B:$B, ROW())=""), " ", IF(IFERROR(ISNUMBER(--A627),FALSE), IF(LEN(A627)=10, IF(MOD(MOD(H627,11),10)=--RIGHT(A627,1), "OK", "ОШИБКА"), IF(LEN(A627)=12, IF(AND(MOD(MOD(H627,11),10)=--MID(A627,11,1), MOD(MOD(I627,11),10)=--RIGHT(A627,1)), "OK", "ОШИБКА"), "ДЛИНА (10 или 12)")), "НЕ ЦИФРЫ"))</f>
        <v/>
      </c>
      <c r="E627">
        <f>MID(B627,1,1)*9+MID(B627,2,1)*8+MID(B627,3,1)*7+MID(B627,4,1)*6+MID(B627,5,1)*5+MID(B627,6,1)*4+MID(B627,7,1)*3+MID(B627,8,1)*2+MID(B627,9,1)</f>
        <v/>
      </c>
      <c r="F627">
        <f>IF(B627="", " ", IF(LEN(B627)&lt;&gt;11, "ДЛИНА", IF(NOT(ISNUMBER(--B627)), "НЕ ЦИФРЫ", IF(LEFT(B627,9)*1&lt;=1001998, "OK", IF(RIGHT(B627,2)*1=IF(MOD(E627,101)&gt;=100,0,MOD(E627,101)),"OK","ОШИБКА")))))</f>
        <v/>
      </c>
      <c r="G6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7">
        <f>IF(LEN(TRIM(A627))=10, --MID(A627,1,1)*2+--MID(A627,2,1)*4+--MID(A627,3,1)*10+--MID(A627,4,1)*3+--MID(A627,5,1)*5+--MID(A627,6,1)*9+--MID(A627,7,1)*4+--MID(A627,8,1)*6+--MID(A627,9,1)*8, IF(LEN(TRIM(A627))=12, --MID(A627,1,1)*7+--MID(A627,2,1)*2+--MID(A627,3,1)*4+--MID(A627,4,1)*10+--MID(A627,5,1)*3+--MID(A627,6,1)*5+--MID(A627,7,1)*9+--MID(A627,8,1)*4+--MID(A627,9,1)*6+--MID(A627,10,1)*8, ""))</f>
        <v/>
      </c>
      <c r="I627">
        <f>IF(LEN(TRIM(A627))=12, --MID(A627,1,1)*3+--MID(A627,2,1)*7+--MID(A627,3,1)*2+--MID(A627,4,1)*4+--MID(A627,5,1)*10+--MID(A627,6,1)*3+--MID(A627,7,1)*5+--MID(A627,8,1)*9+--MID(A627,9,1)*4+--MID(A627,10,1)*6+--MID(A627,11,1)*8, "")</f>
        <v/>
      </c>
    </row>
    <row r="628">
      <c r="A628">
        <f>SUBSTITUTE(SUBSTITUTE(SUBSTITUTE(SUBSTITUTE(TRIM(INDEX(Реестр!$B:$B,ROW())),CHAR(160),""),CHAR(9),""),CHAR(10),""),CHAR(13),"")</f>
        <v/>
      </c>
      <c r="B628">
        <f>SUBSTITUTE(SUBSTITUTE(SUBSTITUTE(SUBSTITUTE(SUBSTITUTE(SUBSTITUTE(SUBSTITUTE(TRIM(INDEX(Реестр!$D:$D, ROW())), "-", ""), " ", ""), CHAR(160), ""), CHAR(9), ""), CHAR(10), ""), CHAR(13), ""), CHAR(32), "")</f>
        <v/>
      </c>
      <c r="C628">
        <f>INDEX(Реестр!$H:$H, ROW())</f>
        <v/>
      </c>
      <c r="D628">
        <f>IF(OR(ISBLANK(INDEX(Реестр!$B:$B, ROW())), INDEX(Реестр!$B:$B, ROW())=""), " ", IF(IFERROR(ISNUMBER(--A628),FALSE), IF(LEN(A628)=10, IF(MOD(MOD(H628,11),10)=--RIGHT(A628,1), "OK", "ОШИБКА"), IF(LEN(A628)=12, IF(AND(MOD(MOD(H628,11),10)=--MID(A628,11,1), MOD(MOD(I628,11),10)=--RIGHT(A628,1)), "OK", "ОШИБКА"), "ДЛИНА (10 или 12)")), "НЕ ЦИФРЫ"))</f>
        <v/>
      </c>
      <c r="E628">
        <f>MID(B628,1,1)*9+MID(B628,2,1)*8+MID(B628,3,1)*7+MID(B628,4,1)*6+MID(B628,5,1)*5+MID(B628,6,1)*4+MID(B628,7,1)*3+MID(B628,8,1)*2+MID(B628,9,1)</f>
        <v/>
      </c>
      <c r="F628">
        <f>IF(B628="", " ", IF(LEN(B628)&lt;&gt;11, "ДЛИНА", IF(NOT(ISNUMBER(--B628)), "НЕ ЦИФРЫ", IF(LEFT(B628,9)*1&lt;=1001998, "OK", IF(RIGHT(B628,2)*1=IF(MOD(E628,101)&gt;=100,0,MOD(E628,101)),"OK","ОШИБКА")))))</f>
        <v/>
      </c>
      <c r="G6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8">
        <f>IF(LEN(TRIM(A628))=10, --MID(A628,1,1)*2+--MID(A628,2,1)*4+--MID(A628,3,1)*10+--MID(A628,4,1)*3+--MID(A628,5,1)*5+--MID(A628,6,1)*9+--MID(A628,7,1)*4+--MID(A628,8,1)*6+--MID(A628,9,1)*8, IF(LEN(TRIM(A628))=12, --MID(A628,1,1)*7+--MID(A628,2,1)*2+--MID(A628,3,1)*4+--MID(A628,4,1)*10+--MID(A628,5,1)*3+--MID(A628,6,1)*5+--MID(A628,7,1)*9+--MID(A628,8,1)*4+--MID(A628,9,1)*6+--MID(A628,10,1)*8, ""))</f>
        <v/>
      </c>
      <c r="I628">
        <f>IF(LEN(TRIM(A628))=12, --MID(A628,1,1)*3+--MID(A628,2,1)*7+--MID(A628,3,1)*2+--MID(A628,4,1)*4+--MID(A628,5,1)*10+--MID(A628,6,1)*3+--MID(A628,7,1)*5+--MID(A628,8,1)*9+--MID(A628,9,1)*4+--MID(A628,10,1)*6+--MID(A628,11,1)*8, "")</f>
        <v/>
      </c>
    </row>
    <row r="629">
      <c r="A629">
        <f>SUBSTITUTE(SUBSTITUTE(SUBSTITUTE(SUBSTITUTE(TRIM(INDEX(Реестр!$B:$B,ROW())),CHAR(160),""),CHAR(9),""),CHAR(10),""),CHAR(13),"")</f>
        <v/>
      </c>
      <c r="B629">
        <f>SUBSTITUTE(SUBSTITUTE(SUBSTITUTE(SUBSTITUTE(SUBSTITUTE(SUBSTITUTE(SUBSTITUTE(TRIM(INDEX(Реестр!$D:$D, ROW())), "-", ""), " ", ""), CHAR(160), ""), CHAR(9), ""), CHAR(10), ""), CHAR(13), ""), CHAR(32), "")</f>
        <v/>
      </c>
      <c r="C629">
        <f>INDEX(Реестр!$H:$H, ROW())</f>
        <v/>
      </c>
      <c r="D629">
        <f>IF(OR(ISBLANK(INDEX(Реестр!$B:$B, ROW())), INDEX(Реестр!$B:$B, ROW())=""), " ", IF(IFERROR(ISNUMBER(--A629),FALSE), IF(LEN(A629)=10, IF(MOD(MOD(H629,11),10)=--RIGHT(A629,1), "OK", "ОШИБКА"), IF(LEN(A629)=12, IF(AND(MOD(MOD(H629,11),10)=--MID(A629,11,1), MOD(MOD(I629,11),10)=--RIGHT(A629,1)), "OK", "ОШИБКА"), "ДЛИНА (10 или 12)")), "НЕ ЦИФРЫ"))</f>
        <v/>
      </c>
      <c r="E629">
        <f>MID(B629,1,1)*9+MID(B629,2,1)*8+MID(B629,3,1)*7+MID(B629,4,1)*6+MID(B629,5,1)*5+MID(B629,6,1)*4+MID(B629,7,1)*3+MID(B629,8,1)*2+MID(B629,9,1)</f>
        <v/>
      </c>
      <c r="F629">
        <f>IF(B629="", " ", IF(LEN(B629)&lt;&gt;11, "ДЛИНА", IF(NOT(ISNUMBER(--B629)), "НЕ ЦИФРЫ", IF(LEFT(B629,9)*1&lt;=1001998, "OK", IF(RIGHT(B629,2)*1=IF(MOD(E629,101)&gt;=100,0,MOD(E629,101)),"OK","ОШИБКА")))))</f>
        <v/>
      </c>
      <c r="G6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29">
        <f>IF(LEN(TRIM(A629))=10, --MID(A629,1,1)*2+--MID(A629,2,1)*4+--MID(A629,3,1)*10+--MID(A629,4,1)*3+--MID(A629,5,1)*5+--MID(A629,6,1)*9+--MID(A629,7,1)*4+--MID(A629,8,1)*6+--MID(A629,9,1)*8, IF(LEN(TRIM(A629))=12, --MID(A629,1,1)*7+--MID(A629,2,1)*2+--MID(A629,3,1)*4+--MID(A629,4,1)*10+--MID(A629,5,1)*3+--MID(A629,6,1)*5+--MID(A629,7,1)*9+--MID(A629,8,1)*4+--MID(A629,9,1)*6+--MID(A629,10,1)*8, ""))</f>
        <v/>
      </c>
      <c r="I629">
        <f>IF(LEN(TRIM(A629))=12, --MID(A629,1,1)*3+--MID(A629,2,1)*7+--MID(A629,3,1)*2+--MID(A629,4,1)*4+--MID(A629,5,1)*10+--MID(A629,6,1)*3+--MID(A629,7,1)*5+--MID(A629,8,1)*9+--MID(A629,9,1)*4+--MID(A629,10,1)*6+--MID(A629,11,1)*8, "")</f>
        <v/>
      </c>
    </row>
    <row r="630">
      <c r="A630">
        <f>SUBSTITUTE(SUBSTITUTE(SUBSTITUTE(SUBSTITUTE(TRIM(INDEX(Реестр!$B:$B,ROW())),CHAR(160),""),CHAR(9),""),CHAR(10),""),CHAR(13),"")</f>
        <v/>
      </c>
      <c r="B630">
        <f>SUBSTITUTE(SUBSTITUTE(SUBSTITUTE(SUBSTITUTE(SUBSTITUTE(SUBSTITUTE(SUBSTITUTE(TRIM(INDEX(Реестр!$D:$D, ROW())), "-", ""), " ", ""), CHAR(160), ""), CHAR(9), ""), CHAR(10), ""), CHAR(13), ""), CHAR(32), "")</f>
        <v/>
      </c>
      <c r="C630">
        <f>INDEX(Реестр!$H:$H, ROW())</f>
        <v/>
      </c>
      <c r="D630">
        <f>IF(OR(ISBLANK(INDEX(Реестр!$B:$B, ROW())), INDEX(Реестр!$B:$B, ROW())=""), " ", IF(IFERROR(ISNUMBER(--A630),FALSE), IF(LEN(A630)=10, IF(MOD(MOD(H630,11),10)=--RIGHT(A630,1), "OK", "ОШИБКА"), IF(LEN(A630)=12, IF(AND(MOD(MOD(H630,11),10)=--MID(A630,11,1), MOD(MOD(I630,11),10)=--RIGHT(A630,1)), "OK", "ОШИБКА"), "ДЛИНА (10 или 12)")), "НЕ ЦИФРЫ"))</f>
        <v/>
      </c>
      <c r="E630">
        <f>MID(B630,1,1)*9+MID(B630,2,1)*8+MID(B630,3,1)*7+MID(B630,4,1)*6+MID(B630,5,1)*5+MID(B630,6,1)*4+MID(B630,7,1)*3+MID(B630,8,1)*2+MID(B630,9,1)</f>
        <v/>
      </c>
      <c r="F630">
        <f>IF(B630="", " ", IF(LEN(B630)&lt;&gt;11, "ДЛИНА", IF(NOT(ISNUMBER(--B630)), "НЕ ЦИФРЫ", IF(LEFT(B630,9)*1&lt;=1001998, "OK", IF(RIGHT(B630,2)*1=IF(MOD(E630,101)&gt;=100,0,MOD(E630,101)),"OK","ОШИБКА")))))</f>
        <v/>
      </c>
      <c r="G6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0">
        <f>IF(LEN(TRIM(A630))=10, --MID(A630,1,1)*2+--MID(A630,2,1)*4+--MID(A630,3,1)*10+--MID(A630,4,1)*3+--MID(A630,5,1)*5+--MID(A630,6,1)*9+--MID(A630,7,1)*4+--MID(A630,8,1)*6+--MID(A630,9,1)*8, IF(LEN(TRIM(A630))=12, --MID(A630,1,1)*7+--MID(A630,2,1)*2+--MID(A630,3,1)*4+--MID(A630,4,1)*10+--MID(A630,5,1)*3+--MID(A630,6,1)*5+--MID(A630,7,1)*9+--MID(A630,8,1)*4+--MID(A630,9,1)*6+--MID(A630,10,1)*8, ""))</f>
        <v/>
      </c>
      <c r="I630">
        <f>IF(LEN(TRIM(A630))=12, --MID(A630,1,1)*3+--MID(A630,2,1)*7+--MID(A630,3,1)*2+--MID(A630,4,1)*4+--MID(A630,5,1)*10+--MID(A630,6,1)*3+--MID(A630,7,1)*5+--MID(A630,8,1)*9+--MID(A630,9,1)*4+--MID(A630,10,1)*6+--MID(A630,11,1)*8, "")</f>
        <v/>
      </c>
    </row>
    <row r="631">
      <c r="A631">
        <f>SUBSTITUTE(SUBSTITUTE(SUBSTITUTE(SUBSTITUTE(TRIM(INDEX(Реестр!$B:$B,ROW())),CHAR(160),""),CHAR(9),""),CHAR(10),""),CHAR(13),"")</f>
        <v/>
      </c>
      <c r="B631">
        <f>SUBSTITUTE(SUBSTITUTE(SUBSTITUTE(SUBSTITUTE(SUBSTITUTE(SUBSTITUTE(SUBSTITUTE(TRIM(INDEX(Реестр!$D:$D, ROW())), "-", ""), " ", ""), CHAR(160), ""), CHAR(9), ""), CHAR(10), ""), CHAR(13), ""), CHAR(32), "")</f>
        <v/>
      </c>
      <c r="C631">
        <f>INDEX(Реестр!$H:$H, ROW())</f>
        <v/>
      </c>
      <c r="D631">
        <f>IF(OR(ISBLANK(INDEX(Реестр!$B:$B, ROW())), INDEX(Реестр!$B:$B, ROW())=""), " ", IF(IFERROR(ISNUMBER(--A631),FALSE), IF(LEN(A631)=10, IF(MOD(MOD(H631,11),10)=--RIGHT(A631,1), "OK", "ОШИБКА"), IF(LEN(A631)=12, IF(AND(MOD(MOD(H631,11),10)=--MID(A631,11,1), MOD(MOD(I631,11),10)=--RIGHT(A631,1)), "OK", "ОШИБКА"), "ДЛИНА (10 или 12)")), "НЕ ЦИФРЫ"))</f>
        <v/>
      </c>
      <c r="E631">
        <f>MID(B631,1,1)*9+MID(B631,2,1)*8+MID(B631,3,1)*7+MID(B631,4,1)*6+MID(B631,5,1)*5+MID(B631,6,1)*4+MID(B631,7,1)*3+MID(B631,8,1)*2+MID(B631,9,1)</f>
        <v/>
      </c>
      <c r="F631">
        <f>IF(B631="", " ", IF(LEN(B631)&lt;&gt;11, "ДЛИНА", IF(NOT(ISNUMBER(--B631)), "НЕ ЦИФРЫ", IF(LEFT(B631,9)*1&lt;=1001998, "OK", IF(RIGHT(B631,2)*1=IF(MOD(E631,101)&gt;=100,0,MOD(E631,101)),"OK","ОШИБКА")))))</f>
        <v/>
      </c>
      <c r="G6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1">
        <f>IF(LEN(TRIM(A631))=10, --MID(A631,1,1)*2+--MID(A631,2,1)*4+--MID(A631,3,1)*10+--MID(A631,4,1)*3+--MID(A631,5,1)*5+--MID(A631,6,1)*9+--MID(A631,7,1)*4+--MID(A631,8,1)*6+--MID(A631,9,1)*8, IF(LEN(TRIM(A631))=12, --MID(A631,1,1)*7+--MID(A631,2,1)*2+--MID(A631,3,1)*4+--MID(A631,4,1)*10+--MID(A631,5,1)*3+--MID(A631,6,1)*5+--MID(A631,7,1)*9+--MID(A631,8,1)*4+--MID(A631,9,1)*6+--MID(A631,10,1)*8, ""))</f>
        <v/>
      </c>
      <c r="I631">
        <f>IF(LEN(TRIM(A631))=12, --MID(A631,1,1)*3+--MID(A631,2,1)*7+--MID(A631,3,1)*2+--MID(A631,4,1)*4+--MID(A631,5,1)*10+--MID(A631,6,1)*3+--MID(A631,7,1)*5+--MID(A631,8,1)*9+--MID(A631,9,1)*4+--MID(A631,10,1)*6+--MID(A631,11,1)*8, "")</f>
        <v/>
      </c>
    </row>
    <row r="632">
      <c r="A632">
        <f>SUBSTITUTE(SUBSTITUTE(SUBSTITUTE(SUBSTITUTE(TRIM(INDEX(Реестр!$B:$B,ROW())),CHAR(160),""),CHAR(9),""),CHAR(10),""),CHAR(13),"")</f>
        <v/>
      </c>
      <c r="B632">
        <f>SUBSTITUTE(SUBSTITUTE(SUBSTITUTE(SUBSTITUTE(SUBSTITUTE(SUBSTITUTE(SUBSTITUTE(TRIM(INDEX(Реестр!$D:$D, ROW())), "-", ""), " ", ""), CHAR(160), ""), CHAR(9), ""), CHAR(10), ""), CHAR(13), ""), CHAR(32), "")</f>
        <v/>
      </c>
      <c r="C632">
        <f>INDEX(Реестр!$H:$H, ROW())</f>
        <v/>
      </c>
      <c r="D632">
        <f>IF(OR(ISBLANK(INDEX(Реестр!$B:$B, ROW())), INDEX(Реестр!$B:$B, ROW())=""), " ", IF(IFERROR(ISNUMBER(--A632),FALSE), IF(LEN(A632)=10, IF(MOD(MOD(H632,11),10)=--RIGHT(A632,1), "OK", "ОШИБКА"), IF(LEN(A632)=12, IF(AND(MOD(MOD(H632,11),10)=--MID(A632,11,1), MOD(MOD(I632,11),10)=--RIGHT(A632,1)), "OK", "ОШИБКА"), "ДЛИНА (10 или 12)")), "НЕ ЦИФРЫ"))</f>
        <v/>
      </c>
      <c r="E632">
        <f>MID(B632,1,1)*9+MID(B632,2,1)*8+MID(B632,3,1)*7+MID(B632,4,1)*6+MID(B632,5,1)*5+MID(B632,6,1)*4+MID(B632,7,1)*3+MID(B632,8,1)*2+MID(B632,9,1)</f>
        <v/>
      </c>
      <c r="F632">
        <f>IF(B632="", " ", IF(LEN(B632)&lt;&gt;11, "ДЛИНА", IF(NOT(ISNUMBER(--B632)), "НЕ ЦИФРЫ", IF(LEFT(B632,9)*1&lt;=1001998, "OK", IF(RIGHT(B632,2)*1=IF(MOD(E632,101)&gt;=100,0,MOD(E632,101)),"OK","ОШИБКА")))))</f>
        <v/>
      </c>
      <c r="G6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2">
        <f>IF(LEN(TRIM(A632))=10, --MID(A632,1,1)*2+--MID(A632,2,1)*4+--MID(A632,3,1)*10+--MID(A632,4,1)*3+--MID(A632,5,1)*5+--MID(A632,6,1)*9+--MID(A632,7,1)*4+--MID(A632,8,1)*6+--MID(A632,9,1)*8, IF(LEN(TRIM(A632))=12, --MID(A632,1,1)*7+--MID(A632,2,1)*2+--MID(A632,3,1)*4+--MID(A632,4,1)*10+--MID(A632,5,1)*3+--MID(A632,6,1)*5+--MID(A632,7,1)*9+--MID(A632,8,1)*4+--MID(A632,9,1)*6+--MID(A632,10,1)*8, ""))</f>
        <v/>
      </c>
      <c r="I632">
        <f>IF(LEN(TRIM(A632))=12, --MID(A632,1,1)*3+--MID(A632,2,1)*7+--MID(A632,3,1)*2+--MID(A632,4,1)*4+--MID(A632,5,1)*10+--MID(A632,6,1)*3+--MID(A632,7,1)*5+--MID(A632,8,1)*9+--MID(A632,9,1)*4+--MID(A632,10,1)*6+--MID(A632,11,1)*8, "")</f>
        <v/>
      </c>
    </row>
    <row r="633">
      <c r="A633">
        <f>SUBSTITUTE(SUBSTITUTE(SUBSTITUTE(SUBSTITUTE(TRIM(INDEX(Реестр!$B:$B,ROW())),CHAR(160),""),CHAR(9),""),CHAR(10),""),CHAR(13),"")</f>
        <v/>
      </c>
      <c r="B633">
        <f>SUBSTITUTE(SUBSTITUTE(SUBSTITUTE(SUBSTITUTE(SUBSTITUTE(SUBSTITUTE(SUBSTITUTE(TRIM(INDEX(Реестр!$D:$D, ROW())), "-", ""), " ", ""), CHAR(160), ""), CHAR(9), ""), CHAR(10), ""), CHAR(13), ""), CHAR(32), "")</f>
        <v/>
      </c>
      <c r="C633">
        <f>INDEX(Реестр!$H:$H, ROW())</f>
        <v/>
      </c>
      <c r="D633">
        <f>IF(OR(ISBLANK(INDEX(Реестр!$B:$B, ROW())), INDEX(Реестр!$B:$B, ROW())=""), " ", IF(IFERROR(ISNUMBER(--A633),FALSE), IF(LEN(A633)=10, IF(MOD(MOD(H633,11),10)=--RIGHT(A633,1), "OK", "ОШИБКА"), IF(LEN(A633)=12, IF(AND(MOD(MOD(H633,11),10)=--MID(A633,11,1), MOD(MOD(I633,11),10)=--RIGHT(A633,1)), "OK", "ОШИБКА"), "ДЛИНА (10 или 12)")), "НЕ ЦИФРЫ"))</f>
        <v/>
      </c>
      <c r="E633">
        <f>MID(B633,1,1)*9+MID(B633,2,1)*8+MID(B633,3,1)*7+MID(B633,4,1)*6+MID(B633,5,1)*5+MID(B633,6,1)*4+MID(B633,7,1)*3+MID(B633,8,1)*2+MID(B633,9,1)</f>
        <v/>
      </c>
      <c r="F633">
        <f>IF(B633="", " ", IF(LEN(B633)&lt;&gt;11, "ДЛИНА", IF(NOT(ISNUMBER(--B633)), "НЕ ЦИФРЫ", IF(LEFT(B633,9)*1&lt;=1001998, "OK", IF(RIGHT(B633,2)*1=IF(MOD(E633,101)&gt;=100,0,MOD(E633,101)),"OK","ОШИБКА")))))</f>
        <v/>
      </c>
      <c r="G6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3">
        <f>IF(LEN(TRIM(A633))=10, --MID(A633,1,1)*2+--MID(A633,2,1)*4+--MID(A633,3,1)*10+--MID(A633,4,1)*3+--MID(A633,5,1)*5+--MID(A633,6,1)*9+--MID(A633,7,1)*4+--MID(A633,8,1)*6+--MID(A633,9,1)*8, IF(LEN(TRIM(A633))=12, --MID(A633,1,1)*7+--MID(A633,2,1)*2+--MID(A633,3,1)*4+--MID(A633,4,1)*10+--MID(A633,5,1)*3+--MID(A633,6,1)*5+--MID(A633,7,1)*9+--MID(A633,8,1)*4+--MID(A633,9,1)*6+--MID(A633,10,1)*8, ""))</f>
        <v/>
      </c>
      <c r="I633">
        <f>IF(LEN(TRIM(A633))=12, --MID(A633,1,1)*3+--MID(A633,2,1)*7+--MID(A633,3,1)*2+--MID(A633,4,1)*4+--MID(A633,5,1)*10+--MID(A633,6,1)*3+--MID(A633,7,1)*5+--MID(A633,8,1)*9+--MID(A633,9,1)*4+--MID(A633,10,1)*6+--MID(A633,11,1)*8, "")</f>
        <v/>
      </c>
    </row>
    <row r="634">
      <c r="A634">
        <f>SUBSTITUTE(SUBSTITUTE(SUBSTITUTE(SUBSTITUTE(TRIM(INDEX(Реестр!$B:$B,ROW())),CHAR(160),""),CHAR(9),""),CHAR(10),""),CHAR(13),"")</f>
        <v/>
      </c>
      <c r="B634">
        <f>SUBSTITUTE(SUBSTITUTE(SUBSTITUTE(SUBSTITUTE(SUBSTITUTE(SUBSTITUTE(SUBSTITUTE(TRIM(INDEX(Реестр!$D:$D, ROW())), "-", ""), " ", ""), CHAR(160), ""), CHAR(9), ""), CHAR(10), ""), CHAR(13), ""), CHAR(32), "")</f>
        <v/>
      </c>
      <c r="C634">
        <f>INDEX(Реестр!$H:$H, ROW())</f>
        <v/>
      </c>
      <c r="D634">
        <f>IF(OR(ISBLANK(INDEX(Реестр!$B:$B, ROW())), INDEX(Реестр!$B:$B, ROW())=""), " ", IF(IFERROR(ISNUMBER(--A634),FALSE), IF(LEN(A634)=10, IF(MOD(MOD(H634,11),10)=--RIGHT(A634,1), "OK", "ОШИБКА"), IF(LEN(A634)=12, IF(AND(MOD(MOD(H634,11),10)=--MID(A634,11,1), MOD(MOD(I634,11),10)=--RIGHT(A634,1)), "OK", "ОШИБКА"), "ДЛИНА (10 или 12)")), "НЕ ЦИФРЫ"))</f>
        <v/>
      </c>
      <c r="E634">
        <f>MID(B634,1,1)*9+MID(B634,2,1)*8+MID(B634,3,1)*7+MID(B634,4,1)*6+MID(B634,5,1)*5+MID(B634,6,1)*4+MID(B634,7,1)*3+MID(B634,8,1)*2+MID(B634,9,1)</f>
        <v/>
      </c>
      <c r="F634">
        <f>IF(B634="", " ", IF(LEN(B634)&lt;&gt;11, "ДЛИНА", IF(NOT(ISNUMBER(--B634)), "НЕ ЦИФРЫ", IF(LEFT(B634,9)*1&lt;=1001998, "OK", IF(RIGHT(B634,2)*1=IF(MOD(E634,101)&gt;=100,0,MOD(E634,101)),"OK","ОШИБКА")))))</f>
        <v/>
      </c>
      <c r="G6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4">
        <f>IF(LEN(TRIM(A634))=10, --MID(A634,1,1)*2+--MID(A634,2,1)*4+--MID(A634,3,1)*10+--MID(A634,4,1)*3+--MID(A634,5,1)*5+--MID(A634,6,1)*9+--MID(A634,7,1)*4+--MID(A634,8,1)*6+--MID(A634,9,1)*8, IF(LEN(TRIM(A634))=12, --MID(A634,1,1)*7+--MID(A634,2,1)*2+--MID(A634,3,1)*4+--MID(A634,4,1)*10+--MID(A634,5,1)*3+--MID(A634,6,1)*5+--MID(A634,7,1)*9+--MID(A634,8,1)*4+--MID(A634,9,1)*6+--MID(A634,10,1)*8, ""))</f>
        <v/>
      </c>
      <c r="I634">
        <f>IF(LEN(TRIM(A634))=12, --MID(A634,1,1)*3+--MID(A634,2,1)*7+--MID(A634,3,1)*2+--MID(A634,4,1)*4+--MID(A634,5,1)*10+--MID(A634,6,1)*3+--MID(A634,7,1)*5+--MID(A634,8,1)*9+--MID(A634,9,1)*4+--MID(A634,10,1)*6+--MID(A634,11,1)*8, "")</f>
        <v/>
      </c>
    </row>
    <row r="635">
      <c r="A635">
        <f>SUBSTITUTE(SUBSTITUTE(SUBSTITUTE(SUBSTITUTE(TRIM(INDEX(Реестр!$B:$B,ROW())),CHAR(160),""),CHAR(9),""),CHAR(10),""),CHAR(13),"")</f>
        <v/>
      </c>
      <c r="B635">
        <f>SUBSTITUTE(SUBSTITUTE(SUBSTITUTE(SUBSTITUTE(SUBSTITUTE(SUBSTITUTE(SUBSTITUTE(TRIM(INDEX(Реестр!$D:$D, ROW())), "-", ""), " ", ""), CHAR(160), ""), CHAR(9), ""), CHAR(10), ""), CHAR(13), ""), CHAR(32), "")</f>
        <v/>
      </c>
      <c r="C635">
        <f>INDEX(Реестр!$H:$H, ROW())</f>
        <v/>
      </c>
      <c r="D635">
        <f>IF(OR(ISBLANK(INDEX(Реестр!$B:$B, ROW())), INDEX(Реестр!$B:$B, ROW())=""), " ", IF(IFERROR(ISNUMBER(--A635),FALSE), IF(LEN(A635)=10, IF(MOD(MOD(H635,11),10)=--RIGHT(A635,1), "OK", "ОШИБКА"), IF(LEN(A635)=12, IF(AND(MOD(MOD(H635,11),10)=--MID(A635,11,1), MOD(MOD(I635,11),10)=--RIGHT(A635,1)), "OK", "ОШИБКА"), "ДЛИНА (10 или 12)")), "НЕ ЦИФРЫ"))</f>
        <v/>
      </c>
      <c r="E635">
        <f>MID(B635,1,1)*9+MID(B635,2,1)*8+MID(B635,3,1)*7+MID(B635,4,1)*6+MID(B635,5,1)*5+MID(B635,6,1)*4+MID(B635,7,1)*3+MID(B635,8,1)*2+MID(B635,9,1)</f>
        <v/>
      </c>
      <c r="F635">
        <f>IF(B635="", " ", IF(LEN(B635)&lt;&gt;11, "ДЛИНА", IF(NOT(ISNUMBER(--B635)), "НЕ ЦИФРЫ", IF(LEFT(B635,9)*1&lt;=1001998, "OK", IF(RIGHT(B635,2)*1=IF(MOD(E635,101)&gt;=100,0,MOD(E635,101)),"OK","ОШИБКА")))))</f>
        <v/>
      </c>
      <c r="G6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5">
        <f>IF(LEN(TRIM(A635))=10, --MID(A635,1,1)*2+--MID(A635,2,1)*4+--MID(A635,3,1)*10+--MID(A635,4,1)*3+--MID(A635,5,1)*5+--MID(A635,6,1)*9+--MID(A635,7,1)*4+--MID(A635,8,1)*6+--MID(A635,9,1)*8, IF(LEN(TRIM(A635))=12, --MID(A635,1,1)*7+--MID(A635,2,1)*2+--MID(A635,3,1)*4+--MID(A635,4,1)*10+--MID(A635,5,1)*3+--MID(A635,6,1)*5+--MID(A635,7,1)*9+--MID(A635,8,1)*4+--MID(A635,9,1)*6+--MID(A635,10,1)*8, ""))</f>
        <v/>
      </c>
      <c r="I635">
        <f>IF(LEN(TRIM(A635))=12, --MID(A635,1,1)*3+--MID(A635,2,1)*7+--MID(A635,3,1)*2+--MID(A635,4,1)*4+--MID(A635,5,1)*10+--MID(A635,6,1)*3+--MID(A635,7,1)*5+--MID(A635,8,1)*9+--MID(A635,9,1)*4+--MID(A635,10,1)*6+--MID(A635,11,1)*8, "")</f>
        <v/>
      </c>
    </row>
    <row r="636">
      <c r="A636">
        <f>SUBSTITUTE(SUBSTITUTE(SUBSTITUTE(SUBSTITUTE(TRIM(INDEX(Реестр!$B:$B,ROW())),CHAR(160),""),CHAR(9),""),CHAR(10),""),CHAR(13),"")</f>
        <v/>
      </c>
      <c r="B636">
        <f>SUBSTITUTE(SUBSTITUTE(SUBSTITUTE(SUBSTITUTE(SUBSTITUTE(SUBSTITUTE(SUBSTITUTE(TRIM(INDEX(Реестр!$D:$D, ROW())), "-", ""), " ", ""), CHAR(160), ""), CHAR(9), ""), CHAR(10), ""), CHAR(13), ""), CHAR(32), "")</f>
        <v/>
      </c>
      <c r="C636">
        <f>INDEX(Реестр!$H:$H, ROW())</f>
        <v/>
      </c>
      <c r="D636">
        <f>IF(OR(ISBLANK(INDEX(Реестр!$B:$B, ROW())), INDEX(Реестр!$B:$B, ROW())=""), " ", IF(IFERROR(ISNUMBER(--A636),FALSE), IF(LEN(A636)=10, IF(MOD(MOD(H636,11),10)=--RIGHT(A636,1), "OK", "ОШИБКА"), IF(LEN(A636)=12, IF(AND(MOD(MOD(H636,11),10)=--MID(A636,11,1), MOD(MOD(I636,11),10)=--RIGHT(A636,1)), "OK", "ОШИБКА"), "ДЛИНА (10 или 12)")), "НЕ ЦИФРЫ"))</f>
        <v/>
      </c>
      <c r="E636">
        <f>MID(B636,1,1)*9+MID(B636,2,1)*8+MID(B636,3,1)*7+MID(B636,4,1)*6+MID(B636,5,1)*5+MID(B636,6,1)*4+MID(B636,7,1)*3+MID(B636,8,1)*2+MID(B636,9,1)</f>
        <v/>
      </c>
      <c r="F636">
        <f>IF(B636="", " ", IF(LEN(B636)&lt;&gt;11, "ДЛИНА", IF(NOT(ISNUMBER(--B636)), "НЕ ЦИФРЫ", IF(LEFT(B636,9)*1&lt;=1001998, "OK", IF(RIGHT(B636,2)*1=IF(MOD(E636,101)&gt;=100,0,MOD(E636,101)),"OK","ОШИБКА")))))</f>
        <v/>
      </c>
      <c r="G6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6">
        <f>IF(LEN(TRIM(A636))=10, --MID(A636,1,1)*2+--MID(A636,2,1)*4+--MID(A636,3,1)*10+--MID(A636,4,1)*3+--MID(A636,5,1)*5+--MID(A636,6,1)*9+--MID(A636,7,1)*4+--MID(A636,8,1)*6+--MID(A636,9,1)*8, IF(LEN(TRIM(A636))=12, --MID(A636,1,1)*7+--MID(A636,2,1)*2+--MID(A636,3,1)*4+--MID(A636,4,1)*10+--MID(A636,5,1)*3+--MID(A636,6,1)*5+--MID(A636,7,1)*9+--MID(A636,8,1)*4+--MID(A636,9,1)*6+--MID(A636,10,1)*8, ""))</f>
        <v/>
      </c>
      <c r="I636">
        <f>IF(LEN(TRIM(A636))=12, --MID(A636,1,1)*3+--MID(A636,2,1)*7+--MID(A636,3,1)*2+--MID(A636,4,1)*4+--MID(A636,5,1)*10+--MID(A636,6,1)*3+--MID(A636,7,1)*5+--MID(A636,8,1)*9+--MID(A636,9,1)*4+--MID(A636,10,1)*6+--MID(A636,11,1)*8, "")</f>
        <v/>
      </c>
    </row>
    <row r="637">
      <c r="A637">
        <f>SUBSTITUTE(SUBSTITUTE(SUBSTITUTE(SUBSTITUTE(TRIM(INDEX(Реестр!$B:$B,ROW())),CHAR(160),""),CHAR(9),""),CHAR(10),""),CHAR(13),"")</f>
        <v/>
      </c>
      <c r="B637">
        <f>SUBSTITUTE(SUBSTITUTE(SUBSTITUTE(SUBSTITUTE(SUBSTITUTE(SUBSTITUTE(SUBSTITUTE(TRIM(INDEX(Реестр!$D:$D, ROW())), "-", ""), " ", ""), CHAR(160), ""), CHAR(9), ""), CHAR(10), ""), CHAR(13), ""), CHAR(32), "")</f>
        <v/>
      </c>
      <c r="C637">
        <f>INDEX(Реестр!$H:$H, ROW())</f>
        <v/>
      </c>
      <c r="D637">
        <f>IF(OR(ISBLANK(INDEX(Реестр!$B:$B, ROW())), INDEX(Реестр!$B:$B, ROW())=""), " ", IF(IFERROR(ISNUMBER(--A637),FALSE), IF(LEN(A637)=10, IF(MOD(MOD(H637,11),10)=--RIGHT(A637,1), "OK", "ОШИБКА"), IF(LEN(A637)=12, IF(AND(MOD(MOD(H637,11),10)=--MID(A637,11,1), MOD(MOD(I637,11),10)=--RIGHT(A637,1)), "OK", "ОШИБКА"), "ДЛИНА (10 или 12)")), "НЕ ЦИФРЫ"))</f>
        <v/>
      </c>
      <c r="E637">
        <f>MID(B637,1,1)*9+MID(B637,2,1)*8+MID(B637,3,1)*7+MID(B637,4,1)*6+MID(B637,5,1)*5+MID(B637,6,1)*4+MID(B637,7,1)*3+MID(B637,8,1)*2+MID(B637,9,1)</f>
        <v/>
      </c>
      <c r="F637">
        <f>IF(B637="", " ", IF(LEN(B637)&lt;&gt;11, "ДЛИНА", IF(NOT(ISNUMBER(--B637)), "НЕ ЦИФРЫ", IF(LEFT(B637,9)*1&lt;=1001998, "OK", IF(RIGHT(B637,2)*1=IF(MOD(E637,101)&gt;=100,0,MOD(E637,101)),"OK","ОШИБКА")))))</f>
        <v/>
      </c>
      <c r="G6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7">
        <f>IF(LEN(TRIM(A637))=10, --MID(A637,1,1)*2+--MID(A637,2,1)*4+--MID(A637,3,1)*10+--MID(A637,4,1)*3+--MID(A637,5,1)*5+--MID(A637,6,1)*9+--MID(A637,7,1)*4+--MID(A637,8,1)*6+--MID(A637,9,1)*8, IF(LEN(TRIM(A637))=12, --MID(A637,1,1)*7+--MID(A637,2,1)*2+--MID(A637,3,1)*4+--MID(A637,4,1)*10+--MID(A637,5,1)*3+--MID(A637,6,1)*5+--MID(A637,7,1)*9+--MID(A637,8,1)*4+--MID(A637,9,1)*6+--MID(A637,10,1)*8, ""))</f>
        <v/>
      </c>
      <c r="I637">
        <f>IF(LEN(TRIM(A637))=12, --MID(A637,1,1)*3+--MID(A637,2,1)*7+--MID(A637,3,1)*2+--MID(A637,4,1)*4+--MID(A637,5,1)*10+--MID(A637,6,1)*3+--MID(A637,7,1)*5+--MID(A637,8,1)*9+--MID(A637,9,1)*4+--MID(A637,10,1)*6+--MID(A637,11,1)*8, "")</f>
        <v/>
      </c>
    </row>
    <row r="638">
      <c r="A638">
        <f>SUBSTITUTE(SUBSTITUTE(SUBSTITUTE(SUBSTITUTE(TRIM(INDEX(Реестр!$B:$B,ROW())),CHAR(160),""),CHAR(9),""),CHAR(10),""),CHAR(13),"")</f>
        <v/>
      </c>
      <c r="B638">
        <f>SUBSTITUTE(SUBSTITUTE(SUBSTITUTE(SUBSTITUTE(SUBSTITUTE(SUBSTITUTE(SUBSTITUTE(TRIM(INDEX(Реестр!$D:$D, ROW())), "-", ""), " ", ""), CHAR(160), ""), CHAR(9), ""), CHAR(10), ""), CHAR(13), ""), CHAR(32), "")</f>
        <v/>
      </c>
      <c r="C638">
        <f>INDEX(Реестр!$H:$H, ROW())</f>
        <v/>
      </c>
      <c r="D638">
        <f>IF(OR(ISBLANK(INDEX(Реестр!$B:$B, ROW())), INDEX(Реестр!$B:$B, ROW())=""), " ", IF(IFERROR(ISNUMBER(--A638),FALSE), IF(LEN(A638)=10, IF(MOD(MOD(H638,11),10)=--RIGHT(A638,1), "OK", "ОШИБКА"), IF(LEN(A638)=12, IF(AND(MOD(MOD(H638,11),10)=--MID(A638,11,1), MOD(MOD(I638,11),10)=--RIGHT(A638,1)), "OK", "ОШИБКА"), "ДЛИНА (10 или 12)")), "НЕ ЦИФРЫ"))</f>
        <v/>
      </c>
      <c r="E638">
        <f>MID(B638,1,1)*9+MID(B638,2,1)*8+MID(B638,3,1)*7+MID(B638,4,1)*6+MID(B638,5,1)*5+MID(B638,6,1)*4+MID(B638,7,1)*3+MID(B638,8,1)*2+MID(B638,9,1)</f>
        <v/>
      </c>
      <c r="F638">
        <f>IF(B638="", " ", IF(LEN(B638)&lt;&gt;11, "ДЛИНА", IF(NOT(ISNUMBER(--B638)), "НЕ ЦИФРЫ", IF(LEFT(B638,9)*1&lt;=1001998, "OK", IF(RIGHT(B638,2)*1=IF(MOD(E638,101)&gt;=100,0,MOD(E638,101)),"OK","ОШИБКА")))))</f>
        <v/>
      </c>
      <c r="G6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8">
        <f>IF(LEN(TRIM(A638))=10, --MID(A638,1,1)*2+--MID(A638,2,1)*4+--MID(A638,3,1)*10+--MID(A638,4,1)*3+--MID(A638,5,1)*5+--MID(A638,6,1)*9+--MID(A638,7,1)*4+--MID(A638,8,1)*6+--MID(A638,9,1)*8, IF(LEN(TRIM(A638))=12, --MID(A638,1,1)*7+--MID(A638,2,1)*2+--MID(A638,3,1)*4+--MID(A638,4,1)*10+--MID(A638,5,1)*3+--MID(A638,6,1)*5+--MID(A638,7,1)*9+--MID(A638,8,1)*4+--MID(A638,9,1)*6+--MID(A638,10,1)*8, ""))</f>
        <v/>
      </c>
      <c r="I638">
        <f>IF(LEN(TRIM(A638))=12, --MID(A638,1,1)*3+--MID(A638,2,1)*7+--MID(A638,3,1)*2+--MID(A638,4,1)*4+--MID(A638,5,1)*10+--MID(A638,6,1)*3+--MID(A638,7,1)*5+--MID(A638,8,1)*9+--MID(A638,9,1)*4+--MID(A638,10,1)*6+--MID(A638,11,1)*8, "")</f>
        <v/>
      </c>
    </row>
    <row r="639">
      <c r="A639">
        <f>SUBSTITUTE(SUBSTITUTE(SUBSTITUTE(SUBSTITUTE(TRIM(INDEX(Реестр!$B:$B,ROW())),CHAR(160),""),CHAR(9),""),CHAR(10),""),CHAR(13),"")</f>
        <v/>
      </c>
      <c r="B639">
        <f>SUBSTITUTE(SUBSTITUTE(SUBSTITUTE(SUBSTITUTE(SUBSTITUTE(SUBSTITUTE(SUBSTITUTE(TRIM(INDEX(Реестр!$D:$D, ROW())), "-", ""), " ", ""), CHAR(160), ""), CHAR(9), ""), CHAR(10), ""), CHAR(13), ""), CHAR(32), "")</f>
        <v/>
      </c>
      <c r="C639">
        <f>INDEX(Реестр!$H:$H, ROW())</f>
        <v/>
      </c>
      <c r="D639">
        <f>IF(OR(ISBLANK(INDEX(Реестр!$B:$B, ROW())), INDEX(Реестр!$B:$B, ROW())=""), " ", IF(IFERROR(ISNUMBER(--A639),FALSE), IF(LEN(A639)=10, IF(MOD(MOD(H639,11),10)=--RIGHT(A639,1), "OK", "ОШИБКА"), IF(LEN(A639)=12, IF(AND(MOD(MOD(H639,11),10)=--MID(A639,11,1), MOD(MOD(I639,11),10)=--RIGHT(A639,1)), "OK", "ОШИБКА"), "ДЛИНА (10 или 12)")), "НЕ ЦИФРЫ"))</f>
        <v/>
      </c>
      <c r="E639">
        <f>MID(B639,1,1)*9+MID(B639,2,1)*8+MID(B639,3,1)*7+MID(B639,4,1)*6+MID(B639,5,1)*5+MID(B639,6,1)*4+MID(B639,7,1)*3+MID(B639,8,1)*2+MID(B639,9,1)</f>
        <v/>
      </c>
      <c r="F639">
        <f>IF(B639="", " ", IF(LEN(B639)&lt;&gt;11, "ДЛИНА", IF(NOT(ISNUMBER(--B639)), "НЕ ЦИФРЫ", IF(LEFT(B639,9)*1&lt;=1001998, "OK", IF(RIGHT(B639,2)*1=IF(MOD(E639,101)&gt;=100,0,MOD(E639,101)),"OK","ОШИБКА")))))</f>
        <v/>
      </c>
      <c r="G6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39">
        <f>IF(LEN(TRIM(A639))=10, --MID(A639,1,1)*2+--MID(A639,2,1)*4+--MID(A639,3,1)*10+--MID(A639,4,1)*3+--MID(A639,5,1)*5+--MID(A639,6,1)*9+--MID(A639,7,1)*4+--MID(A639,8,1)*6+--MID(A639,9,1)*8, IF(LEN(TRIM(A639))=12, --MID(A639,1,1)*7+--MID(A639,2,1)*2+--MID(A639,3,1)*4+--MID(A639,4,1)*10+--MID(A639,5,1)*3+--MID(A639,6,1)*5+--MID(A639,7,1)*9+--MID(A639,8,1)*4+--MID(A639,9,1)*6+--MID(A639,10,1)*8, ""))</f>
        <v/>
      </c>
      <c r="I639">
        <f>IF(LEN(TRIM(A639))=12, --MID(A639,1,1)*3+--MID(A639,2,1)*7+--MID(A639,3,1)*2+--MID(A639,4,1)*4+--MID(A639,5,1)*10+--MID(A639,6,1)*3+--MID(A639,7,1)*5+--MID(A639,8,1)*9+--MID(A639,9,1)*4+--MID(A639,10,1)*6+--MID(A639,11,1)*8, "")</f>
        <v/>
      </c>
    </row>
    <row r="640">
      <c r="A640">
        <f>SUBSTITUTE(SUBSTITUTE(SUBSTITUTE(SUBSTITUTE(TRIM(INDEX(Реестр!$B:$B,ROW())),CHAR(160),""),CHAR(9),""),CHAR(10),""),CHAR(13),"")</f>
        <v/>
      </c>
      <c r="B640">
        <f>SUBSTITUTE(SUBSTITUTE(SUBSTITUTE(SUBSTITUTE(SUBSTITUTE(SUBSTITUTE(SUBSTITUTE(TRIM(INDEX(Реестр!$D:$D, ROW())), "-", ""), " ", ""), CHAR(160), ""), CHAR(9), ""), CHAR(10), ""), CHAR(13), ""), CHAR(32), "")</f>
        <v/>
      </c>
      <c r="C640">
        <f>INDEX(Реестр!$H:$H, ROW())</f>
        <v/>
      </c>
      <c r="D640">
        <f>IF(OR(ISBLANK(INDEX(Реестр!$B:$B, ROW())), INDEX(Реестр!$B:$B, ROW())=""), " ", IF(IFERROR(ISNUMBER(--A640),FALSE), IF(LEN(A640)=10, IF(MOD(MOD(H640,11),10)=--RIGHT(A640,1), "OK", "ОШИБКА"), IF(LEN(A640)=12, IF(AND(MOD(MOD(H640,11),10)=--MID(A640,11,1), MOD(MOD(I640,11),10)=--RIGHT(A640,1)), "OK", "ОШИБКА"), "ДЛИНА (10 или 12)")), "НЕ ЦИФРЫ"))</f>
        <v/>
      </c>
      <c r="E640">
        <f>MID(B640,1,1)*9+MID(B640,2,1)*8+MID(B640,3,1)*7+MID(B640,4,1)*6+MID(B640,5,1)*5+MID(B640,6,1)*4+MID(B640,7,1)*3+MID(B640,8,1)*2+MID(B640,9,1)</f>
        <v/>
      </c>
      <c r="F640">
        <f>IF(B640="", " ", IF(LEN(B640)&lt;&gt;11, "ДЛИНА", IF(NOT(ISNUMBER(--B640)), "НЕ ЦИФРЫ", IF(LEFT(B640,9)*1&lt;=1001998, "OK", IF(RIGHT(B640,2)*1=IF(MOD(E640,101)&gt;=100,0,MOD(E640,101)),"OK","ОШИБКА")))))</f>
        <v/>
      </c>
      <c r="G6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0">
        <f>IF(LEN(TRIM(A640))=10, --MID(A640,1,1)*2+--MID(A640,2,1)*4+--MID(A640,3,1)*10+--MID(A640,4,1)*3+--MID(A640,5,1)*5+--MID(A640,6,1)*9+--MID(A640,7,1)*4+--MID(A640,8,1)*6+--MID(A640,9,1)*8, IF(LEN(TRIM(A640))=12, --MID(A640,1,1)*7+--MID(A640,2,1)*2+--MID(A640,3,1)*4+--MID(A640,4,1)*10+--MID(A640,5,1)*3+--MID(A640,6,1)*5+--MID(A640,7,1)*9+--MID(A640,8,1)*4+--MID(A640,9,1)*6+--MID(A640,10,1)*8, ""))</f>
        <v/>
      </c>
      <c r="I640">
        <f>IF(LEN(TRIM(A640))=12, --MID(A640,1,1)*3+--MID(A640,2,1)*7+--MID(A640,3,1)*2+--MID(A640,4,1)*4+--MID(A640,5,1)*10+--MID(A640,6,1)*3+--MID(A640,7,1)*5+--MID(A640,8,1)*9+--MID(A640,9,1)*4+--MID(A640,10,1)*6+--MID(A640,11,1)*8, "")</f>
        <v/>
      </c>
    </row>
    <row r="641">
      <c r="A641">
        <f>SUBSTITUTE(SUBSTITUTE(SUBSTITUTE(SUBSTITUTE(TRIM(INDEX(Реестр!$B:$B,ROW())),CHAR(160),""),CHAR(9),""),CHAR(10),""),CHAR(13),"")</f>
        <v/>
      </c>
      <c r="B641">
        <f>SUBSTITUTE(SUBSTITUTE(SUBSTITUTE(SUBSTITUTE(SUBSTITUTE(SUBSTITUTE(SUBSTITUTE(TRIM(INDEX(Реестр!$D:$D, ROW())), "-", ""), " ", ""), CHAR(160), ""), CHAR(9), ""), CHAR(10), ""), CHAR(13), ""), CHAR(32), "")</f>
        <v/>
      </c>
      <c r="C641">
        <f>INDEX(Реестр!$H:$H, ROW())</f>
        <v/>
      </c>
      <c r="D641">
        <f>IF(OR(ISBLANK(INDEX(Реестр!$B:$B, ROW())), INDEX(Реестр!$B:$B, ROW())=""), " ", IF(IFERROR(ISNUMBER(--A641),FALSE), IF(LEN(A641)=10, IF(MOD(MOD(H641,11),10)=--RIGHT(A641,1), "OK", "ОШИБКА"), IF(LEN(A641)=12, IF(AND(MOD(MOD(H641,11),10)=--MID(A641,11,1), MOD(MOD(I641,11),10)=--RIGHT(A641,1)), "OK", "ОШИБКА"), "ДЛИНА (10 или 12)")), "НЕ ЦИФРЫ"))</f>
        <v/>
      </c>
      <c r="E641">
        <f>MID(B641,1,1)*9+MID(B641,2,1)*8+MID(B641,3,1)*7+MID(B641,4,1)*6+MID(B641,5,1)*5+MID(B641,6,1)*4+MID(B641,7,1)*3+MID(B641,8,1)*2+MID(B641,9,1)</f>
        <v/>
      </c>
      <c r="F641">
        <f>IF(B641="", " ", IF(LEN(B641)&lt;&gt;11, "ДЛИНА", IF(NOT(ISNUMBER(--B641)), "НЕ ЦИФРЫ", IF(LEFT(B641,9)*1&lt;=1001998, "OK", IF(RIGHT(B641,2)*1=IF(MOD(E641,101)&gt;=100,0,MOD(E641,101)),"OK","ОШИБКА")))))</f>
        <v/>
      </c>
      <c r="G6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1">
        <f>IF(LEN(TRIM(A641))=10, --MID(A641,1,1)*2+--MID(A641,2,1)*4+--MID(A641,3,1)*10+--MID(A641,4,1)*3+--MID(A641,5,1)*5+--MID(A641,6,1)*9+--MID(A641,7,1)*4+--MID(A641,8,1)*6+--MID(A641,9,1)*8, IF(LEN(TRIM(A641))=12, --MID(A641,1,1)*7+--MID(A641,2,1)*2+--MID(A641,3,1)*4+--MID(A641,4,1)*10+--MID(A641,5,1)*3+--MID(A641,6,1)*5+--MID(A641,7,1)*9+--MID(A641,8,1)*4+--MID(A641,9,1)*6+--MID(A641,10,1)*8, ""))</f>
        <v/>
      </c>
      <c r="I641">
        <f>IF(LEN(TRIM(A641))=12, --MID(A641,1,1)*3+--MID(A641,2,1)*7+--MID(A641,3,1)*2+--MID(A641,4,1)*4+--MID(A641,5,1)*10+--MID(A641,6,1)*3+--MID(A641,7,1)*5+--MID(A641,8,1)*9+--MID(A641,9,1)*4+--MID(A641,10,1)*6+--MID(A641,11,1)*8, "")</f>
        <v/>
      </c>
    </row>
    <row r="642">
      <c r="A642">
        <f>SUBSTITUTE(SUBSTITUTE(SUBSTITUTE(SUBSTITUTE(TRIM(INDEX(Реестр!$B:$B,ROW())),CHAR(160),""),CHAR(9),""),CHAR(10),""),CHAR(13),"")</f>
        <v/>
      </c>
      <c r="B642">
        <f>SUBSTITUTE(SUBSTITUTE(SUBSTITUTE(SUBSTITUTE(SUBSTITUTE(SUBSTITUTE(SUBSTITUTE(TRIM(INDEX(Реестр!$D:$D, ROW())), "-", ""), " ", ""), CHAR(160), ""), CHAR(9), ""), CHAR(10), ""), CHAR(13), ""), CHAR(32), "")</f>
        <v/>
      </c>
      <c r="C642">
        <f>INDEX(Реестр!$H:$H, ROW())</f>
        <v/>
      </c>
      <c r="D642">
        <f>IF(OR(ISBLANK(INDEX(Реестр!$B:$B, ROW())), INDEX(Реестр!$B:$B, ROW())=""), " ", IF(IFERROR(ISNUMBER(--A642),FALSE), IF(LEN(A642)=10, IF(MOD(MOD(H642,11),10)=--RIGHT(A642,1), "OK", "ОШИБКА"), IF(LEN(A642)=12, IF(AND(MOD(MOD(H642,11),10)=--MID(A642,11,1), MOD(MOD(I642,11),10)=--RIGHT(A642,1)), "OK", "ОШИБКА"), "ДЛИНА (10 или 12)")), "НЕ ЦИФРЫ"))</f>
        <v/>
      </c>
      <c r="E642">
        <f>MID(B642,1,1)*9+MID(B642,2,1)*8+MID(B642,3,1)*7+MID(B642,4,1)*6+MID(B642,5,1)*5+MID(B642,6,1)*4+MID(B642,7,1)*3+MID(B642,8,1)*2+MID(B642,9,1)</f>
        <v/>
      </c>
      <c r="F642">
        <f>IF(B642="", " ", IF(LEN(B642)&lt;&gt;11, "ДЛИНА", IF(NOT(ISNUMBER(--B642)), "НЕ ЦИФРЫ", IF(LEFT(B642,9)*1&lt;=1001998, "OK", IF(RIGHT(B642,2)*1=IF(MOD(E642,101)&gt;=100,0,MOD(E642,101)),"OK","ОШИБКА")))))</f>
        <v/>
      </c>
      <c r="G6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2">
        <f>IF(LEN(TRIM(A642))=10, --MID(A642,1,1)*2+--MID(A642,2,1)*4+--MID(A642,3,1)*10+--MID(A642,4,1)*3+--MID(A642,5,1)*5+--MID(A642,6,1)*9+--MID(A642,7,1)*4+--MID(A642,8,1)*6+--MID(A642,9,1)*8, IF(LEN(TRIM(A642))=12, --MID(A642,1,1)*7+--MID(A642,2,1)*2+--MID(A642,3,1)*4+--MID(A642,4,1)*10+--MID(A642,5,1)*3+--MID(A642,6,1)*5+--MID(A642,7,1)*9+--MID(A642,8,1)*4+--MID(A642,9,1)*6+--MID(A642,10,1)*8, ""))</f>
        <v/>
      </c>
      <c r="I642">
        <f>IF(LEN(TRIM(A642))=12, --MID(A642,1,1)*3+--MID(A642,2,1)*7+--MID(A642,3,1)*2+--MID(A642,4,1)*4+--MID(A642,5,1)*10+--MID(A642,6,1)*3+--MID(A642,7,1)*5+--MID(A642,8,1)*9+--MID(A642,9,1)*4+--MID(A642,10,1)*6+--MID(A642,11,1)*8, "")</f>
        <v/>
      </c>
    </row>
    <row r="643">
      <c r="A643">
        <f>SUBSTITUTE(SUBSTITUTE(SUBSTITUTE(SUBSTITUTE(TRIM(INDEX(Реестр!$B:$B,ROW())),CHAR(160),""),CHAR(9),""),CHAR(10),""),CHAR(13),"")</f>
        <v/>
      </c>
      <c r="B643">
        <f>SUBSTITUTE(SUBSTITUTE(SUBSTITUTE(SUBSTITUTE(SUBSTITUTE(SUBSTITUTE(SUBSTITUTE(TRIM(INDEX(Реестр!$D:$D, ROW())), "-", ""), " ", ""), CHAR(160), ""), CHAR(9), ""), CHAR(10), ""), CHAR(13), ""), CHAR(32), "")</f>
        <v/>
      </c>
      <c r="C643">
        <f>INDEX(Реестр!$H:$H, ROW())</f>
        <v/>
      </c>
      <c r="D643">
        <f>IF(OR(ISBLANK(INDEX(Реестр!$B:$B, ROW())), INDEX(Реестр!$B:$B, ROW())=""), " ", IF(IFERROR(ISNUMBER(--A643),FALSE), IF(LEN(A643)=10, IF(MOD(MOD(H643,11),10)=--RIGHT(A643,1), "OK", "ОШИБКА"), IF(LEN(A643)=12, IF(AND(MOD(MOD(H643,11),10)=--MID(A643,11,1), MOD(MOD(I643,11),10)=--RIGHT(A643,1)), "OK", "ОШИБКА"), "ДЛИНА (10 или 12)")), "НЕ ЦИФРЫ"))</f>
        <v/>
      </c>
      <c r="E643">
        <f>MID(B643,1,1)*9+MID(B643,2,1)*8+MID(B643,3,1)*7+MID(B643,4,1)*6+MID(B643,5,1)*5+MID(B643,6,1)*4+MID(B643,7,1)*3+MID(B643,8,1)*2+MID(B643,9,1)</f>
        <v/>
      </c>
      <c r="F643">
        <f>IF(B643="", " ", IF(LEN(B643)&lt;&gt;11, "ДЛИНА", IF(NOT(ISNUMBER(--B643)), "НЕ ЦИФРЫ", IF(LEFT(B643,9)*1&lt;=1001998, "OK", IF(RIGHT(B643,2)*1=IF(MOD(E643,101)&gt;=100,0,MOD(E643,101)),"OK","ОШИБКА")))))</f>
        <v/>
      </c>
      <c r="G6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3">
        <f>IF(LEN(TRIM(A643))=10, --MID(A643,1,1)*2+--MID(A643,2,1)*4+--MID(A643,3,1)*10+--MID(A643,4,1)*3+--MID(A643,5,1)*5+--MID(A643,6,1)*9+--MID(A643,7,1)*4+--MID(A643,8,1)*6+--MID(A643,9,1)*8, IF(LEN(TRIM(A643))=12, --MID(A643,1,1)*7+--MID(A643,2,1)*2+--MID(A643,3,1)*4+--MID(A643,4,1)*10+--MID(A643,5,1)*3+--MID(A643,6,1)*5+--MID(A643,7,1)*9+--MID(A643,8,1)*4+--MID(A643,9,1)*6+--MID(A643,10,1)*8, ""))</f>
        <v/>
      </c>
      <c r="I643">
        <f>IF(LEN(TRIM(A643))=12, --MID(A643,1,1)*3+--MID(A643,2,1)*7+--MID(A643,3,1)*2+--MID(A643,4,1)*4+--MID(A643,5,1)*10+--MID(A643,6,1)*3+--MID(A643,7,1)*5+--MID(A643,8,1)*9+--MID(A643,9,1)*4+--MID(A643,10,1)*6+--MID(A643,11,1)*8, "")</f>
        <v/>
      </c>
    </row>
    <row r="644">
      <c r="A644">
        <f>SUBSTITUTE(SUBSTITUTE(SUBSTITUTE(SUBSTITUTE(TRIM(INDEX(Реестр!$B:$B,ROW())),CHAR(160),""),CHAR(9),""),CHAR(10),""),CHAR(13),"")</f>
        <v/>
      </c>
      <c r="B644">
        <f>SUBSTITUTE(SUBSTITUTE(SUBSTITUTE(SUBSTITUTE(SUBSTITUTE(SUBSTITUTE(SUBSTITUTE(TRIM(INDEX(Реестр!$D:$D, ROW())), "-", ""), " ", ""), CHAR(160), ""), CHAR(9), ""), CHAR(10), ""), CHAR(13), ""), CHAR(32), "")</f>
        <v/>
      </c>
      <c r="C644">
        <f>INDEX(Реестр!$H:$H, ROW())</f>
        <v/>
      </c>
      <c r="D644">
        <f>IF(OR(ISBLANK(INDEX(Реестр!$B:$B, ROW())), INDEX(Реестр!$B:$B, ROW())=""), " ", IF(IFERROR(ISNUMBER(--A644),FALSE), IF(LEN(A644)=10, IF(MOD(MOD(H644,11),10)=--RIGHT(A644,1), "OK", "ОШИБКА"), IF(LEN(A644)=12, IF(AND(MOD(MOD(H644,11),10)=--MID(A644,11,1), MOD(MOD(I644,11),10)=--RIGHT(A644,1)), "OK", "ОШИБКА"), "ДЛИНА (10 или 12)")), "НЕ ЦИФРЫ"))</f>
        <v/>
      </c>
      <c r="E644">
        <f>MID(B644,1,1)*9+MID(B644,2,1)*8+MID(B644,3,1)*7+MID(B644,4,1)*6+MID(B644,5,1)*5+MID(B644,6,1)*4+MID(B644,7,1)*3+MID(B644,8,1)*2+MID(B644,9,1)</f>
        <v/>
      </c>
      <c r="F644">
        <f>IF(B644="", " ", IF(LEN(B644)&lt;&gt;11, "ДЛИНА", IF(NOT(ISNUMBER(--B644)), "НЕ ЦИФРЫ", IF(LEFT(B644,9)*1&lt;=1001998, "OK", IF(RIGHT(B644,2)*1=IF(MOD(E644,101)&gt;=100,0,MOD(E644,101)),"OK","ОШИБКА")))))</f>
        <v/>
      </c>
      <c r="G6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4">
        <f>IF(LEN(TRIM(A644))=10, --MID(A644,1,1)*2+--MID(A644,2,1)*4+--MID(A644,3,1)*10+--MID(A644,4,1)*3+--MID(A644,5,1)*5+--MID(A644,6,1)*9+--MID(A644,7,1)*4+--MID(A644,8,1)*6+--MID(A644,9,1)*8, IF(LEN(TRIM(A644))=12, --MID(A644,1,1)*7+--MID(A644,2,1)*2+--MID(A644,3,1)*4+--MID(A644,4,1)*10+--MID(A644,5,1)*3+--MID(A644,6,1)*5+--MID(A644,7,1)*9+--MID(A644,8,1)*4+--MID(A644,9,1)*6+--MID(A644,10,1)*8, ""))</f>
        <v/>
      </c>
      <c r="I644">
        <f>IF(LEN(TRIM(A644))=12, --MID(A644,1,1)*3+--MID(A644,2,1)*7+--MID(A644,3,1)*2+--MID(A644,4,1)*4+--MID(A644,5,1)*10+--MID(A644,6,1)*3+--MID(A644,7,1)*5+--MID(A644,8,1)*9+--MID(A644,9,1)*4+--MID(A644,10,1)*6+--MID(A644,11,1)*8, "")</f>
        <v/>
      </c>
    </row>
    <row r="645">
      <c r="A645">
        <f>SUBSTITUTE(SUBSTITUTE(SUBSTITUTE(SUBSTITUTE(TRIM(INDEX(Реестр!$B:$B,ROW())),CHAR(160),""),CHAR(9),""),CHAR(10),""),CHAR(13),"")</f>
        <v/>
      </c>
      <c r="B645">
        <f>SUBSTITUTE(SUBSTITUTE(SUBSTITUTE(SUBSTITUTE(SUBSTITUTE(SUBSTITUTE(SUBSTITUTE(TRIM(INDEX(Реестр!$D:$D, ROW())), "-", ""), " ", ""), CHAR(160), ""), CHAR(9), ""), CHAR(10), ""), CHAR(13), ""), CHAR(32), "")</f>
        <v/>
      </c>
      <c r="C645">
        <f>INDEX(Реестр!$H:$H, ROW())</f>
        <v/>
      </c>
      <c r="D645">
        <f>IF(OR(ISBLANK(INDEX(Реестр!$B:$B, ROW())), INDEX(Реестр!$B:$B, ROW())=""), " ", IF(IFERROR(ISNUMBER(--A645),FALSE), IF(LEN(A645)=10, IF(MOD(MOD(H645,11),10)=--RIGHT(A645,1), "OK", "ОШИБКА"), IF(LEN(A645)=12, IF(AND(MOD(MOD(H645,11),10)=--MID(A645,11,1), MOD(MOD(I645,11),10)=--RIGHT(A645,1)), "OK", "ОШИБКА"), "ДЛИНА (10 или 12)")), "НЕ ЦИФРЫ"))</f>
        <v/>
      </c>
      <c r="E645">
        <f>MID(B645,1,1)*9+MID(B645,2,1)*8+MID(B645,3,1)*7+MID(B645,4,1)*6+MID(B645,5,1)*5+MID(B645,6,1)*4+MID(B645,7,1)*3+MID(B645,8,1)*2+MID(B645,9,1)</f>
        <v/>
      </c>
      <c r="F645">
        <f>IF(B645="", " ", IF(LEN(B645)&lt;&gt;11, "ДЛИНА", IF(NOT(ISNUMBER(--B645)), "НЕ ЦИФРЫ", IF(LEFT(B645,9)*1&lt;=1001998, "OK", IF(RIGHT(B645,2)*1=IF(MOD(E645,101)&gt;=100,0,MOD(E645,101)),"OK","ОШИБКА")))))</f>
        <v/>
      </c>
      <c r="G6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5">
        <f>IF(LEN(TRIM(A645))=10, --MID(A645,1,1)*2+--MID(A645,2,1)*4+--MID(A645,3,1)*10+--MID(A645,4,1)*3+--MID(A645,5,1)*5+--MID(A645,6,1)*9+--MID(A645,7,1)*4+--MID(A645,8,1)*6+--MID(A645,9,1)*8, IF(LEN(TRIM(A645))=12, --MID(A645,1,1)*7+--MID(A645,2,1)*2+--MID(A645,3,1)*4+--MID(A645,4,1)*10+--MID(A645,5,1)*3+--MID(A645,6,1)*5+--MID(A645,7,1)*9+--MID(A645,8,1)*4+--MID(A645,9,1)*6+--MID(A645,10,1)*8, ""))</f>
        <v/>
      </c>
      <c r="I645">
        <f>IF(LEN(TRIM(A645))=12, --MID(A645,1,1)*3+--MID(A645,2,1)*7+--MID(A645,3,1)*2+--MID(A645,4,1)*4+--MID(A645,5,1)*10+--MID(A645,6,1)*3+--MID(A645,7,1)*5+--MID(A645,8,1)*9+--MID(A645,9,1)*4+--MID(A645,10,1)*6+--MID(A645,11,1)*8, "")</f>
        <v/>
      </c>
    </row>
    <row r="646">
      <c r="A646">
        <f>SUBSTITUTE(SUBSTITUTE(SUBSTITUTE(SUBSTITUTE(TRIM(INDEX(Реестр!$B:$B,ROW())),CHAR(160),""),CHAR(9),""),CHAR(10),""),CHAR(13),"")</f>
        <v/>
      </c>
      <c r="B646">
        <f>SUBSTITUTE(SUBSTITUTE(SUBSTITUTE(SUBSTITUTE(SUBSTITUTE(SUBSTITUTE(SUBSTITUTE(TRIM(INDEX(Реестр!$D:$D, ROW())), "-", ""), " ", ""), CHAR(160), ""), CHAR(9), ""), CHAR(10), ""), CHAR(13), ""), CHAR(32), "")</f>
        <v/>
      </c>
      <c r="C646">
        <f>INDEX(Реестр!$H:$H, ROW())</f>
        <v/>
      </c>
      <c r="D646">
        <f>IF(OR(ISBLANK(INDEX(Реестр!$B:$B, ROW())), INDEX(Реестр!$B:$B, ROW())=""), " ", IF(IFERROR(ISNUMBER(--A646),FALSE), IF(LEN(A646)=10, IF(MOD(MOD(H646,11),10)=--RIGHT(A646,1), "OK", "ОШИБКА"), IF(LEN(A646)=12, IF(AND(MOD(MOD(H646,11),10)=--MID(A646,11,1), MOD(MOD(I646,11),10)=--RIGHT(A646,1)), "OK", "ОШИБКА"), "ДЛИНА (10 или 12)")), "НЕ ЦИФРЫ"))</f>
        <v/>
      </c>
      <c r="E646">
        <f>MID(B646,1,1)*9+MID(B646,2,1)*8+MID(B646,3,1)*7+MID(B646,4,1)*6+MID(B646,5,1)*5+MID(B646,6,1)*4+MID(B646,7,1)*3+MID(B646,8,1)*2+MID(B646,9,1)</f>
        <v/>
      </c>
      <c r="F646">
        <f>IF(B646="", " ", IF(LEN(B646)&lt;&gt;11, "ДЛИНА", IF(NOT(ISNUMBER(--B646)), "НЕ ЦИФРЫ", IF(LEFT(B646,9)*1&lt;=1001998, "OK", IF(RIGHT(B646,2)*1=IF(MOD(E646,101)&gt;=100,0,MOD(E646,101)),"OK","ОШИБКА")))))</f>
        <v/>
      </c>
      <c r="G6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6">
        <f>IF(LEN(TRIM(A646))=10, --MID(A646,1,1)*2+--MID(A646,2,1)*4+--MID(A646,3,1)*10+--MID(A646,4,1)*3+--MID(A646,5,1)*5+--MID(A646,6,1)*9+--MID(A646,7,1)*4+--MID(A646,8,1)*6+--MID(A646,9,1)*8, IF(LEN(TRIM(A646))=12, --MID(A646,1,1)*7+--MID(A646,2,1)*2+--MID(A646,3,1)*4+--MID(A646,4,1)*10+--MID(A646,5,1)*3+--MID(A646,6,1)*5+--MID(A646,7,1)*9+--MID(A646,8,1)*4+--MID(A646,9,1)*6+--MID(A646,10,1)*8, ""))</f>
        <v/>
      </c>
      <c r="I646">
        <f>IF(LEN(TRIM(A646))=12, --MID(A646,1,1)*3+--MID(A646,2,1)*7+--MID(A646,3,1)*2+--MID(A646,4,1)*4+--MID(A646,5,1)*10+--MID(A646,6,1)*3+--MID(A646,7,1)*5+--MID(A646,8,1)*9+--MID(A646,9,1)*4+--MID(A646,10,1)*6+--MID(A646,11,1)*8, "")</f>
        <v/>
      </c>
    </row>
    <row r="647">
      <c r="A647">
        <f>SUBSTITUTE(SUBSTITUTE(SUBSTITUTE(SUBSTITUTE(TRIM(INDEX(Реестр!$B:$B,ROW())),CHAR(160),""),CHAR(9),""),CHAR(10),""),CHAR(13),"")</f>
        <v/>
      </c>
      <c r="B647">
        <f>SUBSTITUTE(SUBSTITUTE(SUBSTITUTE(SUBSTITUTE(SUBSTITUTE(SUBSTITUTE(SUBSTITUTE(TRIM(INDEX(Реестр!$D:$D, ROW())), "-", ""), " ", ""), CHAR(160), ""), CHAR(9), ""), CHAR(10), ""), CHAR(13), ""), CHAR(32), "")</f>
        <v/>
      </c>
      <c r="C647">
        <f>INDEX(Реестр!$H:$H, ROW())</f>
        <v/>
      </c>
      <c r="D647">
        <f>IF(OR(ISBLANK(INDEX(Реестр!$B:$B, ROW())), INDEX(Реестр!$B:$B, ROW())=""), " ", IF(IFERROR(ISNUMBER(--A647),FALSE), IF(LEN(A647)=10, IF(MOD(MOD(H647,11),10)=--RIGHT(A647,1), "OK", "ОШИБКА"), IF(LEN(A647)=12, IF(AND(MOD(MOD(H647,11),10)=--MID(A647,11,1), MOD(MOD(I647,11),10)=--RIGHT(A647,1)), "OK", "ОШИБКА"), "ДЛИНА (10 или 12)")), "НЕ ЦИФРЫ"))</f>
        <v/>
      </c>
      <c r="E647">
        <f>MID(B647,1,1)*9+MID(B647,2,1)*8+MID(B647,3,1)*7+MID(B647,4,1)*6+MID(B647,5,1)*5+MID(B647,6,1)*4+MID(B647,7,1)*3+MID(B647,8,1)*2+MID(B647,9,1)</f>
        <v/>
      </c>
      <c r="F647">
        <f>IF(B647="", " ", IF(LEN(B647)&lt;&gt;11, "ДЛИНА", IF(NOT(ISNUMBER(--B647)), "НЕ ЦИФРЫ", IF(LEFT(B647,9)*1&lt;=1001998, "OK", IF(RIGHT(B647,2)*1=IF(MOD(E647,101)&gt;=100,0,MOD(E647,101)),"OK","ОШИБКА")))))</f>
        <v/>
      </c>
      <c r="G6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7">
        <f>IF(LEN(TRIM(A647))=10, --MID(A647,1,1)*2+--MID(A647,2,1)*4+--MID(A647,3,1)*10+--MID(A647,4,1)*3+--MID(A647,5,1)*5+--MID(A647,6,1)*9+--MID(A647,7,1)*4+--MID(A647,8,1)*6+--MID(A647,9,1)*8, IF(LEN(TRIM(A647))=12, --MID(A647,1,1)*7+--MID(A647,2,1)*2+--MID(A647,3,1)*4+--MID(A647,4,1)*10+--MID(A647,5,1)*3+--MID(A647,6,1)*5+--MID(A647,7,1)*9+--MID(A647,8,1)*4+--MID(A647,9,1)*6+--MID(A647,10,1)*8, ""))</f>
        <v/>
      </c>
      <c r="I647">
        <f>IF(LEN(TRIM(A647))=12, --MID(A647,1,1)*3+--MID(A647,2,1)*7+--MID(A647,3,1)*2+--MID(A647,4,1)*4+--MID(A647,5,1)*10+--MID(A647,6,1)*3+--MID(A647,7,1)*5+--MID(A647,8,1)*9+--MID(A647,9,1)*4+--MID(A647,10,1)*6+--MID(A647,11,1)*8, "")</f>
        <v/>
      </c>
    </row>
    <row r="648">
      <c r="A648">
        <f>SUBSTITUTE(SUBSTITUTE(SUBSTITUTE(SUBSTITUTE(TRIM(INDEX(Реестр!$B:$B,ROW())),CHAR(160),""),CHAR(9),""),CHAR(10),""),CHAR(13),"")</f>
        <v/>
      </c>
      <c r="B648">
        <f>SUBSTITUTE(SUBSTITUTE(SUBSTITUTE(SUBSTITUTE(SUBSTITUTE(SUBSTITUTE(SUBSTITUTE(TRIM(INDEX(Реестр!$D:$D, ROW())), "-", ""), " ", ""), CHAR(160), ""), CHAR(9), ""), CHAR(10), ""), CHAR(13), ""), CHAR(32), "")</f>
        <v/>
      </c>
      <c r="C648">
        <f>INDEX(Реестр!$H:$H, ROW())</f>
        <v/>
      </c>
      <c r="D648">
        <f>IF(OR(ISBLANK(INDEX(Реестр!$B:$B, ROW())), INDEX(Реестр!$B:$B, ROW())=""), " ", IF(IFERROR(ISNUMBER(--A648),FALSE), IF(LEN(A648)=10, IF(MOD(MOD(H648,11),10)=--RIGHT(A648,1), "OK", "ОШИБКА"), IF(LEN(A648)=12, IF(AND(MOD(MOD(H648,11),10)=--MID(A648,11,1), MOD(MOD(I648,11),10)=--RIGHT(A648,1)), "OK", "ОШИБКА"), "ДЛИНА (10 или 12)")), "НЕ ЦИФРЫ"))</f>
        <v/>
      </c>
      <c r="E648">
        <f>MID(B648,1,1)*9+MID(B648,2,1)*8+MID(B648,3,1)*7+MID(B648,4,1)*6+MID(B648,5,1)*5+MID(B648,6,1)*4+MID(B648,7,1)*3+MID(B648,8,1)*2+MID(B648,9,1)</f>
        <v/>
      </c>
      <c r="F648">
        <f>IF(B648="", " ", IF(LEN(B648)&lt;&gt;11, "ДЛИНА", IF(NOT(ISNUMBER(--B648)), "НЕ ЦИФРЫ", IF(LEFT(B648,9)*1&lt;=1001998, "OK", IF(RIGHT(B648,2)*1=IF(MOD(E648,101)&gt;=100,0,MOD(E648,101)),"OK","ОШИБКА")))))</f>
        <v/>
      </c>
      <c r="G6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8">
        <f>IF(LEN(TRIM(A648))=10, --MID(A648,1,1)*2+--MID(A648,2,1)*4+--MID(A648,3,1)*10+--MID(A648,4,1)*3+--MID(A648,5,1)*5+--MID(A648,6,1)*9+--MID(A648,7,1)*4+--MID(A648,8,1)*6+--MID(A648,9,1)*8, IF(LEN(TRIM(A648))=12, --MID(A648,1,1)*7+--MID(A648,2,1)*2+--MID(A648,3,1)*4+--MID(A648,4,1)*10+--MID(A648,5,1)*3+--MID(A648,6,1)*5+--MID(A648,7,1)*9+--MID(A648,8,1)*4+--MID(A648,9,1)*6+--MID(A648,10,1)*8, ""))</f>
        <v/>
      </c>
      <c r="I648">
        <f>IF(LEN(TRIM(A648))=12, --MID(A648,1,1)*3+--MID(A648,2,1)*7+--MID(A648,3,1)*2+--MID(A648,4,1)*4+--MID(A648,5,1)*10+--MID(A648,6,1)*3+--MID(A648,7,1)*5+--MID(A648,8,1)*9+--MID(A648,9,1)*4+--MID(A648,10,1)*6+--MID(A648,11,1)*8, "")</f>
        <v/>
      </c>
    </row>
    <row r="649">
      <c r="A649">
        <f>SUBSTITUTE(SUBSTITUTE(SUBSTITUTE(SUBSTITUTE(TRIM(INDEX(Реестр!$B:$B,ROW())),CHAR(160),""),CHAR(9),""),CHAR(10),""),CHAR(13),"")</f>
        <v/>
      </c>
      <c r="B649">
        <f>SUBSTITUTE(SUBSTITUTE(SUBSTITUTE(SUBSTITUTE(SUBSTITUTE(SUBSTITUTE(SUBSTITUTE(TRIM(INDEX(Реестр!$D:$D, ROW())), "-", ""), " ", ""), CHAR(160), ""), CHAR(9), ""), CHAR(10), ""), CHAR(13), ""), CHAR(32), "")</f>
        <v/>
      </c>
      <c r="C649">
        <f>INDEX(Реестр!$H:$H, ROW())</f>
        <v/>
      </c>
      <c r="D649">
        <f>IF(OR(ISBLANK(INDEX(Реестр!$B:$B, ROW())), INDEX(Реестр!$B:$B, ROW())=""), " ", IF(IFERROR(ISNUMBER(--A649),FALSE), IF(LEN(A649)=10, IF(MOD(MOD(H649,11),10)=--RIGHT(A649,1), "OK", "ОШИБКА"), IF(LEN(A649)=12, IF(AND(MOD(MOD(H649,11),10)=--MID(A649,11,1), MOD(MOD(I649,11),10)=--RIGHT(A649,1)), "OK", "ОШИБКА"), "ДЛИНА (10 или 12)")), "НЕ ЦИФРЫ"))</f>
        <v/>
      </c>
      <c r="E649">
        <f>MID(B649,1,1)*9+MID(B649,2,1)*8+MID(B649,3,1)*7+MID(B649,4,1)*6+MID(B649,5,1)*5+MID(B649,6,1)*4+MID(B649,7,1)*3+MID(B649,8,1)*2+MID(B649,9,1)</f>
        <v/>
      </c>
      <c r="F649">
        <f>IF(B649="", " ", IF(LEN(B649)&lt;&gt;11, "ДЛИНА", IF(NOT(ISNUMBER(--B649)), "НЕ ЦИФРЫ", IF(LEFT(B649,9)*1&lt;=1001998, "OK", IF(RIGHT(B649,2)*1=IF(MOD(E649,101)&gt;=100,0,MOD(E649,101)),"OK","ОШИБКА")))))</f>
        <v/>
      </c>
      <c r="G6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49">
        <f>IF(LEN(TRIM(A649))=10, --MID(A649,1,1)*2+--MID(A649,2,1)*4+--MID(A649,3,1)*10+--MID(A649,4,1)*3+--MID(A649,5,1)*5+--MID(A649,6,1)*9+--MID(A649,7,1)*4+--MID(A649,8,1)*6+--MID(A649,9,1)*8, IF(LEN(TRIM(A649))=12, --MID(A649,1,1)*7+--MID(A649,2,1)*2+--MID(A649,3,1)*4+--MID(A649,4,1)*10+--MID(A649,5,1)*3+--MID(A649,6,1)*5+--MID(A649,7,1)*9+--MID(A649,8,1)*4+--MID(A649,9,1)*6+--MID(A649,10,1)*8, ""))</f>
        <v/>
      </c>
      <c r="I649">
        <f>IF(LEN(TRIM(A649))=12, --MID(A649,1,1)*3+--MID(A649,2,1)*7+--MID(A649,3,1)*2+--MID(A649,4,1)*4+--MID(A649,5,1)*10+--MID(A649,6,1)*3+--MID(A649,7,1)*5+--MID(A649,8,1)*9+--MID(A649,9,1)*4+--MID(A649,10,1)*6+--MID(A649,11,1)*8, "")</f>
        <v/>
      </c>
    </row>
    <row r="650">
      <c r="A650">
        <f>SUBSTITUTE(SUBSTITUTE(SUBSTITUTE(SUBSTITUTE(TRIM(INDEX(Реестр!$B:$B,ROW())),CHAR(160),""),CHAR(9),""),CHAR(10),""),CHAR(13),"")</f>
        <v/>
      </c>
      <c r="B650">
        <f>SUBSTITUTE(SUBSTITUTE(SUBSTITUTE(SUBSTITUTE(SUBSTITUTE(SUBSTITUTE(SUBSTITUTE(TRIM(INDEX(Реестр!$D:$D, ROW())), "-", ""), " ", ""), CHAR(160), ""), CHAR(9), ""), CHAR(10), ""), CHAR(13), ""), CHAR(32), "")</f>
        <v/>
      </c>
      <c r="C650">
        <f>INDEX(Реестр!$H:$H, ROW())</f>
        <v/>
      </c>
      <c r="D650">
        <f>IF(OR(ISBLANK(INDEX(Реестр!$B:$B, ROW())), INDEX(Реестр!$B:$B, ROW())=""), " ", IF(IFERROR(ISNUMBER(--A650),FALSE), IF(LEN(A650)=10, IF(MOD(MOD(H650,11),10)=--RIGHT(A650,1), "OK", "ОШИБКА"), IF(LEN(A650)=12, IF(AND(MOD(MOD(H650,11),10)=--MID(A650,11,1), MOD(MOD(I650,11),10)=--RIGHT(A650,1)), "OK", "ОШИБКА"), "ДЛИНА (10 или 12)")), "НЕ ЦИФРЫ"))</f>
        <v/>
      </c>
      <c r="E650">
        <f>MID(B650,1,1)*9+MID(B650,2,1)*8+MID(B650,3,1)*7+MID(B650,4,1)*6+MID(B650,5,1)*5+MID(B650,6,1)*4+MID(B650,7,1)*3+MID(B650,8,1)*2+MID(B650,9,1)</f>
        <v/>
      </c>
      <c r="F650">
        <f>IF(B650="", " ", IF(LEN(B650)&lt;&gt;11, "ДЛИНА", IF(NOT(ISNUMBER(--B650)), "НЕ ЦИФРЫ", IF(LEFT(B650,9)*1&lt;=1001998, "OK", IF(RIGHT(B650,2)*1=IF(MOD(E650,101)&gt;=100,0,MOD(E650,101)),"OK","ОШИБКА")))))</f>
        <v/>
      </c>
      <c r="G6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0">
        <f>IF(LEN(TRIM(A650))=10, --MID(A650,1,1)*2+--MID(A650,2,1)*4+--MID(A650,3,1)*10+--MID(A650,4,1)*3+--MID(A650,5,1)*5+--MID(A650,6,1)*9+--MID(A650,7,1)*4+--MID(A650,8,1)*6+--MID(A650,9,1)*8, IF(LEN(TRIM(A650))=12, --MID(A650,1,1)*7+--MID(A650,2,1)*2+--MID(A650,3,1)*4+--MID(A650,4,1)*10+--MID(A650,5,1)*3+--MID(A650,6,1)*5+--MID(A650,7,1)*9+--MID(A650,8,1)*4+--MID(A650,9,1)*6+--MID(A650,10,1)*8, ""))</f>
        <v/>
      </c>
      <c r="I650">
        <f>IF(LEN(TRIM(A650))=12, --MID(A650,1,1)*3+--MID(A650,2,1)*7+--MID(A650,3,1)*2+--MID(A650,4,1)*4+--MID(A650,5,1)*10+--MID(A650,6,1)*3+--MID(A650,7,1)*5+--MID(A650,8,1)*9+--MID(A650,9,1)*4+--MID(A650,10,1)*6+--MID(A650,11,1)*8, "")</f>
        <v/>
      </c>
    </row>
    <row r="651">
      <c r="A651">
        <f>SUBSTITUTE(SUBSTITUTE(SUBSTITUTE(SUBSTITUTE(TRIM(INDEX(Реестр!$B:$B,ROW())),CHAR(160),""),CHAR(9),""),CHAR(10),""),CHAR(13),"")</f>
        <v/>
      </c>
      <c r="B651">
        <f>SUBSTITUTE(SUBSTITUTE(SUBSTITUTE(SUBSTITUTE(SUBSTITUTE(SUBSTITUTE(SUBSTITUTE(TRIM(INDEX(Реестр!$D:$D, ROW())), "-", ""), " ", ""), CHAR(160), ""), CHAR(9), ""), CHAR(10), ""), CHAR(13), ""), CHAR(32), "")</f>
        <v/>
      </c>
      <c r="C651">
        <f>INDEX(Реестр!$H:$H, ROW())</f>
        <v/>
      </c>
      <c r="D651">
        <f>IF(OR(ISBLANK(INDEX(Реестр!$B:$B, ROW())), INDEX(Реестр!$B:$B, ROW())=""), " ", IF(IFERROR(ISNUMBER(--A651),FALSE), IF(LEN(A651)=10, IF(MOD(MOD(H651,11),10)=--RIGHT(A651,1), "OK", "ОШИБКА"), IF(LEN(A651)=12, IF(AND(MOD(MOD(H651,11),10)=--MID(A651,11,1), MOD(MOD(I651,11),10)=--RIGHT(A651,1)), "OK", "ОШИБКА"), "ДЛИНА (10 или 12)")), "НЕ ЦИФРЫ"))</f>
        <v/>
      </c>
      <c r="E651">
        <f>MID(B651,1,1)*9+MID(B651,2,1)*8+MID(B651,3,1)*7+MID(B651,4,1)*6+MID(B651,5,1)*5+MID(B651,6,1)*4+MID(B651,7,1)*3+MID(B651,8,1)*2+MID(B651,9,1)</f>
        <v/>
      </c>
      <c r="F651">
        <f>IF(B651="", " ", IF(LEN(B651)&lt;&gt;11, "ДЛИНА", IF(NOT(ISNUMBER(--B651)), "НЕ ЦИФРЫ", IF(LEFT(B651,9)*1&lt;=1001998, "OK", IF(RIGHT(B651,2)*1=IF(MOD(E651,101)&gt;=100,0,MOD(E651,101)),"OK","ОШИБКА")))))</f>
        <v/>
      </c>
      <c r="G6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1">
        <f>IF(LEN(TRIM(A651))=10, --MID(A651,1,1)*2+--MID(A651,2,1)*4+--MID(A651,3,1)*10+--MID(A651,4,1)*3+--MID(A651,5,1)*5+--MID(A651,6,1)*9+--MID(A651,7,1)*4+--MID(A651,8,1)*6+--MID(A651,9,1)*8, IF(LEN(TRIM(A651))=12, --MID(A651,1,1)*7+--MID(A651,2,1)*2+--MID(A651,3,1)*4+--MID(A651,4,1)*10+--MID(A651,5,1)*3+--MID(A651,6,1)*5+--MID(A651,7,1)*9+--MID(A651,8,1)*4+--MID(A651,9,1)*6+--MID(A651,10,1)*8, ""))</f>
        <v/>
      </c>
      <c r="I651">
        <f>IF(LEN(TRIM(A651))=12, --MID(A651,1,1)*3+--MID(A651,2,1)*7+--MID(A651,3,1)*2+--MID(A651,4,1)*4+--MID(A651,5,1)*10+--MID(A651,6,1)*3+--MID(A651,7,1)*5+--MID(A651,8,1)*9+--MID(A651,9,1)*4+--MID(A651,10,1)*6+--MID(A651,11,1)*8, "")</f>
        <v/>
      </c>
    </row>
    <row r="652">
      <c r="A652">
        <f>SUBSTITUTE(SUBSTITUTE(SUBSTITUTE(SUBSTITUTE(TRIM(INDEX(Реестр!$B:$B,ROW())),CHAR(160),""),CHAR(9),""),CHAR(10),""),CHAR(13),"")</f>
        <v/>
      </c>
      <c r="B652">
        <f>SUBSTITUTE(SUBSTITUTE(SUBSTITUTE(SUBSTITUTE(SUBSTITUTE(SUBSTITUTE(SUBSTITUTE(TRIM(INDEX(Реестр!$D:$D, ROW())), "-", ""), " ", ""), CHAR(160), ""), CHAR(9), ""), CHAR(10), ""), CHAR(13), ""), CHAR(32), "")</f>
        <v/>
      </c>
      <c r="C652">
        <f>INDEX(Реестр!$H:$H, ROW())</f>
        <v/>
      </c>
      <c r="D652">
        <f>IF(OR(ISBLANK(INDEX(Реестр!$B:$B, ROW())), INDEX(Реестр!$B:$B, ROW())=""), " ", IF(IFERROR(ISNUMBER(--A652),FALSE), IF(LEN(A652)=10, IF(MOD(MOD(H652,11),10)=--RIGHT(A652,1), "OK", "ОШИБКА"), IF(LEN(A652)=12, IF(AND(MOD(MOD(H652,11),10)=--MID(A652,11,1), MOD(MOD(I652,11),10)=--RIGHT(A652,1)), "OK", "ОШИБКА"), "ДЛИНА (10 или 12)")), "НЕ ЦИФРЫ"))</f>
        <v/>
      </c>
      <c r="E652">
        <f>MID(B652,1,1)*9+MID(B652,2,1)*8+MID(B652,3,1)*7+MID(B652,4,1)*6+MID(B652,5,1)*5+MID(B652,6,1)*4+MID(B652,7,1)*3+MID(B652,8,1)*2+MID(B652,9,1)</f>
        <v/>
      </c>
      <c r="F652">
        <f>IF(B652="", " ", IF(LEN(B652)&lt;&gt;11, "ДЛИНА", IF(NOT(ISNUMBER(--B652)), "НЕ ЦИФРЫ", IF(LEFT(B652,9)*1&lt;=1001998, "OK", IF(RIGHT(B652,2)*1=IF(MOD(E652,101)&gt;=100,0,MOD(E652,101)),"OK","ОШИБКА")))))</f>
        <v/>
      </c>
      <c r="G6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2">
        <f>IF(LEN(TRIM(A652))=10, --MID(A652,1,1)*2+--MID(A652,2,1)*4+--MID(A652,3,1)*10+--MID(A652,4,1)*3+--MID(A652,5,1)*5+--MID(A652,6,1)*9+--MID(A652,7,1)*4+--MID(A652,8,1)*6+--MID(A652,9,1)*8, IF(LEN(TRIM(A652))=12, --MID(A652,1,1)*7+--MID(A652,2,1)*2+--MID(A652,3,1)*4+--MID(A652,4,1)*10+--MID(A652,5,1)*3+--MID(A652,6,1)*5+--MID(A652,7,1)*9+--MID(A652,8,1)*4+--MID(A652,9,1)*6+--MID(A652,10,1)*8, ""))</f>
        <v/>
      </c>
      <c r="I652">
        <f>IF(LEN(TRIM(A652))=12, --MID(A652,1,1)*3+--MID(A652,2,1)*7+--MID(A652,3,1)*2+--MID(A652,4,1)*4+--MID(A652,5,1)*10+--MID(A652,6,1)*3+--MID(A652,7,1)*5+--MID(A652,8,1)*9+--MID(A652,9,1)*4+--MID(A652,10,1)*6+--MID(A652,11,1)*8, "")</f>
        <v/>
      </c>
    </row>
    <row r="653">
      <c r="A653">
        <f>SUBSTITUTE(SUBSTITUTE(SUBSTITUTE(SUBSTITUTE(TRIM(INDEX(Реестр!$B:$B,ROW())),CHAR(160),""),CHAR(9),""),CHAR(10),""),CHAR(13),"")</f>
        <v/>
      </c>
      <c r="B653">
        <f>SUBSTITUTE(SUBSTITUTE(SUBSTITUTE(SUBSTITUTE(SUBSTITUTE(SUBSTITUTE(SUBSTITUTE(TRIM(INDEX(Реестр!$D:$D, ROW())), "-", ""), " ", ""), CHAR(160), ""), CHAR(9), ""), CHAR(10), ""), CHAR(13), ""), CHAR(32), "")</f>
        <v/>
      </c>
      <c r="C653">
        <f>INDEX(Реестр!$H:$H, ROW())</f>
        <v/>
      </c>
      <c r="D653">
        <f>IF(OR(ISBLANK(INDEX(Реестр!$B:$B, ROW())), INDEX(Реестр!$B:$B, ROW())=""), " ", IF(IFERROR(ISNUMBER(--A653),FALSE), IF(LEN(A653)=10, IF(MOD(MOD(H653,11),10)=--RIGHT(A653,1), "OK", "ОШИБКА"), IF(LEN(A653)=12, IF(AND(MOD(MOD(H653,11),10)=--MID(A653,11,1), MOD(MOD(I653,11),10)=--RIGHT(A653,1)), "OK", "ОШИБКА"), "ДЛИНА (10 или 12)")), "НЕ ЦИФРЫ"))</f>
        <v/>
      </c>
      <c r="E653">
        <f>MID(B653,1,1)*9+MID(B653,2,1)*8+MID(B653,3,1)*7+MID(B653,4,1)*6+MID(B653,5,1)*5+MID(B653,6,1)*4+MID(B653,7,1)*3+MID(B653,8,1)*2+MID(B653,9,1)</f>
        <v/>
      </c>
      <c r="F653">
        <f>IF(B653="", " ", IF(LEN(B653)&lt;&gt;11, "ДЛИНА", IF(NOT(ISNUMBER(--B653)), "НЕ ЦИФРЫ", IF(LEFT(B653,9)*1&lt;=1001998, "OK", IF(RIGHT(B653,2)*1=IF(MOD(E653,101)&gt;=100,0,MOD(E653,101)),"OK","ОШИБКА")))))</f>
        <v/>
      </c>
      <c r="G6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3">
        <f>IF(LEN(TRIM(A653))=10, --MID(A653,1,1)*2+--MID(A653,2,1)*4+--MID(A653,3,1)*10+--MID(A653,4,1)*3+--MID(A653,5,1)*5+--MID(A653,6,1)*9+--MID(A653,7,1)*4+--MID(A653,8,1)*6+--MID(A653,9,1)*8, IF(LEN(TRIM(A653))=12, --MID(A653,1,1)*7+--MID(A653,2,1)*2+--MID(A653,3,1)*4+--MID(A653,4,1)*10+--MID(A653,5,1)*3+--MID(A653,6,1)*5+--MID(A653,7,1)*9+--MID(A653,8,1)*4+--MID(A653,9,1)*6+--MID(A653,10,1)*8, ""))</f>
        <v/>
      </c>
      <c r="I653">
        <f>IF(LEN(TRIM(A653))=12, --MID(A653,1,1)*3+--MID(A653,2,1)*7+--MID(A653,3,1)*2+--MID(A653,4,1)*4+--MID(A653,5,1)*10+--MID(A653,6,1)*3+--MID(A653,7,1)*5+--MID(A653,8,1)*9+--MID(A653,9,1)*4+--MID(A653,10,1)*6+--MID(A653,11,1)*8, "")</f>
        <v/>
      </c>
    </row>
    <row r="654">
      <c r="A654">
        <f>SUBSTITUTE(SUBSTITUTE(SUBSTITUTE(SUBSTITUTE(TRIM(INDEX(Реестр!$B:$B,ROW())),CHAR(160),""),CHAR(9),""),CHAR(10),""),CHAR(13),"")</f>
        <v/>
      </c>
      <c r="B654">
        <f>SUBSTITUTE(SUBSTITUTE(SUBSTITUTE(SUBSTITUTE(SUBSTITUTE(SUBSTITUTE(SUBSTITUTE(TRIM(INDEX(Реестр!$D:$D, ROW())), "-", ""), " ", ""), CHAR(160), ""), CHAR(9), ""), CHAR(10), ""), CHAR(13), ""), CHAR(32), "")</f>
        <v/>
      </c>
      <c r="C654">
        <f>INDEX(Реестр!$H:$H, ROW())</f>
        <v/>
      </c>
      <c r="D654">
        <f>IF(OR(ISBLANK(INDEX(Реестр!$B:$B, ROW())), INDEX(Реестр!$B:$B, ROW())=""), " ", IF(IFERROR(ISNUMBER(--A654),FALSE), IF(LEN(A654)=10, IF(MOD(MOD(H654,11),10)=--RIGHT(A654,1), "OK", "ОШИБКА"), IF(LEN(A654)=12, IF(AND(MOD(MOD(H654,11),10)=--MID(A654,11,1), MOD(MOD(I654,11),10)=--RIGHT(A654,1)), "OK", "ОШИБКА"), "ДЛИНА (10 или 12)")), "НЕ ЦИФРЫ"))</f>
        <v/>
      </c>
      <c r="E654">
        <f>MID(B654,1,1)*9+MID(B654,2,1)*8+MID(B654,3,1)*7+MID(B654,4,1)*6+MID(B654,5,1)*5+MID(B654,6,1)*4+MID(B654,7,1)*3+MID(B654,8,1)*2+MID(B654,9,1)</f>
        <v/>
      </c>
      <c r="F654">
        <f>IF(B654="", " ", IF(LEN(B654)&lt;&gt;11, "ДЛИНА", IF(NOT(ISNUMBER(--B654)), "НЕ ЦИФРЫ", IF(LEFT(B654,9)*1&lt;=1001998, "OK", IF(RIGHT(B654,2)*1=IF(MOD(E654,101)&gt;=100,0,MOD(E654,101)),"OK","ОШИБКА")))))</f>
        <v/>
      </c>
      <c r="G6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4">
        <f>IF(LEN(TRIM(A654))=10, --MID(A654,1,1)*2+--MID(A654,2,1)*4+--MID(A654,3,1)*10+--MID(A654,4,1)*3+--MID(A654,5,1)*5+--MID(A654,6,1)*9+--MID(A654,7,1)*4+--MID(A654,8,1)*6+--MID(A654,9,1)*8, IF(LEN(TRIM(A654))=12, --MID(A654,1,1)*7+--MID(A654,2,1)*2+--MID(A654,3,1)*4+--MID(A654,4,1)*10+--MID(A654,5,1)*3+--MID(A654,6,1)*5+--MID(A654,7,1)*9+--MID(A654,8,1)*4+--MID(A654,9,1)*6+--MID(A654,10,1)*8, ""))</f>
        <v/>
      </c>
      <c r="I654">
        <f>IF(LEN(TRIM(A654))=12, --MID(A654,1,1)*3+--MID(A654,2,1)*7+--MID(A654,3,1)*2+--MID(A654,4,1)*4+--MID(A654,5,1)*10+--MID(A654,6,1)*3+--MID(A654,7,1)*5+--MID(A654,8,1)*9+--MID(A654,9,1)*4+--MID(A654,10,1)*6+--MID(A654,11,1)*8, "")</f>
        <v/>
      </c>
    </row>
    <row r="655">
      <c r="A655">
        <f>SUBSTITUTE(SUBSTITUTE(SUBSTITUTE(SUBSTITUTE(TRIM(INDEX(Реестр!$B:$B,ROW())),CHAR(160),""),CHAR(9),""),CHAR(10),""),CHAR(13),"")</f>
        <v/>
      </c>
      <c r="B655">
        <f>SUBSTITUTE(SUBSTITUTE(SUBSTITUTE(SUBSTITUTE(SUBSTITUTE(SUBSTITUTE(SUBSTITUTE(TRIM(INDEX(Реестр!$D:$D, ROW())), "-", ""), " ", ""), CHAR(160), ""), CHAR(9), ""), CHAR(10), ""), CHAR(13), ""), CHAR(32), "")</f>
        <v/>
      </c>
      <c r="C655">
        <f>INDEX(Реестр!$H:$H, ROW())</f>
        <v/>
      </c>
      <c r="D655">
        <f>IF(OR(ISBLANK(INDEX(Реестр!$B:$B, ROW())), INDEX(Реестр!$B:$B, ROW())=""), " ", IF(IFERROR(ISNUMBER(--A655),FALSE), IF(LEN(A655)=10, IF(MOD(MOD(H655,11),10)=--RIGHT(A655,1), "OK", "ОШИБКА"), IF(LEN(A655)=12, IF(AND(MOD(MOD(H655,11),10)=--MID(A655,11,1), MOD(MOD(I655,11),10)=--RIGHT(A655,1)), "OK", "ОШИБКА"), "ДЛИНА (10 или 12)")), "НЕ ЦИФРЫ"))</f>
        <v/>
      </c>
      <c r="E655">
        <f>MID(B655,1,1)*9+MID(B655,2,1)*8+MID(B655,3,1)*7+MID(B655,4,1)*6+MID(B655,5,1)*5+MID(B655,6,1)*4+MID(B655,7,1)*3+MID(B655,8,1)*2+MID(B655,9,1)</f>
        <v/>
      </c>
      <c r="F655">
        <f>IF(B655="", " ", IF(LEN(B655)&lt;&gt;11, "ДЛИНА", IF(NOT(ISNUMBER(--B655)), "НЕ ЦИФРЫ", IF(LEFT(B655,9)*1&lt;=1001998, "OK", IF(RIGHT(B655,2)*1=IF(MOD(E655,101)&gt;=100,0,MOD(E655,101)),"OK","ОШИБКА")))))</f>
        <v/>
      </c>
      <c r="G6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5">
        <f>IF(LEN(TRIM(A655))=10, --MID(A655,1,1)*2+--MID(A655,2,1)*4+--MID(A655,3,1)*10+--MID(A655,4,1)*3+--MID(A655,5,1)*5+--MID(A655,6,1)*9+--MID(A655,7,1)*4+--MID(A655,8,1)*6+--MID(A655,9,1)*8, IF(LEN(TRIM(A655))=12, --MID(A655,1,1)*7+--MID(A655,2,1)*2+--MID(A655,3,1)*4+--MID(A655,4,1)*10+--MID(A655,5,1)*3+--MID(A655,6,1)*5+--MID(A655,7,1)*9+--MID(A655,8,1)*4+--MID(A655,9,1)*6+--MID(A655,10,1)*8, ""))</f>
        <v/>
      </c>
      <c r="I655">
        <f>IF(LEN(TRIM(A655))=12, --MID(A655,1,1)*3+--MID(A655,2,1)*7+--MID(A655,3,1)*2+--MID(A655,4,1)*4+--MID(A655,5,1)*10+--MID(A655,6,1)*3+--MID(A655,7,1)*5+--MID(A655,8,1)*9+--MID(A655,9,1)*4+--MID(A655,10,1)*6+--MID(A655,11,1)*8, "")</f>
        <v/>
      </c>
    </row>
    <row r="656">
      <c r="A656">
        <f>SUBSTITUTE(SUBSTITUTE(SUBSTITUTE(SUBSTITUTE(TRIM(INDEX(Реестр!$B:$B,ROW())),CHAR(160),""),CHAR(9),""),CHAR(10),""),CHAR(13),"")</f>
        <v/>
      </c>
      <c r="B656">
        <f>SUBSTITUTE(SUBSTITUTE(SUBSTITUTE(SUBSTITUTE(SUBSTITUTE(SUBSTITUTE(SUBSTITUTE(TRIM(INDEX(Реестр!$D:$D, ROW())), "-", ""), " ", ""), CHAR(160), ""), CHAR(9), ""), CHAR(10), ""), CHAR(13), ""), CHAR(32), "")</f>
        <v/>
      </c>
      <c r="C656">
        <f>INDEX(Реестр!$H:$H, ROW())</f>
        <v/>
      </c>
      <c r="D656">
        <f>IF(OR(ISBLANK(INDEX(Реестр!$B:$B, ROW())), INDEX(Реестр!$B:$B, ROW())=""), " ", IF(IFERROR(ISNUMBER(--A656),FALSE), IF(LEN(A656)=10, IF(MOD(MOD(H656,11),10)=--RIGHT(A656,1), "OK", "ОШИБКА"), IF(LEN(A656)=12, IF(AND(MOD(MOD(H656,11),10)=--MID(A656,11,1), MOD(MOD(I656,11),10)=--RIGHT(A656,1)), "OK", "ОШИБКА"), "ДЛИНА (10 или 12)")), "НЕ ЦИФРЫ"))</f>
        <v/>
      </c>
      <c r="E656">
        <f>MID(B656,1,1)*9+MID(B656,2,1)*8+MID(B656,3,1)*7+MID(B656,4,1)*6+MID(B656,5,1)*5+MID(B656,6,1)*4+MID(B656,7,1)*3+MID(B656,8,1)*2+MID(B656,9,1)</f>
        <v/>
      </c>
      <c r="F656">
        <f>IF(B656="", " ", IF(LEN(B656)&lt;&gt;11, "ДЛИНА", IF(NOT(ISNUMBER(--B656)), "НЕ ЦИФРЫ", IF(LEFT(B656,9)*1&lt;=1001998, "OK", IF(RIGHT(B656,2)*1=IF(MOD(E656,101)&gt;=100,0,MOD(E656,101)),"OK","ОШИБКА")))))</f>
        <v/>
      </c>
      <c r="G6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6">
        <f>IF(LEN(TRIM(A656))=10, --MID(A656,1,1)*2+--MID(A656,2,1)*4+--MID(A656,3,1)*10+--MID(A656,4,1)*3+--MID(A656,5,1)*5+--MID(A656,6,1)*9+--MID(A656,7,1)*4+--MID(A656,8,1)*6+--MID(A656,9,1)*8, IF(LEN(TRIM(A656))=12, --MID(A656,1,1)*7+--MID(A656,2,1)*2+--MID(A656,3,1)*4+--MID(A656,4,1)*10+--MID(A656,5,1)*3+--MID(A656,6,1)*5+--MID(A656,7,1)*9+--MID(A656,8,1)*4+--MID(A656,9,1)*6+--MID(A656,10,1)*8, ""))</f>
        <v/>
      </c>
      <c r="I656">
        <f>IF(LEN(TRIM(A656))=12, --MID(A656,1,1)*3+--MID(A656,2,1)*7+--MID(A656,3,1)*2+--MID(A656,4,1)*4+--MID(A656,5,1)*10+--MID(A656,6,1)*3+--MID(A656,7,1)*5+--MID(A656,8,1)*9+--MID(A656,9,1)*4+--MID(A656,10,1)*6+--MID(A656,11,1)*8, "")</f>
        <v/>
      </c>
    </row>
    <row r="657">
      <c r="A657">
        <f>SUBSTITUTE(SUBSTITUTE(SUBSTITUTE(SUBSTITUTE(TRIM(INDEX(Реестр!$B:$B,ROW())),CHAR(160),""),CHAR(9),""),CHAR(10),""),CHAR(13),"")</f>
        <v/>
      </c>
      <c r="B657">
        <f>SUBSTITUTE(SUBSTITUTE(SUBSTITUTE(SUBSTITUTE(SUBSTITUTE(SUBSTITUTE(SUBSTITUTE(TRIM(INDEX(Реестр!$D:$D, ROW())), "-", ""), " ", ""), CHAR(160), ""), CHAR(9), ""), CHAR(10), ""), CHAR(13), ""), CHAR(32), "")</f>
        <v/>
      </c>
      <c r="C657">
        <f>INDEX(Реестр!$H:$H, ROW())</f>
        <v/>
      </c>
      <c r="D657">
        <f>IF(OR(ISBLANK(INDEX(Реестр!$B:$B, ROW())), INDEX(Реестр!$B:$B, ROW())=""), " ", IF(IFERROR(ISNUMBER(--A657),FALSE), IF(LEN(A657)=10, IF(MOD(MOD(H657,11),10)=--RIGHT(A657,1), "OK", "ОШИБКА"), IF(LEN(A657)=12, IF(AND(MOD(MOD(H657,11),10)=--MID(A657,11,1), MOD(MOD(I657,11),10)=--RIGHT(A657,1)), "OK", "ОШИБКА"), "ДЛИНА (10 или 12)")), "НЕ ЦИФРЫ"))</f>
        <v/>
      </c>
      <c r="E657">
        <f>MID(B657,1,1)*9+MID(B657,2,1)*8+MID(B657,3,1)*7+MID(B657,4,1)*6+MID(B657,5,1)*5+MID(B657,6,1)*4+MID(B657,7,1)*3+MID(B657,8,1)*2+MID(B657,9,1)</f>
        <v/>
      </c>
      <c r="F657">
        <f>IF(B657="", " ", IF(LEN(B657)&lt;&gt;11, "ДЛИНА", IF(NOT(ISNUMBER(--B657)), "НЕ ЦИФРЫ", IF(LEFT(B657,9)*1&lt;=1001998, "OK", IF(RIGHT(B657,2)*1=IF(MOD(E657,101)&gt;=100,0,MOD(E657,101)),"OK","ОШИБКА")))))</f>
        <v/>
      </c>
      <c r="G6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7">
        <f>IF(LEN(TRIM(A657))=10, --MID(A657,1,1)*2+--MID(A657,2,1)*4+--MID(A657,3,1)*10+--MID(A657,4,1)*3+--MID(A657,5,1)*5+--MID(A657,6,1)*9+--MID(A657,7,1)*4+--MID(A657,8,1)*6+--MID(A657,9,1)*8, IF(LEN(TRIM(A657))=12, --MID(A657,1,1)*7+--MID(A657,2,1)*2+--MID(A657,3,1)*4+--MID(A657,4,1)*10+--MID(A657,5,1)*3+--MID(A657,6,1)*5+--MID(A657,7,1)*9+--MID(A657,8,1)*4+--MID(A657,9,1)*6+--MID(A657,10,1)*8, ""))</f>
        <v/>
      </c>
      <c r="I657">
        <f>IF(LEN(TRIM(A657))=12, --MID(A657,1,1)*3+--MID(A657,2,1)*7+--MID(A657,3,1)*2+--MID(A657,4,1)*4+--MID(A657,5,1)*10+--MID(A657,6,1)*3+--MID(A657,7,1)*5+--MID(A657,8,1)*9+--MID(A657,9,1)*4+--MID(A657,10,1)*6+--MID(A657,11,1)*8, "")</f>
        <v/>
      </c>
    </row>
    <row r="658">
      <c r="A658">
        <f>SUBSTITUTE(SUBSTITUTE(SUBSTITUTE(SUBSTITUTE(TRIM(INDEX(Реестр!$B:$B,ROW())),CHAR(160),""),CHAR(9),""),CHAR(10),""),CHAR(13),"")</f>
        <v/>
      </c>
      <c r="B658">
        <f>SUBSTITUTE(SUBSTITUTE(SUBSTITUTE(SUBSTITUTE(SUBSTITUTE(SUBSTITUTE(SUBSTITUTE(TRIM(INDEX(Реестр!$D:$D, ROW())), "-", ""), " ", ""), CHAR(160), ""), CHAR(9), ""), CHAR(10), ""), CHAR(13), ""), CHAR(32), "")</f>
        <v/>
      </c>
      <c r="C658">
        <f>INDEX(Реестр!$H:$H, ROW())</f>
        <v/>
      </c>
      <c r="D658">
        <f>IF(OR(ISBLANK(INDEX(Реестр!$B:$B, ROW())), INDEX(Реестр!$B:$B, ROW())=""), " ", IF(IFERROR(ISNUMBER(--A658),FALSE), IF(LEN(A658)=10, IF(MOD(MOD(H658,11),10)=--RIGHT(A658,1), "OK", "ОШИБКА"), IF(LEN(A658)=12, IF(AND(MOD(MOD(H658,11),10)=--MID(A658,11,1), MOD(MOD(I658,11),10)=--RIGHT(A658,1)), "OK", "ОШИБКА"), "ДЛИНА (10 или 12)")), "НЕ ЦИФРЫ"))</f>
        <v/>
      </c>
      <c r="E658">
        <f>MID(B658,1,1)*9+MID(B658,2,1)*8+MID(B658,3,1)*7+MID(B658,4,1)*6+MID(B658,5,1)*5+MID(B658,6,1)*4+MID(B658,7,1)*3+MID(B658,8,1)*2+MID(B658,9,1)</f>
        <v/>
      </c>
      <c r="F658">
        <f>IF(B658="", " ", IF(LEN(B658)&lt;&gt;11, "ДЛИНА", IF(NOT(ISNUMBER(--B658)), "НЕ ЦИФРЫ", IF(LEFT(B658,9)*1&lt;=1001998, "OK", IF(RIGHT(B658,2)*1=IF(MOD(E658,101)&gt;=100,0,MOD(E658,101)),"OK","ОШИБКА")))))</f>
        <v/>
      </c>
      <c r="G6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8">
        <f>IF(LEN(TRIM(A658))=10, --MID(A658,1,1)*2+--MID(A658,2,1)*4+--MID(A658,3,1)*10+--MID(A658,4,1)*3+--MID(A658,5,1)*5+--MID(A658,6,1)*9+--MID(A658,7,1)*4+--MID(A658,8,1)*6+--MID(A658,9,1)*8, IF(LEN(TRIM(A658))=12, --MID(A658,1,1)*7+--MID(A658,2,1)*2+--MID(A658,3,1)*4+--MID(A658,4,1)*10+--MID(A658,5,1)*3+--MID(A658,6,1)*5+--MID(A658,7,1)*9+--MID(A658,8,1)*4+--MID(A658,9,1)*6+--MID(A658,10,1)*8, ""))</f>
        <v/>
      </c>
      <c r="I658">
        <f>IF(LEN(TRIM(A658))=12, --MID(A658,1,1)*3+--MID(A658,2,1)*7+--MID(A658,3,1)*2+--MID(A658,4,1)*4+--MID(A658,5,1)*10+--MID(A658,6,1)*3+--MID(A658,7,1)*5+--MID(A658,8,1)*9+--MID(A658,9,1)*4+--MID(A658,10,1)*6+--MID(A658,11,1)*8, "")</f>
        <v/>
      </c>
    </row>
    <row r="659">
      <c r="A659">
        <f>SUBSTITUTE(SUBSTITUTE(SUBSTITUTE(SUBSTITUTE(TRIM(INDEX(Реестр!$B:$B,ROW())),CHAR(160),""),CHAR(9),""),CHAR(10),""),CHAR(13),"")</f>
        <v/>
      </c>
      <c r="B659">
        <f>SUBSTITUTE(SUBSTITUTE(SUBSTITUTE(SUBSTITUTE(SUBSTITUTE(SUBSTITUTE(SUBSTITUTE(TRIM(INDEX(Реестр!$D:$D, ROW())), "-", ""), " ", ""), CHAR(160), ""), CHAR(9), ""), CHAR(10), ""), CHAR(13), ""), CHAR(32), "")</f>
        <v/>
      </c>
      <c r="C659">
        <f>INDEX(Реестр!$H:$H, ROW())</f>
        <v/>
      </c>
      <c r="D659">
        <f>IF(OR(ISBLANK(INDEX(Реестр!$B:$B, ROW())), INDEX(Реестр!$B:$B, ROW())=""), " ", IF(IFERROR(ISNUMBER(--A659),FALSE), IF(LEN(A659)=10, IF(MOD(MOD(H659,11),10)=--RIGHT(A659,1), "OK", "ОШИБКА"), IF(LEN(A659)=12, IF(AND(MOD(MOD(H659,11),10)=--MID(A659,11,1), MOD(MOD(I659,11),10)=--RIGHT(A659,1)), "OK", "ОШИБКА"), "ДЛИНА (10 или 12)")), "НЕ ЦИФРЫ"))</f>
        <v/>
      </c>
      <c r="E659">
        <f>MID(B659,1,1)*9+MID(B659,2,1)*8+MID(B659,3,1)*7+MID(B659,4,1)*6+MID(B659,5,1)*5+MID(B659,6,1)*4+MID(B659,7,1)*3+MID(B659,8,1)*2+MID(B659,9,1)</f>
        <v/>
      </c>
      <c r="F659">
        <f>IF(B659="", " ", IF(LEN(B659)&lt;&gt;11, "ДЛИНА", IF(NOT(ISNUMBER(--B659)), "НЕ ЦИФРЫ", IF(LEFT(B659,9)*1&lt;=1001998, "OK", IF(RIGHT(B659,2)*1=IF(MOD(E659,101)&gt;=100,0,MOD(E659,101)),"OK","ОШИБКА")))))</f>
        <v/>
      </c>
      <c r="G6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59">
        <f>IF(LEN(TRIM(A659))=10, --MID(A659,1,1)*2+--MID(A659,2,1)*4+--MID(A659,3,1)*10+--MID(A659,4,1)*3+--MID(A659,5,1)*5+--MID(A659,6,1)*9+--MID(A659,7,1)*4+--MID(A659,8,1)*6+--MID(A659,9,1)*8, IF(LEN(TRIM(A659))=12, --MID(A659,1,1)*7+--MID(A659,2,1)*2+--MID(A659,3,1)*4+--MID(A659,4,1)*10+--MID(A659,5,1)*3+--MID(A659,6,1)*5+--MID(A659,7,1)*9+--MID(A659,8,1)*4+--MID(A659,9,1)*6+--MID(A659,10,1)*8, ""))</f>
        <v/>
      </c>
      <c r="I659">
        <f>IF(LEN(TRIM(A659))=12, --MID(A659,1,1)*3+--MID(A659,2,1)*7+--MID(A659,3,1)*2+--MID(A659,4,1)*4+--MID(A659,5,1)*10+--MID(A659,6,1)*3+--MID(A659,7,1)*5+--MID(A659,8,1)*9+--MID(A659,9,1)*4+--MID(A659,10,1)*6+--MID(A659,11,1)*8, "")</f>
        <v/>
      </c>
    </row>
    <row r="660">
      <c r="A660">
        <f>SUBSTITUTE(SUBSTITUTE(SUBSTITUTE(SUBSTITUTE(TRIM(INDEX(Реестр!$B:$B,ROW())),CHAR(160),""),CHAR(9),""),CHAR(10),""),CHAR(13),"")</f>
        <v/>
      </c>
      <c r="B660">
        <f>SUBSTITUTE(SUBSTITUTE(SUBSTITUTE(SUBSTITUTE(SUBSTITUTE(SUBSTITUTE(SUBSTITUTE(TRIM(INDEX(Реестр!$D:$D, ROW())), "-", ""), " ", ""), CHAR(160), ""), CHAR(9), ""), CHAR(10), ""), CHAR(13), ""), CHAR(32), "")</f>
        <v/>
      </c>
      <c r="C660">
        <f>INDEX(Реестр!$H:$H, ROW())</f>
        <v/>
      </c>
      <c r="D660">
        <f>IF(OR(ISBLANK(INDEX(Реестр!$B:$B, ROW())), INDEX(Реестр!$B:$B, ROW())=""), " ", IF(IFERROR(ISNUMBER(--A660),FALSE), IF(LEN(A660)=10, IF(MOD(MOD(H660,11),10)=--RIGHT(A660,1), "OK", "ОШИБКА"), IF(LEN(A660)=12, IF(AND(MOD(MOD(H660,11),10)=--MID(A660,11,1), MOD(MOD(I660,11),10)=--RIGHT(A660,1)), "OK", "ОШИБКА"), "ДЛИНА (10 или 12)")), "НЕ ЦИФРЫ"))</f>
        <v/>
      </c>
      <c r="E660">
        <f>MID(B660,1,1)*9+MID(B660,2,1)*8+MID(B660,3,1)*7+MID(B660,4,1)*6+MID(B660,5,1)*5+MID(B660,6,1)*4+MID(B660,7,1)*3+MID(B660,8,1)*2+MID(B660,9,1)</f>
        <v/>
      </c>
      <c r="F660">
        <f>IF(B660="", " ", IF(LEN(B660)&lt;&gt;11, "ДЛИНА", IF(NOT(ISNUMBER(--B660)), "НЕ ЦИФРЫ", IF(LEFT(B660,9)*1&lt;=1001998, "OK", IF(RIGHT(B660,2)*1=IF(MOD(E660,101)&gt;=100,0,MOD(E660,101)),"OK","ОШИБКА")))))</f>
        <v/>
      </c>
      <c r="G6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0">
        <f>IF(LEN(TRIM(A660))=10, --MID(A660,1,1)*2+--MID(A660,2,1)*4+--MID(A660,3,1)*10+--MID(A660,4,1)*3+--MID(A660,5,1)*5+--MID(A660,6,1)*9+--MID(A660,7,1)*4+--MID(A660,8,1)*6+--MID(A660,9,1)*8, IF(LEN(TRIM(A660))=12, --MID(A660,1,1)*7+--MID(A660,2,1)*2+--MID(A660,3,1)*4+--MID(A660,4,1)*10+--MID(A660,5,1)*3+--MID(A660,6,1)*5+--MID(A660,7,1)*9+--MID(A660,8,1)*4+--MID(A660,9,1)*6+--MID(A660,10,1)*8, ""))</f>
        <v/>
      </c>
      <c r="I660">
        <f>IF(LEN(TRIM(A660))=12, --MID(A660,1,1)*3+--MID(A660,2,1)*7+--MID(A660,3,1)*2+--MID(A660,4,1)*4+--MID(A660,5,1)*10+--MID(A660,6,1)*3+--MID(A660,7,1)*5+--MID(A660,8,1)*9+--MID(A660,9,1)*4+--MID(A660,10,1)*6+--MID(A660,11,1)*8, "")</f>
        <v/>
      </c>
    </row>
    <row r="661">
      <c r="A661">
        <f>SUBSTITUTE(SUBSTITUTE(SUBSTITUTE(SUBSTITUTE(TRIM(INDEX(Реестр!$B:$B,ROW())),CHAR(160),""),CHAR(9),""),CHAR(10),""),CHAR(13),"")</f>
        <v/>
      </c>
      <c r="B661">
        <f>SUBSTITUTE(SUBSTITUTE(SUBSTITUTE(SUBSTITUTE(SUBSTITUTE(SUBSTITUTE(SUBSTITUTE(TRIM(INDEX(Реестр!$D:$D, ROW())), "-", ""), " ", ""), CHAR(160), ""), CHAR(9), ""), CHAR(10), ""), CHAR(13), ""), CHAR(32), "")</f>
        <v/>
      </c>
      <c r="C661">
        <f>INDEX(Реестр!$H:$H, ROW())</f>
        <v/>
      </c>
      <c r="D661">
        <f>IF(OR(ISBLANK(INDEX(Реестр!$B:$B, ROW())), INDEX(Реестр!$B:$B, ROW())=""), " ", IF(IFERROR(ISNUMBER(--A661),FALSE), IF(LEN(A661)=10, IF(MOD(MOD(H661,11),10)=--RIGHT(A661,1), "OK", "ОШИБКА"), IF(LEN(A661)=12, IF(AND(MOD(MOD(H661,11),10)=--MID(A661,11,1), MOD(MOD(I661,11),10)=--RIGHT(A661,1)), "OK", "ОШИБКА"), "ДЛИНА (10 или 12)")), "НЕ ЦИФРЫ"))</f>
        <v/>
      </c>
      <c r="E661">
        <f>MID(B661,1,1)*9+MID(B661,2,1)*8+MID(B661,3,1)*7+MID(B661,4,1)*6+MID(B661,5,1)*5+MID(B661,6,1)*4+MID(B661,7,1)*3+MID(B661,8,1)*2+MID(B661,9,1)</f>
        <v/>
      </c>
      <c r="F661">
        <f>IF(B661="", " ", IF(LEN(B661)&lt;&gt;11, "ДЛИНА", IF(NOT(ISNUMBER(--B661)), "НЕ ЦИФРЫ", IF(LEFT(B661,9)*1&lt;=1001998, "OK", IF(RIGHT(B661,2)*1=IF(MOD(E661,101)&gt;=100,0,MOD(E661,101)),"OK","ОШИБКА")))))</f>
        <v/>
      </c>
      <c r="G6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1">
        <f>IF(LEN(TRIM(A661))=10, --MID(A661,1,1)*2+--MID(A661,2,1)*4+--MID(A661,3,1)*10+--MID(A661,4,1)*3+--MID(A661,5,1)*5+--MID(A661,6,1)*9+--MID(A661,7,1)*4+--MID(A661,8,1)*6+--MID(A661,9,1)*8, IF(LEN(TRIM(A661))=12, --MID(A661,1,1)*7+--MID(A661,2,1)*2+--MID(A661,3,1)*4+--MID(A661,4,1)*10+--MID(A661,5,1)*3+--MID(A661,6,1)*5+--MID(A661,7,1)*9+--MID(A661,8,1)*4+--MID(A661,9,1)*6+--MID(A661,10,1)*8, ""))</f>
        <v/>
      </c>
      <c r="I661">
        <f>IF(LEN(TRIM(A661))=12, --MID(A661,1,1)*3+--MID(A661,2,1)*7+--MID(A661,3,1)*2+--MID(A661,4,1)*4+--MID(A661,5,1)*10+--MID(A661,6,1)*3+--MID(A661,7,1)*5+--MID(A661,8,1)*9+--MID(A661,9,1)*4+--MID(A661,10,1)*6+--MID(A661,11,1)*8, "")</f>
        <v/>
      </c>
    </row>
    <row r="662">
      <c r="A662">
        <f>SUBSTITUTE(SUBSTITUTE(SUBSTITUTE(SUBSTITUTE(TRIM(INDEX(Реестр!$B:$B,ROW())),CHAR(160),""),CHAR(9),""),CHAR(10),""),CHAR(13),"")</f>
        <v/>
      </c>
      <c r="B662">
        <f>SUBSTITUTE(SUBSTITUTE(SUBSTITUTE(SUBSTITUTE(SUBSTITUTE(SUBSTITUTE(SUBSTITUTE(TRIM(INDEX(Реестр!$D:$D, ROW())), "-", ""), " ", ""), CHAR(160), ""), CHAR(9), ""), CHAR(10), ""), CHAR(13), ""), CHAR(32), "")</f>
        <v/>
      </c>
      <c r="C662">
        <f>INDEX(Реестр!$H:$H, ROW())</f>
        <v/>
      </c>
      <c r="D662">
        <f>IF(OR(ISBLANK(INDEX(Реестр!$B:$B, ROW())), INDEX(Реестр!$B:$B, ROW())=""), " ", IF(IFERROR(ISNUMBER(--A662),FALSE), IF(LEN(A662)=10, IF(MOD(MOD(H662,11),10)=--RIGHT(A662,1), "OK", "ОШИБКА"), IF(LEN(A662)=12, IF(AND(MOD(MOD(H662,11),10)=--MID(A662,11,1), MOD(MOD(I662,11),10)=--RIGHT(A662,1)), "OK", "ОШИБКА"), "ДЛИНА (10 или 12)")), "НЕ ЦИФРЫ"))</f>
        <v/>
      </c>
      <c r="E662">
        <f>MID(B662,1,1)*9+MID(B662,2,1)*8+MID(B662,3,1)*7+MID(B662,4,1)*6+MID(B662,5,1)*5+MID(B662,6,1)*4+MID(B662,7,1)*3+MID(B662,8,1)*2+MID(B662,9,1)</f>
        <v/>
      </c>
      <c r="F662">
        <f>IF(B662="", " ", IF(LEN(B662)&lt;&gt;11, "ДЛИНА", IF(NOT(ISNUMBER(--B662)), "НЕ ЦИФРЫ", IF(LEFT(B662,9)*1&lt;=1001998, "OK", IF(RIGHT(B662,2)*1=IF(MOD(E662,101)&gt;=100,0,MOD(E662,101)),"OK","ОШИБКА")))))</f>
        <v/>
      </c>
      <c r="G6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2">
        <f>IF(LEN(TRIM(A662))=10, --MID(A662,1,1)*2+--MID(A662,2,1)*4+--MID(A662,3,1)*10+--MID(A662,4,1)*3+--MID(A662,5,1)*5+--MID(A662,6,1)*9+--MID(A662,7,1)*4+--MID(A662,8,1)*6+--MID(A662,9,1)*8, IF(LEN(TRIM(A662))=12, --MID(A662,1,1)*7+--MID(A662,2,1)*2+--MID(A662,3,1)*4+--MID(A662,4,1)*10+--MID(A662,5,1)*3+--MID(A662,6,1)*5+--MID(A662,7,1)*9+--MID(A662,8,1)*4+--MID(A662,9,1)*6+--MID(A662,10,1)*8, ""))</f>
        <v/>
      </c>
      <c r="I662">
        <f>IF(LEN(TRIM(A662))=12, --MID(A662,1,1)*3+--MID(A662,2,1)*7+--MID(A662,3,1)*2+--MID(A662,4,1)*4+--MID(A662,5,1)*10+--MID(A662,6,1)*3+--MID(A662,7,1)*5+--MID(A662,8,1)*9+--MID(A662,9,1)*4+--MID(A662,10,1)*6+--MID(A662,11,1)*8, "")</f>
        <v/>
      </c>
    </row>
    <row r="663">
      <c r="A663">
        <f>SUBSTITUTE(SUBSTITUTE(SUBSTITUTE(SUBSTITUTE(TRIM(INDEX(Реестр!$B:$B,ROW())),CHAR(160),""),CHAR(9),""),CHAR(10),""),CHAR(13),"")</f>
        <v/>
      </c>
      <c r="B663">
        <f>SUBSTITUTE(SUBSTITUTE(SUBSTITUTE(SUBSTITUTE(SUBSTITUTE(SUBSTITUTE(SUBSTITUTE(TRIM(INDEX(Реестр!$D:$D, ROW())), "-", ""), " ", ""), CHAR(160), ""), CHAR(9), ""), CHAR(10), ""), CHAR(13), ""), CHAR(32), "")</f>
        <v/>
      </c>
      <c r="C663">
        <f>INDEX(Реестр!$H:$H, ROW())</f>
        <v/>
      </c>
      <c r="D663">
        <f>IF(OR(ISBLANK(INDEX(Реестр!$B:$B, ROW())), INDEX(Реестр!$B:$B, ROW())=""), " ", IF(IFERROR(ISNUMBER(--A663),FALSE), IF(LEN(A663)=10, IF(MOD(MOD(H663,11),10)=--RIGHT(A663,1), "OK", "ОШИБКА"), IF(LEN(A663)=12, IF(AND(MOD(MOD(H663,11),10)=--MID(A663,11,1), MOD(MOD(I663,11),10)=--RIGHT(A663,1)), "OK", "ОШИБКА"), "ДЛИНА (10 или 12)")), "НЕ ЦИФРЫ"))</f>
        <v/>
      </c>
      <c r="E663">
        <f>MID(B663,1,1)*9+MID(B663,2,1)*8+MID(B663,3,1)*7+MID(B663,4,1)*6+MID(B663,5,1)*5+MID(B663,6,1)*4+MID(B663,7,1)*3+MID(B663,8,1)*2+MID(B663,9,1)</f>
        <v/>
      </c>
      <c r="F663">
        <f>IF(B663="", " ", IF(LEN(B663)&lt;&gt;11, "ДЛИНА", IF(NOT(ISNUMBER(--B663)), "НЕ ЦИФРЫ", IF(LEFT(B663,9)*1&lt;=1001998, "OK", IF(RIGHT(B663,2)*1=IF(MOD(E663,101)&gt;=100,0,MOD(E663,101)),"OK","ОШИБКА")))))</f>
        <v/>
      </c>
      <c r="G6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3">
        <f>IF(LEN(TRIM(A663))=10, --MID(A663,1,1)*2+--MID(A663,2,1)*4+--MID(A663,3,1)*10+--MID(A663,4,1)*3+--MID(A663,5,1)*5+--MID(A663,6,1)*9+--MID(A663,7,1)*4+--MID(A663,8,1)*6+--MID(A663,9,1)*8, IF(LEN(TRIM(A663))=12, --MID(A663,1,1)*7+--MID(A663,2,1)*2+--MID(A663,3,1)*4+--MID(A663,4,1)*10+--MID(A663,5,1)*3+--MID(A663,6,1)*5+--MID(A663,7,1)*9+--MID(A663,8,1)*4+--MID(A663,9,1)*6+--MID(A663,10,1)*8, ""))</f>
        <v/>
      </c>
      <c r="I663">
        <f>IF(LEN(TRIM(A663))=12, --MID(A663,1,1)*3+--MID(A663,2,1)*7+--MID(A663,3,1)*2+--MID(A663,4,1)*4+--MID(A663,5,1)*10+--MID(A663,6,1)*3+--MID(A663,7,1)*5+--MID(A663,8,1)*9+--MID(A663,9,1)*4+--MID(A663,10,1)*6+--MID(A663,11,1)*8, "")</f>
        <v/>
      </c>
    </row>
    <row r="664">
      <c r="A664">
        <f>SUBSTITUTE(SUBSTITUTE(SUBSTITUTE(SUBSTITUTE(TRIM(INDEX(Реестр!$B:$B,ROW())),CHAR(160),""),CHAR(9),""),CHAR(10),""),CHAR(13),"")</f>
        <v/>
      </c>
      <c r="B664">
        <f>SUBSTITUTE(SUBSTITUTE(SUBSTITUTE(SUBSTITUTE(SUBSTITUTE(SUBSTITUTE(SUBSTITUTE(TRIM(INDEX(Реестр!$D:$D, ROW())), "-", ""), " ", ""), CHAR(160), ""), CHAR(9), ""), CHAR(10), ""), CHAR(13), ""), CHAR(32), "")</f>
        <v/>
      </c>
      <c r="C664">
        <f>INDEX(Реестр!$H:$H, ROW())</f>
        <v/>
      </c>
      <c r="D664">
        <f>IF(OR(ISBLANK(INDEX(Реестр!$B:$B, ROW())), INDEX(Реестр!$B:$B, ROW())=""), " ", IF(IFERROR(ISNUMBER(--A664),FALSE), IF(LEN(A664)=10, IF(MOD(MOD(H664,11),10)=--RIGHT(A664,1), "OK", "ОШИБКА"), IF(LEN(A664)=12, IF(AND(MOD(MOD(H664,11),10)=--MID(A664,11,1), MOD(MOD(I664,11),10)=--RIGHT(A664,1)), "OK", "ОШИБКА"), "ДЛИНА (10 или 12)")), "НЕ ЦИФРЫ"))</f>
        <v/>
      </c>
      <c r="E664">
        <f>MID(B664,1,1)*9+MID(B664,2,1)*8+MID(B664,3,1)*7+MID(B664,4,1)*6+MID(B664,5,1)*5+MID(B664,6,1)*4+MID(B664,7,1)*3+MID(B664,8,1)*2+MID(B664,9,1)</f>
        <v/>
      </c>
      <c r="F664">
        <f>IF(B664="", " ", IF(LEN(B664)&lt;&gt;11, "ДЛИНА", IF(NOT(ISNUMBER(--B664)), "НЕ ЦИФРЫ", IF(LEFT(B664,9)*1&lt;=1001998, "OK", IF(RIGHT(B664,2)*1=IF(MOD(E664,101)&gt;=100,0,MOD(E664,101)),"OK","ОШИБКА")))))</f>
        <v/>
      </c>
      <c r="G6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4">
        <f>IF(LEN(TRIM(A664))=10, --MID(A664,1,1)*2+--MID(A664,2,1)*4+--MID(A664,3,1)*10+--MID(A664,4,1)*3+--MID(A664,5,1)*5+--MID(A664,6,1)*9+--MID(A664,7,1)*4+--MID(A664,8,1)*6+--MID(A664,9,1)*8, IF(LEN(TRIM(A664))=12, --MID(A664,1,1)*7+--MID(A664,2,1)*2+--MID(A664,3,1)*4+--MID(A664,4,1)*10+--MID(A664,5,1)*3+--MID(A664,6,1)*5+--MID(A664,7,1)*9+--MID(A664,8,1)*4+--MID(A664,9,1)*6+--MID(A664,10,1)*8, ""))</f>
        <v/>
      </c>
      <c r="I664">
        <f>IF(LEN(TRIM(A664))=12, --MID(A664,1,1)*3+--MID(A664,2,1)*7+--MID(A664,3,1)*2+--MID(A664,4,1)*4+--MID(A664,5,1)*10+--MID(A664,6,1)*3+--MID(A664,7,1)*5+--MID(A664,8,1)*9+--MID(A664,9,1)*4+--MID(A664,10,1)*6+--MID(A664,11,1)*8, "")</f>
        <v/>
      </c>
    </row>
    <row r="665">
      <c r="A665">
        <f>SUBSTITUTE(SUBSTITUTE(SUBSTITUTE(SUBSTITUTE(TRIM(INDEX(Реестр!$B:$B,ROW())),CHAR(160),""),CHAR(9),""),CHAR(10),""),CHAR(13),"")</f>
        <v/>
      </c>
      <c r="B665">
        <f>SUBSTITUTE(SUBSTITUTE(SUBSTITUTE(SUBSTITUTE(SUBSTITUTE(SUBSTITUTE(SUBSTITUTE(TRIM(INDEX(Реестр!$D:$D, ROW())), "-", ""), " ", ""), CHAR(160), ""), CHAR(9), ""), CHAR(10), ""), CHAR(13), ""), CHAR(32), "")</f>
        <v/>
      </c>
      <c r="C665">
        <f>INDEX(Реестр!$H:$H, ROW())</f>
        <v/>
      </c>
      <c r="D665">
        <f>IF(OR(ISBLANK(INDEX(Реестр!$B:$B, ROW())), INDEX(Реестр!$B:$B, ROW())=""), " ", IF(IFERROR(ISNUMBER(--A665),FALSE), IF(LEN(A665)=10, IF(MOD(MOD(H665,11),10)=--RIGHT(A665,1), "OK", "ОШИБКА"), IF(LEN(A665)=12, IF(AND(MOD(MOD(H665,11),10)=--MID(A665,11,1), MOD(MOD(I665,11),10)=--RIGHT(A665,1)), "OK", "ОШИБКА"), "ДЛИНА (10 или 12)")), "НЕ ЦИФРЫ"))</f>
        <v/>
      </c>
      <c r="E665">
        <f>MID(B665,1,1)*9+MID(B665,2,1)*8+MID(B665,3,1)*7+MID(B665,4,1)*6+MID(B665,5,1)*5+MID(B665,6,1)*4+MID(B665,7,1)*3+MID(B665,8,1)*2+MID(B665,9,1)</f>
        <v/>
      </c>
      <c r="F665">
        <f>IF(B665="", " ", IF(LEN(B665)&lt;&gt;11, "ДЛИНА", IF(NOT(ISNUMBER(--B665)), "НЕ ЦИФРЫ", IF(LEFT(B665,9)*1&lt;=1001998, "OK", IF(RIGHT(B665,2)*1=IF(MOD(E665,101)&gt;=100,0,MOD(E665,101)),"OK","ОШИБКА")))))</f>
        <v/>
      </c>
      <c r="G6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5">
        <f>IF(LEN(TRIM(A665))=10, --MID(A665,1,1)*2+--MID(A665,2,1)*4+--MID(A665,3,1)*10+--MID(A665,4,1)*3+--MID(A665,5,1)*5+--MID(A665,6,1)*9+--MID(A665,7,1)*4+--MID(A665,8,1)*6+--MID(A665,9,1)*8, IF(LEN(TRIM(A665))=12, --MID(A665,1,1)*7+--MID(A665,2,1)*2+--MID(A665,3,1)*4+--MID(A665,4,1)*10+--MID(A665,5,1)*3+--MID(A665,6,1)*5+--MID(A665,7,1)*9+--MID(A665,8,1)*4+--MID(A665,9,1)*6+--MID(A665,10,1)*8, ""))</f>
        <v/>
      </c>
      <c r="I665">
        <f>IF(LEN(TRIM(A665))=12, --MID(A665,1,1)*3+--MID(A665,2,1)*7+--MID(A665,3,1)*2+--MID(A665,4,1)*4+--MID(A665,5,1)*10+--MID(A665,6,1)*3+--MID(A665,7,1)*5+--MID(A665,8,1)*9+--MID(A665,9,1)*4+--MID(A665,10,1)*6+--MID(A665,11,1)*8, "")</f>
        <v/>
      </c>
    </row>
    <row r="666">
      <c r="A666">
        <f>SUBSTITUTE(SUBSTITUTE(SUBSTITUTE(SUBSTITUTE(TRIM(INDEX(Реестр!$B:$B,ROW())),CHAR(160),""),CHAR(9),""),CHAR(10),""),CHAR(13),"")</f>
        <v/>
      </c>
      <c r="B666">
        <f>SUBSTITUTE(SUBSTITUTE(SUBSTITUTE(SUBSTITUTE(SUBSTITUTE(SUBSTITUTE(SUBSTITUTE(TRIM(INDEX(Реестр!$D:$D, ROW())), "-", ""), " ", ""), CHAR(160), ""), CHAR(9), ""), CHAR(10), ""), CHAR(13), ""), CHAR(32), "")</f>
        <v/>
      </c>
      <c r="C666">
        <f>INDEX(Реестр!$H:$H, ROW())</f>
        <v/>
      </c>
      <c r="D666">
        <f>IF(OR(ISBLANK(INDEX(Реестр!$B:$B, ROW())), INDEX(Реестр!$B:$B, ROW())=""), " ", IF(IFERROR(ISNUMBER(--A666),FALSE), IF(LEN(A666)=10, IF(MOD(MOD(H666,11),10)=--RIGHT(A666,1), "OK", "ОШИБКА"), IF(LEN(A666)=12, IF(AND(MOD(MOD(H666,11),10)=--MID(A666,11,1), MOD(MOD(I666,11),10)=--RIGHT(A666,1)), "OK", "ОШИБКА"), "ДЛИНА (10 или 12)")), "НЕ ЦИФРЫ"))</f>
        <v/>
      </c>
      <c r="E666">
        <f>MID(B666,1,1)*9+MID(B666,2,1)*8+MID(B666,3,1)*7+MID(B666,4,1)*6+MID(B666,5,1)*5+MID(B666,6,1)*4+MID(B666,7,1)*3+MID(B666,8,1)*2+MID(B666,9,1)</f>
        <v/>
      </c>
      <c r="F666">
        <f>IF(B666="", " ", IF(LEN(B666)&lt;&gt;11, "ДЛИНА", IF(NOT(ISNUMBER(--B666)), "НЕ ЦИФРЫ", IF(LEFT(B666,9)*1&lt;=1001998, "OK", IF(RIGHT(B666,2)*1=IF(MOD(E666,101)&gt;=100,0,MOD(E666,101)),"OK","ОШИБКА")))))</f>
        <v/>
      </c>
      <c r="G6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6">
        <f>IF(LEN(TRIM(A666))=10, --MID(A666,1,1)*2+--MID(A666,2,1)*4+--MID(A666,3,1)*10+--MID(A666,4,1)*3+--MID(A666,5,1)*5+--MID(A666,6,1)*9+--MID(A666,7,1)*4+--MID(A666,8,1)*6+--MID(A666,9,1)*8, IF(LEN(TRIM(A666))=12, --MID(A666,1,1)*7+--MID(A666,2,1)*2+--MID(A666,3,1)*4+--MID(A666,4,1)*10+--MID(A666,5,1)*3+--MID(A666,6,1)*5+--MID(A666,7,1)*9+--MID(A666,8,1)*4+--MID(A666,9,1)*6+--MID(A666,10,1)*8, ""))</f>
        <v/>
      </c>
      <c r="I666">
        <f>IF(LEN(TRIM(A666))=12, --MID(A666,1,1)*3+--MID(A666,2,1)*7+--MID(A666,3,1)*2+--MID(A666,4,1)*4+--MID(A666,5,1)*10+--MID(A666,6,1)*3+--MID(A666,7,1)*5+--MID(A666,8,1)*9+--MID(A666,9,1)*4+--MID(A666,10,1)*6+--MID(A666,11,1)*8, "")</f>
        <v/>
      </c>
    </row>
    <row r="667">
      <c r="A667">
        <f>SUBSTITUTE(SUBSTITUTE(SUBSTITUTE(SUBSTITUTE(TRIM(INDEX(Реестр!$B:$B,ROW())),CHAR(160),""),CHAR(9),""),CHAR(10),""),CHAR(13),"")</f>
        <v/>
      </c>
      <c r="B667">
        <f>SUBSTITUTE(SUBSTITUTE(SUBSTITUTE(SUBSTITUTE(SUBSTITUTE(SUBSTITUTE(SUBSTITUTE(TRIM(INDEX(Реестр!$D:$D, ROW())), "-", ""), " ", ""), CHAR(160), ""), CHAR(9), ""), CHAR(10), ""), CHAR(13), ""), CHAR(32), "")</f>
        <v/>
      </c>
      <c r="C667">
        <f>INDEX(Реестр!$H:$H, ROW())</f>
        <v/>
      </c>
      <c r="D667">
        <f>IF(OR(ISBLANK(INDEX(Реестр!$B:$B, ROW())), INDEX(Реестр!$B:$B, ROW())=""), " ", IF(IFERROR(ISNUMBER(--A667),FALSE), IF(LEN(A667)=10, IF(MOD(MOD(H667,11),10)=--RIGHT(A667,1), "OK", "ОШИБКА"), IF(LEN(A667)=12, IF(AND(MOD(MOD(H667,11),10)=--MID(A667,11,1), MOD(MOD(I667,11),10)=--RIGHT(A667,1)), "OK", "ОШИБКА"), "ДЛИНА (10 или 12)")), "НЕ ЦИФРЫ"))</f>
        <v/>
      </c>
      <c r="E667">
        <f>MID(B667,1,1)*9+MID(B667,2,1)*8+MID(B667,3,1)*7+MID(B667,4,1)*6+MID(B667,5,1)*5+MID(B667,6,1)*4+MID(B667,7,1)*3+MID(B667,8,1)*2+MID(B667,9,1)</f>
        <v/>
      </c>
      <c r="F667">
        <f>IF(B667="", " ", IF(LEN(B667)&lt;&gt;11, "ДЛИНА", IF(NOT(ISNUMBER(--B667)), "НЕ ЦИФРЫ", IF(LEFT(B667,9)*1&lt;=1001998, "OK", IF(RIGHT(B667,2)*1=IF(MOD(E667,101)&gt;=100,0,MOD(E667,101)),"OK","ОШИБКА")))))</f>
        <v/>
      </c>
      <c r="G6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7">
        <f>IF(LEN(TRIM(A667))=10, --MID(A667,1,1)*2+--MID(A667,2,1)*4+--MID(A667,3,1)*10+--MID(A667,4,1)*3+--MID(A667,5,1)*5+--MID(A667,6,1)*9+--MID(A667,7,1)*4+--MID(A667,8,1)*6+--MID(A667,9,1)*8, IF(LEN(TRIM(A667))=12, --MID(A667,1,1)*7+--MID(A667,2,1)*2+--MID(A667,3,1)*4+--MID(A667,4,1)*10+--MID(A667,5,1)*3+--MID(A667,6,1)*5+--MID(A667,7,1)*9+--MID(A667,8,1)*4+--MID(A667,9,1)*6+--MID(A667,10,1)*8, ""))</f>
        <v/>
      </c>
      <c r="I667">
        <f>IF(LEN(TRIM(A667))=12, --MID(A667,1,1)*3+--MID(A667,2,1)*7+--MID(A667,3,1)*2+--MID(A667,4,1)*4+--MID(A667,5,1)*10+--MID(A667,6,1)*3+--MID(A667,7,1)*5+--MID(A667,8,1)*9+--MID(A667,9,1)*4+--MID(A667,10,1)*6+--MID(A667,11,1)*8, "")</f>
        <v/>
      </c>
    </row>
    <row r="668">
      <c r="A668">
        <f>SUBSTITUTE(SUBSTITUTE(SUBSTITUTE(SUBSTITUTE(TRIM(INDEX(Реестр!$B:$B,ROW())),CHAR(160),""),CHAR(9),""),CHAR(10),""),CHAR(13),"")</f>
        <v/>
      </c>
      <c r="B668">
        <f>SUBSTITUTE(SUBSTITUTE(SUBSTITUTE(SUBSTITUTE(SUBSTITUTE(SUBSTITUTE(SUBSTITUTE(TRIM(INDEX(Реестр!$D:$D, ROW())), "-", ""), " ", ""), CHAR(160), ""), CHAR(9), ""), CHAR(10), ""), CHAR(13), ""), CHAR(32), "")</f>
        <v/>
      </c>
      <c r="C668">
        <f>INDEX(Реестр!$H:$H, ROW())</f>
        <v/>
      </c>
      <c r="D668">
        <f>IF(OR(ISBLANK(INDEX(Реестр!$B:$B, ROW())), INDEX(Реестр!$B:$B, ROW())=""), " ", IF(IFERROR(ISNUMBER(--A668),FALSE), IF(LEN(A668)=10, IF(MOD(MOD(H668,11),10)=--RIGHT(A668,1), "OK", "ОШИБКА"), IF(LEN(A668)=12, IF(AND(MOD(MOD(H668,11),10)=--MID(A668,11,1), MOD(MOD(I668,11),10)=--RIGHT(A668,1)), "OK", "ОШИБКА"), "ДЛИНА (10 или 12)")), "НЕ ЦИФРЫ"))</f>
        <v/>
      </c>
      <c r="E668">
        <f>MID(B668,1,1)*9+MID(B668,2,1)*8+MID(B668,3,1)*7+MID(B668,4,1)*6+MID(B668,5,1)*5+MID(B668,6,1)*4+MID(B668,7,1)*3+MID(B668,8,1)*2+MID(B668,9,1)</f>
        <v/>
      </c>
      <c r="F668">
        <f>IF(B668="", " ", IF(LEN(B668)&lt;&gt;11, "ДЛИНА", IF(NOT(ISNUMBER(--B668)), "НЕ ЦИФРЫ", IF(LEFT(B668,9)*1&lt;=1001998, "OK", IF(RIGHT(B668,2)*1=IF(MOD(E668,101)&gt;=100,0,MOD(E668,101)),"OK","ОШИБКА")))))</f>
        <v/>
      </c>
      <c r="G6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8">
        <f>IF(LEN(TRIM(A668))=10, --MID(A668,1,1)*2+--MID(A668,2,1)*4+--MID(A668,3,1)*10+--MID(A668,4,1)*3+--MID(A668,5,1)*5+--MID(A668,6,1)*9+--MID(A668,7,1)*4+--MID(A668,8,1)*6+--MID(A668,9,1)*8, IF(LEN(TRIM(A668))=12, --MID(A668,1,1)*7+--MID(A668,2,1)*2+--MID(A668,3,1)*4+--MID(A668,4,1)*10+--MID(A668,5,1)*3+--MID(A668,6,1)*5+--MID(A668,7,1)*9+--MID(A668,8,1)*4+--MID(A668,9,1)*6+--MID(A668,10,1)*8, ""))</f>
        <v/>
      </c>
      <c r="I668">
        <f>IF(LEN(TRIM(A668))=12, --MID(A668,1,1)*3+--MID(A668,2,1)*7+--MID(A668,3,1)*2+--MID(A668,4,1)*4+--MID(A668,5,1)*10+--MID(A668,6,1)*3+--MID(A668,7,1)*5+--MID(A668,8,1)*9+--MID(A668,9,1)*4+--MID(A668,10,1)*6+--MID(A668,11,1)*8, "")</f>
        <v/>
      </c>
    </row>
    <row r="669">
      <c r="A669">
        <f>SUBSTITUTE(SUBSTITUTE(SUBSTITUTE(SUBSTITUTE(TRIM(INDEX(Реестр!$B:$B,ROW())),CHAR(160),""),CHAR(9),""),CHAR(10),""),CHAR(13),"")</f>
        <v/>
      </c>
      <c r="B669">
        <f>SUBSTITUTE(SUBSTITUTE(SUBSTITUTE(SUBSTITUTE(SUBSTITUTE(SUBSTITUTE(SUBSTITUTE(TRIM(INDEX(Реестр!$D:$D, ROW())), "-", ""), " ", ""), CHAR(160), ""), CHAR(9), ""), CHAR(10), ""), CHAR(13), ""), CHAR(32), "")</f>
        <v/>
      </c>
      <c r="C669">
        <f>INDEX(Реестр!$H:$H, ROW())</f>
        <v/>
      </c>
      <c r="D669">
        <f>IF(OR(ISBLANK(INDEX(Реестр!$B:$B, ROW())), INDEX(Реестр!$B:$B, ROW())=""), " ", IF(IFERROR(ISNUMBER(--A669),FALSE), IF(LEN(A669)=10, IF(MOD(MOD(H669,11),10)=--RIGHT(A669,1), "OK", "ОШИБКА"), IF(LEN(A669)=12, IF(AND(MOD(MOD(H669,11),10)=--MID(A669,11,1), MOD(MOD(I669,11),10)=--RIGHT(A669,1)), "OK", "ОШИБКА"), "ДЛИНА (10 или 12)")), "НЕ ЦИФРЫ"))</f>
        <v/>
      </c>
      <c r="E669">
        <f>MID(B669,1,1)*9+MID(B669,2,1)*8+MID(B669,3,1)*7+MID(B669,4,1)*6+MID(B669,5,1)*5+MID(B669,6,1)*4+MID(B669,7,1)*3+MID(B669,8,1)*2+MID(B669,9,1)</f>
        <v/>
      </c>
      <c r="F669">
        <f>IF(B669="", " ", IF(LEN(B669)&lt;&gt;11, "ДЛИНА", IF(NOT(ISNUMBER(--B669)), "НЕ ЦИФРЫ", IF(LEFT(B669,9)*1&lt;=1001998, "OK", IF(RIGHT(B669,2)*1=IF(MOD(E669,101)&gt;=100,0,MOD(E669,101)),"OK","ОШИБКА")))))</f>
        <v/>
      </c>
      <c r="G6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69">
        <f>IF(LEN(TRIM(A669))=10, --MID(A669,1,1)*2+--MID(A669,2,1)*4+--MID(A669,3,1)*10+--MID(A669,4,1)*3+--MID(A669,5,1)*5+--MID(A669,6,1)*9+--MID(A669,7,1)*4+--MID(A669,8,1)*6+--MID(A669,9,1)*8, IF(LEN(TRIM(A669))=12, --MID(A669,1,1)*7+--MID(A669,2,1)*2+--MID(A669,3,1)*4+--MID(A669,4,1)*10+--MID(A669,5,1)*3+--MID(A669,6,1)*5+--MID(A669,7,1)*9+--MID(A669,8,1)*4+--MID(A669,9,1)*6+--MID(A669,10,1)*8, ""))</f>
        <v/>
      </c>
      <c r="I669">
        <f>IF(LEN(TRIM(A669))=12, --MID(A669,1,1)*3+--MID(A669,2,1)*7+--MID(A669,3,1)*2+--MID(A669,4,1)*4+--MID(A669,5,1)*10+--MID(A669,6,1)*3+--MID(A669,7,1)*5+--MID(A669,8,1)*9+--MID(A669,9,1)*4+--MID(A669,10,1)*6+--MID(A669,11,1)*8, "")</f>
        <v/>
      </c>
    </row>
    <row r="670">
      <c r="A670">
        <f>SUBSTITUTE(SUBSTITUTE(SUBSTITUTE(SUBSTITUTE(TRIM(INDEX(Реестр!$B:$B,ROW())),CHAR(160),""),CHAR(9),""),CHAR(10),""),CHAR(13),"")</f>
        <v/>
      </c>
      <c r="B670">
        <f>SUBSTITUTE(SUBSTITUTE(SUBSTITUTE(SUBSTITUTE(SUBSTITUTE(SUBSTITUTE(SUBSTITUTE(TRIM(INDEX(Реестр!$D:$D, ROW())), "-", ""), " ", ""), CHAR(160), ""), CHAR(9), ""), CHAR(10), ""), CHAR(13), ""), CHAR(32), "")</f>
        <v/>
      </c>
      <c r="C670">
        <f>INDEX(Реестр!$H:$H, ROW())</f>
        <v/>
      </c>
      <c r="D670">
        <f>IF(OR(ISBLANK(INDEX(Реестр!$B:$B, ROW())), INDEX(Реестр!$B:$B, ROW())=""), " ", IF(IFERROR(ISNUMBER(--A670),FALSE), IF(LEN(A670)=10, IF(MOD(MOD(H670,11),10)=--RIGHT(A670,1), "OK", "ОШИБКА"), IF(LEN(A670)=12, IF(AND(MOD(MOD(H670,11),10)=--MID(A670,11,1), MOD(MOD(I670,11),10)=--RIGHT(A670,1)), "OK", "ОШИБКА"), "ДЛИНА (10 или 12)")), "НЕ ЦИФРЫ"))</f>
        <v/>
      </c>
      <c r="E670">
        <f>MID(B670,1,1)*9+MID(B670,2,1)*8+MID(B670,3,1)*7+MID(B670,4,1)*6+MID(B670,5,1)*5+MID(B670,6,1)*4+MID(B670,7,1)*3+MID(B670,8,1)*2+MID(B670,9,1)</f>
        <v/>
      </c>
      <c r="F670">
        <f>IF(B670="", " ", IF(LEN(B670)&lt;&gt;11, "ДЛИНА", IF(NOT(ISNUMBER(--B670)), "НЕ ЦИФРЫ", IF(LEFT(B670,9)*1&lt;=1001998, "OK", IF(RIGHT(B670,2)*1=IF(MOD(E670,101)&gt;=100,0,MOD(E670,101)),"OK","ОШИБКА")))))</f>
        <v/>
      </c>
      <c r="G6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0">
        <f>IF(LEN(TRIM(A670))=10, --MID(A670,1,1)*2+--MID(A670,2,1)*4+--MID(A670,3,1)*10+--MID(A670,4,1)*3+--MID(A670,5,1)*5+--MID(A670,6,1)*9+--MID(A670,7,1)*4+--MID(A670,8,1)*6+--MID(A670,9,1)*8, IF(LEN(TRIM(A670))=12, --MID(A670,1,1)*7+--MID(A670,2,1)*2+--MID(A670,3,1)*4+--MID(A670,4,1)*10+--MID(A670,5,1)*3+--MID(A670,6,1)*5+--MID(A670,7,1)*9+--MID(A670,8,1)*4+--MID(A670,9,1)*6+--MID(A670,10,1)*8, ""))</f>
        <v/>
      </c>
      <c r="I670">
        <f>IF(LEN(TRIM(A670))=12, --MID(A670,1,1)*3+--MID(A670,2,1)*7+--MID(A670,3,1)*2+--MID(A670,4,1)*4+--MID(A670,5,1)*10+--MID(A670,6,1)*3+--MID(A670,7,1)*5+--MID(A670,8,1)*9+--MID(A670,9,1)*4+--MID(A670,10,1)*6+--MID(A670,11,1)*8, "")</f>
        <v/>
      </c>
    </row>
    <row r="671">
      <c r="A671">
        <f>SUBSTITUTE(SUBSTITUTE(SUBSTITUTE(SUBSTITUTE(TRIM(INDEX(Реестр!$B:$B,ROW())),CHAR(160),""),CHAR(9),""),CHAR(10),""),CHAR(13),"")</f>
        <v/>
      </c>
      <c r="B671">
        <f>SUBSTITUTE(SUBSTITUTE(SUBSTITUTE(SUBSTITUTE(SUBSTITUTE(SUBSTITUTE(SUBSTITUTE(TRIM(INDEX(Реестр!$D:$D, ROW())), "-", ""), " ", ""), CHAR(160), ""), CHAR(9), ""), CHAR(10), ""), CHAR(13), ""), CHAR(32), "")</f>
        <v/>
      </c>
      <c r="C671">
        <f>INDEX(Реестр!$H:$H, ROW())</f>
        <v/>
      </c>
      <c r="D671">
        <f>IF(OR(ISBLANK(INDEX(Реестр!$B:$B, ROW())), INDEX(Реестр!$B:$B, ROW())=""), " ", IF(IFERROR(ISNUMBER(--A671),FALSE), IF(LEN(A671)=10, IF(MOD(MOD(H671,11),10)=--RIGHT(A671,1), "OK", "ОШИБКА"), IF(LEN(A671)=12, IF(AND(MOD(MOD(H671,11),10)=--MID(A671,11,1), MOD(MOD(I671,11),10)=--RIGHT(A671,1)), "OK", "ОШИБКА"), "ДЛИНА (10 или 12)")), "НЕ ЦИФРЫ"))</f>
        <v/>
      </c>
      <c r="E671">
        <f>MID(B671,1,1)*9+MID(B671,2,1)*8+MID(B671,3,1)*7+MID(B671,4,1)*6+MID(B671,5,1)*5+MID(B671,6,1)*4+MID(B671,7,1)*3+MID(B671,8,1)*2+MID(B671,9,1)</f>
        <v/>
      </c>
      <c r="F671">
        <f>IF(B671="", " ", IF(LEN(B671)&lt;&gt;11, "ДЛИНА", IF(NOT(ISNUMBER(--B671)), "НЕ ЦИФРЫ", IF(LEFT(B671,9)*1&lt;=1001998, "OK", IF(RIGHT(B671,2)*1=IF(MOD(E671,101)&gt;=100,0,MOD(E671,101)),"OK","ОШИБКА")))))</f>
        <v/>
      </c>
      <c r="G6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1">
        <f>IF(LEN(TRIM(A671))=10, --MID(A671,1,1)*2+--MID(A671,2,1)*4+--MID(A671,3,1)*10+--MID(A671,4,1)*3+--MID(A671,5,1)*5+--MID(A671,6,1)*9+--MID(A671,7,1)*4+--MID(A671,8,1)*6+--MID(A671,9,1)*8, IF(LEN(TRIM(A671))=12, --MID(A671,1,1)*7+--MID(A671,2,1)*2+--MID(A671,3,1)*4+--MID(A671,4,1)*10+--MID(A671,5,1)*3+--MID(A671,6,1)*5+--MID(A671,7,1)*9+--MID(A671,8,1)*4+--MID(A671,9,1)*6+--MID(A671,10,1)*8, ""))</f>
        <v/>
      </c>
      <c r="I671">
        <f>IF(LEN(TRIM(A671))=12, --MID(A671,1,1)*3+--MID(A671,2,1)*7+--MID(A671,3,1)*2+--MID(A671,4,1)*4+--MID(A671,5,1)*10+--MID(A671,6,1)*3+--MID(A671,7,1)*5+--MID(A671,8,1)*9+--MID(A671,9,1)*4+--MID(A671,10,1)*6+--MID(A671,11,1)*8, "")</f>
        <v/>
      </c>
    </row>
    <row r="672">
      <c r="A672">
        <f>SUBSTITUTE(SUBSTITUTE(SUBSTITUTE(SUBSTITUTE(TRIM(INDEX(Реестр!$B:$B,ROW())),CHAR(160),""),CHAR(9),""),CHAR(10),""),CHAR(13),"")</f>
        <v/>
      </c>
      <c r="B672">
        <f>SUBSTITUTE(SUBSTITUTE(SUBSTITUTE(SUBSTITUTE(SUBSTITUTE(SUBSTITUTE(SUBSTITUTE(TRIM(INDEX(Реестр!$D:$D, ROW())), "-", ""), " ", ""), CHAR(160), ""), CHAR(9), ""), CHAR(10), ""), CHAR(13), ""), CHAR(32), "")</f>
        <v/>
      </c>
      <c r="C672">
        <f>INDEX(Реестр!$H:$H, ROW())</f>
        <v/>
      </c>
      <c r="D672">
        <f>IF(OR(ISBLANK(INDEX(Реестр!$B:$B, ROW())), INDEX(Реестр!$B:$B, ROW())=""), " ", IF(IFERROR(ISNUMBER(--A672),FALSE), IF(LEN(A672)=10, IF(MOD(MOD(H672,11),10)=--RIGHT(A672,1), "OK", "ОШИБКА"), IF(LEN(A672)=12, IF(AND(MOD(MOD(H672,11),10)=--MID(A672,11,1), MOD(MOD(I672,11),10)=--RIGHT(A672,1)), "OK", "ОШИБКА"), "ДЛИНА (10 или 12)")), "НЕ ЦИФРЫ"))</f>
        <v/>
      </c>
      <c r="E672">
        <f>MID(B672,1,1)*9+MID(B672,2,1)*8+MID(B672,3,1)*7+MID(B672,4,1)*6+MID(B672,5,1)*5+MID(B672,6,1)*4+MID(B672,7,1)*3+MID(B672,8,1)*2+MID(B672,9,1)</f>
        <v/>
      </c>
      <c r="F672">
        <f>IF(B672="", " ", IF(LEN(B672)&lt;&gt;11, "ДЛИНА", IF(NOT(ISNUMBER(--B672)), "НЕ ЦИФРЫ", IF(LEFT(B672,9)*1&lt;=1001998, "OK", IF(RIGHT(B672,2)*1=IF(MOD(E672,101)&gt;=100,0,MOD(E672,101)),"OK","ОШИБКА")))))</f>
        <v/>
      </c>
      <c r="G6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2">
        <f>IF(LEN(TRIM(A672))=10, --MID(A672,1,1)*2+--MID(A672,2,1)*4+--MID(A672,3,1)*10+--MID(A672,4,1)*3+--MID(A672,5,1)*5+--MID(A672,6,1)*9+--MID(A672,7,1)*4+--MID(A672,8,1)*6+--MID(A672,9,1)*8, IF(LEN(TRIM(A672))=12, --MID(A672,1,1)*7+--MID(A672,2,1)*2+--MID(A672,3,1)*4+--MID(A672,4,1)*10+--MID(A672,5,1)*3+--MID(A672,6,1)*5+--MID(A672,7,1)*9+--MID(A672,8,1)*4+--MID(A672,9,1)*6+--MID(A672,10,1)*8, ""))</f>
        <v/>
      </c>
      <c r="I672">
        <f>IF(LEN(TRIM(A672))=12, --MID(A672,1,1)*3+--MID(A672,2,1)*7+--MID(A672,3,1)*2+--MID(A672,4,1)*4+--MID(A672,5,1)*10+--MID(A672,6,1)*3+--MID(A672,7,1)*5+--MID(A672,8,1)*9+--MID(A672,9,1)*4+--MID(A672,10,1)*6+--MID(A672,11,1)*8, "")</f>
        <v/>
      </c>
    </row>
    <row r="673">
      <c r="A673">
        <f>SUBSTITUTE(SUBSTITUTE(SUBSTITUTE(SUBSTITUTE(TRIM(INDEX(Реестр!$B:$B,ROW())),CHAR(160),""),CHAR(9),""),CHAR(10),""),CHAR(13),"")</f>
        <v/>
      </c>
      <c r="B673">
        <f>SUBSTITUTE(SUBSTITUTE(SUBSTITUTE(SUBSTITUTE(SUBSTITUTE(SUBSTITUTE(SUBSTITUTE(TRIM(INDEX(Реестр!$D:$D, ROW())), "-", ""), " ", ""), CHAR(160), ""), CHAR(9), ""), CHAR(10), ""), CHAR(13), ""), CHAR(32), "")</f>
        <v/>
      </c>
      <c r="C673">
        <f>INDEX(Реестр!$H:$H, ROW())</f>
        <v/>
      </c>
      <c r="D673">
        <f>IF(OR(ISBLANK(INDEX(Реестр!$B:$B, ROW())), INDEX(Реестр!$B:$B, ROW())=""), " ", IF(IFERROR(ISNUMBER(--A673),FALSE), IF(LEN(A673)=10, IF(MOD(MOD(H673,11),10)=--RIGHT(A673,1), "OK", "ОШИБКА"), IF(LEN(A673)=12, IF(AND(MOD(MOD(H673,11),10)=--MID(A673,11,1), MOD(MOD(I673,11),10)=--RIGHT(A673,1)), "OK", "ОШИБКА"), "ДЛИНА (10 или 12)")), "НЕ ЦИФРЫ"))</f>
        <v/>
      </c>
      <c r="E673">
        <f>MID(B673,1,1)*9+MID(B673,2,1)*8+MID(B673,3,1)*7+MID(B673,4,1)*6+MID(B673,5,1)*5+MID(B673,6,1)*4+MID(B673,7,1)*3+MID(B673,8,1)*2+MID(B673,9,1)</f>
        <v/>
      </c>
      <c r="F673">
        <f>IF(B673="", " ", IF(LEN(B673)&lt;&gt;11, "ДЛИНА", IF(NOT(ISNUMBER(--B673)), "НЕ ЦИФРЫ", IF(LEFT(B673,9)*1&lt;=1001998, "OK", IF(RIGHT(B673,2)*1=IF(MOD(E673,101)&gt;=100,0,MOD(E673,101)),"OK","ОШИБКА")))))</f>
        <v/>
      </c>
      <c r="G6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3">
        <f>IF(LEN(TRIM(A673))=10, --MID(A673,1,1)*2+--MID(A673,2,1)*4+--MID(A673,3,1)*10+--MID(A673,4,1)*3+--MID(A673,5,1)*5+--MID(A673,6,1)*9+--MID(A673,7,1)*4+--MID(A673,8,1)*6+--MID(A673,9,1)*8, IF(LEN(TRIM(A673))=12, --MID(A673,1,1)*7+--MID(A673,2,1)*2+--MID(A673,3,1)*4+--MID(A673,4,1)*10+--MID(A673,5,1)*3+--MID(A673,6,1)*5+--MID(A673,7,1)*9+--MID(A673,8,1)*4+--MID(A673,9,1)*6+--MID(A673,10,1)*8, ""))</f>
        <v/>
      </c>
      <c r="I673">
        <f>IF(LEN(TRIM(A673))=12, --MID(A673,1,1)*3+--MID(A673,2,1)*7+--MID(A673,3,1)*2+--MID(A673,4,1)*4+--MID(A673,5,1)*10+--MID(A673,6,1)*3+--MID(A673,7,1)*5+--MID(A673,8,1)*9+--MID(A673,9,1)*4+--MID(A673,10,1)*6+--MID(A673,11,1)*8, "")</f>
        <v/>
      </c>
    </row>
    <row r="674">
      <c r="A674">
        <f>SUBSTITUTE(SUBSTITUTE(SUBSTITUTE(SUBSTITUTE(TRIM(INDEX(Реестр!$B:$B,ROW())),CHAR(160),""),CHAR(9),""),CHAR(10),""),CHAR(13),"")</f>
        <v/>
      </c>
      <c r="B674">
        <f>SUBSTITUTE(SUBSTITUTE(SUBSTITUTE(SUBSTITUTE(SUBSTITUTE(SUBSTITUTE(SUBSTITUTE(TRIM(INDEX(Реестр!$D:$D, ROW())), "-", ""), " ", ""), CHAR(160), ""), CHAR(9), ""), CHAR(10), ""), CHAR(13), ""), CHAR(32), "")</f>
        <v/>
      </c>
      <c r="C674">
        <f>INDEX(Реестр!$H:$H, ROW())</f>
        <v/>
      </c>
      <c r="D674">
        <f>IF(OR(ISBLANK(INDEX(Реестр!$B:$B, ROW())), INDEX(Реестр!$B:$B, ROW())=""), " ", IF(IFERROR(ISNUMBER(--A674),FALSE), IF(LEN(A674)=10, IF(MOD(MOD(H674,11),10)=--RIGHT(A674,1), "OK", "ОШИБКА"), IF(LEN(A674)=12, IF(AND(MOD(MOD(H674,11),10)=--MID(A674,11,1), MOD(MOD(I674,11),10)=--RIGHT(A674,1)), "OK", "ОШИБКА"), "ДЛИНА (10 или 12)")), "НЕ ЦИФРЫ"))</f>
        <v/>
      </c>
      <c r="E674">
        <f>MID(B674,1,1)*9+MID(B674,2,1)*8+MID(B674,3,1)*7+MID(B674,4,1)*6+MID(B674,5,1)*5+MID(B674,6,1)*4+MID(B674,7,1)*3+MID(B674,8,1)*2+MID(B674,9,1)</f>
        <v/>
      </c>
      <c r="F674">
        <f>IF(B674="", " ", IF(LEN(B674)&lt;&gt;11, "ДЛИНА", IF(NOT(ISNUMBER(--B674)), "НЕ ЦИФРЫ", IF(LEFT(B674,9)*1&lt;=1001998, "OK", IF(RIGHT(B674,2)*1=IF(MOD(E674,101)&gt;=100,0,MOD(E674,101)),"OK","ОШИБКА")))))</f>
        <v/>
      </c>
      <c r="G6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4">
        <f>IF(LEN(TRIM(A674))=10, --MID(A674,1,1)*2+--MID(A674,2,1)*4+--MID(A674,3,1)*10+--MID(A674,4,1)*3+--MID(A674,5,1)*5+--MID(A674,6,1)*9+--MID(A674,7,1)*4+--MID(A674,8,1)*6+--MID(A674,9,1)*8, IF(LEN(TRIM(A674))=12, --MID(A674,1,1)*7+--MID(A674,2,1)*2+--MID(A674,3,1)*4+--MID(A674,4,1)*10+--MID(A674,5,1)*3+--MID(A674,6,1)*5+--MID(A674,7,1)*9+--MID(A674,8,1)*4+--MID(A674,9,1)*6+--MID(A674,10,1)*8, ""))</f>
        <v/>
      </c>
      <c r="I674">
        <f>IF(LEN(TRIM(A674))=12, --MID(A674,1,1)*3+--MID(A674,2,1)*7+--MID(A674,3,1)*2+--MID(A674,4,1)*4+--MID(A674,5,1)*10+--MID(A674,6,1)*3+--MID(A674,7,1)*5+--MID(A674,8,1)*9+--MID(A674,9,1)*4+--MID(A674,10,1)*6+--MID(A674,11,1)*8, "")</f>
        <v/>
      </c>
    </row>
    <row r="675">
      <c r="A675">
        <f>SUBSTITUTE(SUBSTITUTE(SUBSTITUTE(SUBSTITUTE(TRIM(INDEX(Реестр!$B:$B,ROW())),CHAR(160),""),CHAR(9),""),CHAR(10),""),CHAR(13),"")</f>
        <v/>
      </c>
      <c r="B675">
        <f>SUBSTITUTE(SUBSTITUTE(SUBSTITUTE(SUBSTITUTE(SUBSTITUTE(SUBSTITUTE(SUBSTITUTE(TRIM(INDEX(Реестр!$D:$D, ROW())), "-", ""), " ", ""), CHAR(160), ""), CHAR(9), ""), CHAR(10), ""), CHAR(13), ""), CHAR(32), "")</f>
        <v/>
      </c>
      <c r="C675">
        <f>INDEX(Реестр!$H:$H, ROW())</f>
        <v/>
      </c>
      <c r="D675">
        <f>IF(OR(ISBLANK(INDEX(Реестр!$B:$B, ROW())), INDEX(Реестр!$B:$B, ROW())=""), " ", IF(IFERROR(ISNUMBER(--A675),FALSE), IF(LEN(A675)=10, IF(MOD(MOD(H675,11),10)=--RIGHT(A675,1), "OK", "ОШИБКА"), IF(LEN(A675)=12, IF(AND(MOD(MOD(H675,11),10)=--MID(A675,11,1), MOD(MOD(I675,11),10)=--RIGHT(A675,1)), "OK", "ОШИБКА"), "ДЛИНА (10 или 12)")), "НЕ ЦИФРЫ"))</f>
        <v/>
      </c>
      <c r="E675">
        <f>MID(B675,1,1)*9+MID(B675,2,1)*8+MID(B675,3,1)*7+MID(B675,4,1)*6+MID(B675,5,1)*5+MID(B675,6,1)*4+MID(B675,7,1)*3+MID(B675,8,1)*2+MID(B675,9,1)</f>
        <v/>
      </c>
      <c r="F675">
        <f>IF(B675="", " ", IF(LEN(B675)&lt;&gt;11, "ДЛИНА", IF(NOT(ISNUMBER(--B675)), "НЕ ЦИФРЫ", IF(LEFT(B675,9)*1&lt;=1001998, "OK", IF(RIGHT(B675,2)*1=IF(MOD(E675,101)&gt;=100,0,MOD(E675,101)),"OK","ОШИБКА")))))</f>
        <v/>
      </c>
      <c r="G6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5">
        <f>IF(LEN(TRIM(A675))=10, --MID(A675,1,1)*2+--MID(A675,2,1)*4+--MID(A675,3,1)*10+--MID(A675,4,1)*3+--MID(A675,5,1)*5+--MID(A675,6,1)*9+--MID(A675,7,1)*4+--MID(A675,8,1)*6+--MID(A675,9,1)*8, IF(LEN(TRIM(A675))=12, --MID(A675,1,1)*7+--MID(A675,2,1)*2+--MID(A675,3,1)*4+--MID(A675,4,1)*10+--MID(A675,5,1)*3+--MID(A675,6,1)*5+--MID(A675,7,1)*9+--MID(A675,8,1)*4+--MID(A675,9,1)*6+--MID(A675,10,1)*8, ""))</f>
        <v/>
      </c>
      <c r="I675">
        <f>IF(LEN(TRIM(A675))=12, --MID(A675,1,1)*3+--MID(A675,2,1)*7+--MID(A675,3,1)*2+--MID(A675,4,1)*4+--MID(A675,5,1)*10+--MID(A675,6,1)*3+--MID(A675,7,1)*5+--MID(A675,8,1)*9+--MID(A675,9,1)*4+--MID(A675,10,1)*6+--MID(A675,11,1)*8, "")</f>
        <v/>
      </c>
    </row>
    <row r="676">
      <c r="A676">
        <f>SUBSTITUTE(SUBSTITUTE(SUBSTITUTE(SUBSTITUTE(TRIM(INDEX(Реестр!$B:$B,ROW())),CHAR(160),""),CHAR(9),""),CHAR(10),""),CHAR(13),"")</f>
        <v/>
      </c>
      <c r="B676">
        <f>SUBSTITUTE(SUBSTITUTE(SUBSTITUTE(SUBSTITUTE(SUBSTITUTE(SUBSTITUTE(SUBSTITUTE(TRIM(INDEX(Реестр!$D:$D, ROW())), "-", ""), " ", ""), CHAR(160), ""), CHAR(9), ""), CHAR(10), ""), CHAR(13), ""), CHAR(32), "")</f>
        <v/>
      </c>
      <c r="C676">
        <f>INDEX(Реестр!$H:$H, ROW())</f>
        <v/>
      </c>
      <c r="D676">
        <f>IF(OR(ISBLANK(INDEX(Реестр!$B:$B, ROW())), INDEX(Реестр!$B:$B, ROW())=""), " ", IF(IFERROR(ISNUMBER(--A676),FALSE), IF(LEN(A676)=10, IF(MOD(MOD(H676,11),10)=--RIGHT(A676,1), "OK", "ОШИБКА"), IF(LEN(A676)=12, IF(AND(MOD(MOD(H676,11),10)=--MID(A676,11,1), MOD(MOD(I676,11),10)=--RIGHT(A676,1)), "OK", "ОШИБКА"), "ДЛИНА (10 или 12)")), "НЕ ЦИФРЫ"))</f>
        <v/>
      </c>
      <c r="E676">
        <f>MID(B676,1,1)*9+MID(B676,2,1)*8+MID(B676,3,1)*7+MID(B676,4,1)*6+MID(B676,5,1)*5+MID(B676,6,1)*4+MID(B676,7,1)*3+MID(B676,8,1)*2+MID(B676,9,1)</f>
        <v/>
      </c>
      <c r="F676">
        <f>IF(B676="", " ", IF(LEN(B676)&lt;&gt;11, "ДЛИНА", IF(NOT(ISNUMBER(--B676)), "НЕ ЦИФРЫ", IF(LEFT(B676,9)*1&lt;=1001998, "OK", IF(RIGHT(B676,2)*1=IF(MOD(E676,101)&gt;=100,0,MOD(E676,101)),"OK","ОШИБКА")))))</f>
        <v/>
      </c>
      <c r="G6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6">
        <f>IF(LEN(TRIM(A676))=10, --MID(A676,1,1)*2+--MID(A676,2,1)*4+--MID(A676,3,1)*10+--MID(A676,4,1)*3+--MID(A676,5,1)*5+--MID(A676,6,1)*9+--MID(A676,7,1)*4+--MID(A676,8,1)*6+--MID(A676,9,1)*8, IF(LEN(TRIM(A676))=12, --MID(A676,1,1)*7+--MID(A676,2,1)*2+--MID(A676,3,1)*4+--MID(A676,4,1)*10+--MID(A676,5,1)*3+--MID(A676,6,1)*5+--MID(A676,7,1)*9+--MID(A676,8,1)*4+--MID(A676,9,1)*6+--MID(A676,10,1)*8, ""))</f>
        <v/>
      </c>
      <c r="I676">
        <f>IF(LEN(TRIM(A676))=12, --MID(A676,1,1)*3+--MID(A676,2,1)*7+--MID(A676,3,1)*2+--MID(A676,4,1)*4+--MID(A676,5,1)*10+--MID(A676,6,1)*3+--MID(A676,7,1)*5+--MID(A676,8,1)*9+--MID(A676,9,1)*4+--MID(A676,10,1)*6+--MID(A676,11,1)*8, "")</f>
        <v/>
      </c>
    </row>
    <row r="677">
      <c r="A677">
        <f>SUBSTITUTE(SUBSTITUTE(SUBSTITUTE(SUBSTITUTE(TRIM(INDEX(Реестр!$B:$B,ROW())),CHAR(160),""),CHAR(9),""),CHAR(10),""),CHAR(13),"")</f>
        <v/>
      </c>
      <c r="B677">
        <f>SUBSTITUTE(SUBSTITUTE(SUBSTITUTE(SUBSTITUTE(SUBSTITUTE(SUBSTITUTE(SUBSTITUTE(TRIM(INDEX(Реестр!$D:$D, ROW())), "-", ""), " ", ""), CHAR(160), ""), CHAR(9), ""), CHAR(10), ""), CHAR(13), ""), CHAR(32), "")</f>
        <v/>
      </c>
      <c r="C677">
        <f>INDEX(Реестр!$H:$H, ROW())</f>
        <v/>
      </c>
      <c r="D677">
        <f>IF(OR(ISBLANK(INDEX(Реестр!$B:$B, ROW())), INDEX(Реестр!$B:$B, ROW())=""), " ", IF(IFERROR(ISNUMBER(--A677),FALSE), IF(LEN(A677)=10, IF(MOD(MOD(H677,11),10)=--RIGHT(A677,1), "OK", "ОШИБКА"), IF(LEN(A677)=12, IF(AND(MOD(MOD(H677,11),10)=--MID(A677,11,1), MOD(MOD(I677,11),10)=--RIGHT(A677,1)), "OK", "ОШИБКА"), "ДЛИНА (10 или 12)")), "НЕ ЦИФРЫ"))</f>
        <v/>
      </c>
      <c r="E677">
        <f>MID(B677,1,1)*9+MID(B677,2,1)*8+MID(B677,3,1)*7+MID(B677,4,1)*6+MID(B677,5,1)*5+MID(B677,6,1)*4+MID(B677,7,1)*3+MID(B677,8,1)*2+MID(B677,9,1)</f>
        <v/>
      </c>
      <c r="F677">
        <f>IF(B677="", " ", IF(LEN(B677)&lt;&gt;11, "ДЛИНА", IF(NOT(ISNUMBER(--B677)), "НЕ ЦИФРЫ", IF(LEFT(B677,9)*1&lt;=1001998, "OK", IF(RIGHT(B677,2)*1=IF(MOD(E677,101)&gt;=100,0,MOD(E677,101)),"OK","ОШИБКА")))))</f>
        <v/>
      </c>
      <c r="G6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7">
        <f>IF(LEN(TRIM(A677))=10, --MID(A677,1,1)*2+--MID(A677,2,1)*4+--MID(A677,3,1)*10+--MID(A677,4,1)*3+--MID(A677,5,1)*5+--MID(A677,6,1)*9+--MID(A677,7,1)*4+--MID(A677,8,1)*6+--MID(A677,9,1)*8, IF(LEN(TRIM(A677))=12, --MID(A677,1,1)*7+--MID(A677,2,1)*2+--MID(A677,3,1)*4+--MID(A677,4,1)*10+--MID(A677,5,1)*3+--MID(A677,6,1)*5+--MID(A677,7,1)*9+--MID(A677,8,1)*4+--MID(A677,9,1)*6+--MID(A677,10,1)*8, ""))</f>
        <v/>
      </c>
      <c r="I677">
        <f>IF(LEN(TRIM(A677))=12, --MID(A677,1,1)*3+--MID(A677,2,1)*7+--MID(A677,3,1)*2+--MID(A677,4,1)*4+--MID(A677,5,1)*10+--MID(A677,6,1)*3+--MID(A677,7,1)*5+--MID(A677,8,1)*9+--MID(A677,9,1)*4+--MID(A677,10,1)*6+--MID(A677,11,1)*8, "")</f>
        <v/>
      </c>
    </row>
    <row r="678">
      <c r="A678">
        <f>SUBSTITUTE(SUBSTITUTE(SUBSTITUTE(SUBSTITUTE(TRIM(INDEX(Реестр!$B:$B,ROW())),CHAR(160),""),CHAR(9),""),CHAR(10),""),CHAR(13),"")</f>
        <v/>
      </c>
      <c r="B678">
        <f>SUBSTITUTE(SUBSTITUTE(SUBSTITUTE(SUBSTITUTE(SUBSTITUTE(SUBSTITUTE(SUBSTITUTE(TRIM(INDEX(Реестр!$D:$D, ROW())), "-", ""), " ", ""), CHAR(160), ""), CHAR(9), ""), CHAR(10), ""), CHAR(13), ""), CHAR(32), "")</f>
        <v/>
      </c>
      <c r="C678">
        <f>INDEX(Реестр!$H:$H, ROW())</f>
        <v/>
      </c>
      <c r="D678">
        <f>IF(OR(ISBLANK(INDEX(Реестр!$B:$B, ROW())), INDEX(Реестр!$B:$B, ROW())=""), " ", IF(IFERROR(ISNUMBER(--A678),FALSE), IF(LEN(A678)=10, IF(MOD(MOD(H678,11),10)=--RIGHT(A678,1), "OK", "ОШИБКА"), IF(LEN(A678)=12, IF(AND(MOD(MOD(H678,11),10)=--MID(A678,11,1), MOD(MOD(I678,11),10)=--RIGHT(A678,1)), "OK", "ОШИБКА"), "ДЛИНА (10 или 12)")), "НЕ ЦИФРЫ"))</f>
        <v/>
      </c>
      <c r="E678">
        <f>MID(B678,1,1)*9+MID(B678,2,1)*8+MID(B678,3,1)*7+MID(B678,4,1)*6+MID(B678,5,1)*5+MID(B678,6,1)*4+MID(B678,7,1)*3+MID(B678,8,1)*2+MID(B678,9,1)</f>
        <v/>
      </c>
      <c r="F678">
        <f>IF(B678="", " ", IF(LEN(B678)&lt;&gt;11, "ДЛИНА", IF(NOT(ISNUMBER(--B678)), "НЕ ЦИФРЫ", IF(LEFT(B678,9)*1&lt;=1001998, "OK", IF(RIGHT(B678,2)*1=IF(MOD(E678,101)&gt;=100,0,MOD(E678,101)),"OK","ОШИБКА")))))</f>
        <v/>
      </c>
      <c r="G6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8">
        <f>IF(LEN(TRIM(A678))=10, --MID(A678,1,1)*2+--MID(A678,2,1)*4+--MID(A678,3,1)*10+--MID(A678,4,1)*3+--MID(A678,5,1)*5+--MID(A678,6,1)*9+--MID(A678,7,1)*4+--MID(A678,8,1)*6+--MID(A678,9,1)*8, IF(LEN(TRIM(A678))=12, --MID(A678,1,1)*7+--MID(A678,2,1)*2+--MID(A678,3,1)*4+--MID(A678,4,1)*10+--MID(A678,5,1)*3+--MID(A678,6,1)*5+--MID(A678,7,1)*9+--MID(A678,8,1)*4+--MID(A678,9,1)*6+--MID(A678,10,1)*8, ""))</f>
        <v/>
      </c>
      <c r="I678">
        <f>IF(LEN(TRIM(A678))=12, --MID(A678,1,1)*3+--MID(A678,2,1)*7+--MID(A678,3,1)*2+--MID(A678,4,1)*4+--MID(A678,5,1)*10+--MID(A678,6,1)*3+--MID(A678,7,1)*5+--MID(A678,8,1)*9+--MID(A678,9,1)*4+--MID(A678,10,1)*6+--MID(A678,11,1)*8, "")</f>
        <v/>
      </c>
    </row>
    <row r="679">
      <c r="A679">
        <f>SUBSTITUTE(SUBSTITUTE(SUBSTITUTE(SUBSTITUTE(TRIM(INDEX(Реестр!$B:$B,ROW())),CHAR(160),""),CHAR(9),""),CHAR(10),""),CHAR(13),"")</f>
        <v/>
      </c>
      <c r="B679">
        <f>SUBSTITUTE(SUBSTITUTE(SUBSTITUTE(SUBSTITUTE(SUBSTITUTE(SUBSTITUTE(SUBSTITUTE(TRIM(INDEX(Реестр!$D:$D, ROW())), "-", ""), " ", ""), CHAR(160), ""), CHAR(9), ""), CHAR(10), ""), CHAR(13), ""), CHAR(32), "")</f>
        <v/>
      </c>
      <c r="C679">
        <f>INDEX(Реестр!$H:$H, ROW())</f>
        <v/>
      </c>
      <c r="D679">
        <f>IF(OR(ISBLANK(INDEX(Реестр!$B:$B, ROW())), INDEX(Реестр!$B:$B, ROW())=""), " ", IF(IFERROR(ISNUMBER(--A679),FALSE), IF(LEN(A679)=10, IF(MOD(MOD(H679,11),10)=--RIGHT(A679,1), "OK", "ОШИБКА"), IF(LEN(A679)=12, IF(AND(MOD(MOD(H679,11),10)=--MID(A679,11,1), MOD(MOD(I679,11),10)=--RIGHT(A679,1)), "OK", "ОШИБКА"), "ДЛИНА (10 или 12)")), "НЕ ЦИФРЫ"))</f>
        <v/>
      </c>
      <c r="E679">
        <f>MID(B679,1,1)*9+MID(B679,2,1)*8+MID(B679,3,1)*7+MID(B679,4,1)*6+MID(B679,5,1)*5+MID(B679,6,1)*4+MID(B679,7,1)*3+MID(B679,8,1)*2+MID(B679,9,1)</f>
        <v/>
      </c>
      <c r="F679">
        <f>IF(B679="", " ", IF(LEN(B679)&lt;&gt;11, "ДЛИНА", IF(NOT(ISNUMBER(--B679)), "НЕ ЦИФРЫ", IF(LEFT(B679,9)*1&lt;=1001998, "OK", IF(RIGHT(B679,2)*1=IF(MOD(E679,101)&gt;=100,0,MOD(E679,101)),"OK","ОШИБКА")))))</f>
        <v/>
      </c>
      <c r="G6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79">
        <f>IF(LEN(TRIM(A679))=10, --MID(A679,1,1)*2+--MID(A679,2,1)*4+--MID(A679,3,1)*10+--MID(A679,4,1)*3+--MID(A679,5,1)*5+--MID(A679,6,1)*9+--MID(A679,7,1)*4+--MID(A679,8,1)*6+--MID(A679,9,1)*8, IF(LEN(TRIM(A679))=12, --MID(A679,1,1)*7+--MID(A679,2,1)*2+--MID(A679,3,1)*4+--MID(A679,4,1)*10+--MID(A679,5,1)*3+--MID(A679,6,1)*5+--MID(A679,7,1)*9+--MID(A679,8,1)*4+--MID(A679,9,1)*6+--MID(A679,10,1)*8, ""))</f>
        <v/>
      </c>
      <c r="I679">
        <f>IF(LEN(TRIM(A679))=12, --MID(A679,1,1)*3+--MID(A679,2,1)*7+--MID(A679,3,1)*2+--MID(A679,4,1)*4+--MID(A679,5,1)*10+--MID(A679,6,1)*3+--MID(A679,7,1)*5+--MID(A679,8,1)*9+--MID(A679,9,1)*4+--MID(A679,10,1)*6+--MID(A679,11,1)*8, "")</f>
        <v/>
      </c>
    </row>
    <row r="680">
      <c r="A680">
        <f>SUBSTITUTE(SUBSTITUTE(SUBSTITUTE(SUBSTITUTE(TRIM(INDEX(Реестр!$B:$B,ROW())),CHAR(160),""),CHAR(9),""),CHAR(10),""),CHAR(13),"")</f>
        <v/>
      </c>
      <c r="B680">
        <f>SUBSTITUTE(SUBSTITUTE(SUBSTITUTE(SUBSTITUTE(SUBSTITUTE(SUBSTITUTE(SUBSTITUTE(TRIM(INDEX(Реестр!$D:$D, ROW())), "-", ""), " ", ""), CHAR(160), ""), CHAR(9), ""), CHAR(10), ""), CHAR(13), ""), CHAR(32), "")</f>
        <v/>
      </c>
      <c r="C680">
        <f>INDEX(Реестр!$H:$H, ROW())</f>
        <v/>
      </c>
      <c r="D680">
        <f>IF(OR(ISBLANK(INDEX(Реестр!$B:$B, ROW())), INDEX(Реестр!$B:$B, ROW())=""), " ", IF(IFERROR(ISNUMBER(--A680),FALSE), IF(LEN(A680)=10, IF(MOD(MOD(H680,11),10)=--RIGHT(A680,1), "OK", "ОШИБКА"), IF(LEN(A680)=12, IF(AND(MOD(MOD(H680,11),10)=--MID(A680,11,1), MOD(MOD(I680,11),10)=--RIGHT(A680,1)), "OK", "ОШИБКА"), "ДЛИНА (10 или 12)")), "НЕ ЦИФРЫ"))</f>
        <v/>
      </c>
      <c r="E680">
        <f>MID(B680,1,1)*9+MID(B680,2,1)*8+MID(B680,3,1)*7+MID(B680,4,1)*6+MID(B680,5,1)*5+MID(B680,6,1)*4+MID(B680,7,1)*3+MID(B680,8,1)*2+MID(B680,9,1)</f>
        <v/>
      </c>
      <c r="F680">
        <f>IF(B680="", " ", IF(LEN(B680)&lt;&gt;11, "ДЛИНА", IF(NOT(ISNUMBER(--B680)), "НЕ ЦИФРЫ", IF(LEFT(B680,9)*1&lt;=1001998, "OK", IF(RIGHT(B680,2)*1=IF(MOD(E680,101)&gt;=100,0,MOD(E680,101)),"OK","ОШИБКА")))))</f>
        <v/>
      </c>
      <c r="G6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0">
        <f>IF(LEN(TRIM(A680))=10, --MID(A680,1,1)*2+--MID(A680,2,1)*4+--MID(A680,3,1)*10+--MID(A680,4,1)*3+--MID(A680,5,1)*5+--MID(A680,6,1)*9+--MID(A680,7,1)*4+--MID(A680,8,1)*6+--MID(A680,9,1)*8, IF(LEN(TRIM(A680))=12, --MID(A680,1,1)*7+--MID(A680,2,1)*2+--MID(A680,3,1)*4+--MID(A680,4,1)*10+--MID(A680,5,1)*3+--MID(A680,6,1)*5+--MID(A680,7,1)*9+--MID(A680,8,1)*4+--MID(A680,9,1)*6+--MID(A680,10,1)*8, ""))</f>
        <v/>
      </c>
      <c r="I680">
        <f>IF(LEN(TRIM(A680))=12, --MID(A680,1,1)*3+--MID(A680,2,1)*7+--MID(A680,3,1)*2+--MID(A680,4,1)*4+--MID(A680,5,1)*10+--MID(A680,6,1)*3+--MID(A680,7,1)*5+--MID(A680,8,1)*9+--MID(A680,9,1)*4+--MID(A680,10,1)*6+--MID(A680,11,1)*8, "")</f>
        <v/>
      </c>
    </row>
    <row r="681">
      <c r="A681">
        <f>SUBSTITUTE(SUBSTITUTE(SUBSTITUTE(SUBSTITUTE(TRIM(INDEX(Реестр!$B:$B,ROW())),CHAR(160),""),CHAR(9),""),CHAR(10),""),CHAR(13),"")</f>
        <v/>
      </c>
      <c r="B681">
        <f>SUBSTITUTE(SUBSTITUTE(SUBSTITUTE(SUBSTITUTE(SUBSTITUTE(SUBSTITUTE(SUBSTITUTE(TRIM(INDEX(Реестр!$D:$D, ROW())), "-", ""), " ", ""), CHAR(160), ""), CHAR(9), ""), CHAR(10), ""), CHAR(13), ""), CHAR(32), "")</f>
        <v/>
      </c>
      <c r="C681">
        <f>INDEX(Реестр!$H:$H, ROW())</f>
        <v/>
      </c>
      <c r="D681">
        <f>IF(OR(ISBLANK(INDEX(Реестр!$B:$B, ROW())), INDEX(Реестр!$B:$B, ROW())=""), " ", IF(IFERROR(ISNUMBER(--A681),FALSE), IF(LEN(A681)=10, IF(MOD(MOD(H681,11),10)=--RIGHT(A681,1), "OK", "ОШИБКА"), IF(LEN(A681)=12, IF(AND(MOD(MOD(H681,11),10)=--MID(A681,11,1), MOD(MOD(I681,11),10)=--RIGHT(A681,1)), "OK", "ОШИБКА"), "ДЛИНА (10 или 12)")), "НЕ ЦИФРЫ"))</f>
        <v/>
      </c>
      <c r="E681">
        <f>MID(B681,1,1)*9+MID(B681,2,1)*8+MID(B681,3,1)*7+MID(B681,4,1)*6+MID(B681,5,1)*5+MID(B681,6,1)*4+MID(B681,7,1)*3+MID(B681,8,1)*2+MID(B681,9,1)</f>
        <v/>
      </c>
      <c r="F681">
        <f>IF(B681="", " ", IF(LEN(B681)&lt;&gt;11, "ДЛИНА", IF(NOT(ISNUMBER(--B681)), "НЕ ЦИФРЫ", IF(LEFT(B681,9)*1&lt;=1001998, "OK", IF(RIGHT(B681,2)*1=IF(MOD(E681,101)&gt;=100,0,MOD(E681,101)),"OK","ОШИБКА")))))</f>
        <v/>
      </c>
      <c r="G6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1">
        <f>IF(LEN(TRIM(A681))=10, --MID(A681,1,1)*2+--MID(A681,2,1)*4+--MID(A681,3,1)*10+--MID(A681,4,1)*3+--MID(A681,5,1)*5+--MID(A681,6,1)*9+--MID(A681,7,1)*4+--MID(A681,8,1)*6+--MID(A681,9,1)*8, IF(LEN(TRIM(A681))=12, --MID(A681,1,1)*7+--MID(A681,2,1)*2+--MID(A681,3,1)*4+--MID(A681,4,1)*10+--MID(A681,5,1)*3+--MID(A681,6,1)*5+--MID(A681,7,1)*9+--MID(A681,8,1)*4+--MID(A681,9,1)*6+--MID(A681,10,1)*8, ""))</f>
        <v/>
      </c>
      <c r="I681">
        <f>IF(LEN(TRIM(A681))=12, --MID(A681,1,1)*3+--MID(A681,2,1)*7+--MID(A681,3,1)*2+--MID(A681,4,1)*4+--MID(A681,5,1)*10+--MID(A681,6,1)*3+--MID(A681,7,1)*5+--MID(A681,8,1)*9+--MID(A681,9,1)*4+--MID(A681,10,1)*6+--MID(A681,11,1)*8, "")</f>
        <v/>
      </c>
    </row>
    <row r="682">
      <c r="A682">
        <f>SUBSTITUTE(SUBSTITUTE(SUBSTITUTE(SUBSTITUTE(TRIM(INDEX(Реестр!$B:$B,ROW())),CHAR(160),""),CHAR(9),""),CHAR(10),""),CHAR(13),"")</f>
        <v/>
      </c>
      <c r="B682">
        <f>SUBSTITUTE(SUBSTITUTE(SUBSTITUTE(SUBSTITUTE(SUBSTITUTE(SUBSTITUTE(SUBSTITUTE(TRIM(INDEX(Реестр!$D:$D, ROW())), "-", ""), " ", ""), CHAR(160), ""), CHAR(9), ""), CHAR(10), ""), CHAR(13), ""), CHAR(32), "")</f>
        <v/>
      </c>
      <c r="C682">
        <f>INDEX(Реестр!$H:$H, ROW())</f>
        <v/>
      </c>
      <c r="D682">
        <f>IF(OR(ISBLANK(INDEX(Реестр!$B:$B, ROW())), INDEX(Реестр!$B:$B, ROW())=""), " ", IF(IFERROR(ISNUMBER(--A682),FALSE), IF(LEN(A682)=10, IF(MOD(MOD(H682,11),10)=--RIGHT(A682,1), "OK", "ОШИБКА"), IF(LEN(A682)=12, IF(AND(MOD(MOD(H682,11),10)=--MID(A682,11,1), MOD(MOD(I682,11),10)=--RIGHT(A682,1)), "OK", "ОШИБКА"), "ДЛИНА (10 или 12)")), "НЕ ЦИФРЫ"))</f>
        <v/>
      </c>
      <c r="E682">
        <f>MID(B682,1,1)*9+MID(B682,2,1)*8+MID(B682,3,1)*7+MID(B682,4,1)*6+MID(B682,5,1)*5+MID(B682,6,1)*4+MID(B682,7,1)*3+MID(B682,8,1)*2+MID(B682,9,1)</f>
        <v/>
      </c>
      <c r="F682">
        <f>IF(B682="", " ", IF(LEN(B682)&lt;&gt;11, "ДЛИНА", IF(NOT(ISNUMBER(--B682)), "НЕ ЦИФРЫ", IF(LEFT(B682,9)*1&lt;=1001998, "OK", IF(RIGHT(B682,2)*1=IF(MOD(E682,101)&gt;=100,0,MOD(E682,101)),"OK","ОШИБКА")))))</f>
        <v/>
      </c>
      <c r="G6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2">
        <f>IF(LEN(TRIM(A682))=10, --MID(A682,1,1)*2+--MID(A682,2,1)*4+--MID(A682,3,1)*10+--MID(A682,4,1)*3+--MID(A682,5,1)*5+--MID(A682,6,1)*9+--MID(A682,7,1)*4+--MID(A682,8,1)*6+--MID(A682,9,1)*8, IF(LEN(TRIM(A682))=12, --MID(A682,1,1)*7+--MID(A682,2,1)*2+--MID(A682,3,1)*4+--MID(A682,4,1)*10+--MID(A682,5,1)*3+--MID(A682,6,1)*5+--MID(A682,7,1)*9+--MID(A682,8,1)*4+--MID(A682,9,1)*6+--MID(A682,10,1)*8, ""))</f>
        <v/>
      </c>
      <c r="I682">
        <f>IF(LEN(TRIM(A682))=12, --MID(A682,1,1)*3+--MID(A682,2,1)*7+--MID(A682,3,1)*2+--MID(A682,4,1)*4+--MID(A682,5,1)*10+--MID(A682,6,1)*3+--MID(A682,7,1)*5+--MID(A682,8,1)*9+--MID(A682,9,1)*4+--MID(A682,10,1)*6+--MID(A682,11,1)*8, "")</f>
        <v/>
      </c>
    </row>
    <row r="683">
      <c r="A683">
        <f>SUBSTITUTE(SUBSTITUTE(SUBSTITUTE(SUBSTITUTE(TRIM(INDEX(Реестр!$B:$B,ROW())),CHAR(160),""),CHAR(9),""),CHAR(10),""),CHAR(13),"")</f>
        <v/>
      </c>
      <c r="B683">
        <f>SUBSTITUTE(SUBSTITUTE(SUBSTITUTE(SUBSTITUTE(SUBSTITUTE(SUBSTITUTE(SUBSTITUTE(TRIM(INDEX(Реестр!$D:$D, ROW())), "-", ""), " ", ""), CHAR(160), ""), CHAR(9), ""), CHAR(10), ""), CHAR(13), ""), CHAR(32), "")</f>
        <v/>
      </c>
      <c r="C683">
        <f>INDEX(Реестр!$H:$H, ROW())</f>
        <v/>
      </c>
      <c r="D683">
        <f>IF(OR(ISBLANK(INDEX(Реестр!$B:$B, ROW())), INDEX(Реестр!$B:$B, ROW())=""), " ", IF(IFERROR(ISNUMBER(--A683),FALSE), IF(LEN(A683)=10, IF(MOD(MOD(H683,11),10)=--RIGHT(A683,1), "OK", "ОШИБКА"), IF(LEN(A683)=12, IF(AND(MOD(MOD(H683,11),10)=--MID(A683,11,1), MOD(MOD(I683,11),10)=--RIGHT(A683,1)), "OK", "ОШИБКА"), "ДЛИНА (10 или 12)")), "НЕ ЦИФРЫ"))</f>
        <v/>
      </c>
      <c r="E683">
        <f>MID(B683,1,1)*9+MID(B683,2,1)*8+MID(B683,3,1)*7+MID(B683,4,1)*6+MID(B683,5,1)*5+MID(B683,6,1)*4+MID(B683,7,1)*3+MID(B683,8,1)*2+MID(B683,9,1)</f>
        <v/>
      </c>
      <c r="F683">
        <f>IF(B683="", " ", IF(LEN(B683)&lt;&gt;11, "ДЛИНА", IF(NOT(ISNUMBER(--B683)), "НЕ ЦИФРЫ", IF(LEFT(B683,9)*1&lt;=1001998, "OK", IF(RIGHT(B683,2)*1=IF(MOD(E683,101)&gt;=100,0,MOD(E683,101)),"OK","ОШИБКА")))))</f>
        <v/>
      </c>
      <c r="G6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3">
        <f>IF(LEN(TRIM(A683))=10, --MID(A683,1,1)*2+--MID(A683,2,1)*4+--MID(A683,3,1)*10+--MID(A683,4,1)*3+--MID(A683,5,1)*5+--MID(A683,6,1)*9+--MID(A683,7,1)*4+--MID(A683,8,1)*6+--MID(A683,9,1)*8, IF(LEN(TRIM(A683))=12, --MID(A683,1,1)*7+--MID(A683,2,1)*2+--MID(A683,3,1)*4+--MID(A683,4,1)*10+--MID(A683,5,1)*3+--MID(A683,6,1)*5+--MID(A683,7,1)*9+--MID(A683,8,1)*4+--MID(A683,9,1)*6+--MID(A683,10,1)*8, ""))</f>
        <v/>
      </c>
      <c r="I683">
        <f>IF(LEN(TRIM(A683))=12, --MID(A683,1,1)*3+--MID(A683,2,1)*7+--MID(A683,3,1)*2+--MID(A683,4,1)*4+--MID(A683,5,1)*10+--MID(A683,6,1)*3+--MID(A683,7,1)*5+--MID(A683,8,1)*9+--MID(A683,9,1)*4+--MID(A683,10,1)*6+--MID(A683,11,1)*8, "")</f>
        <v/>
      </c>
    </row>
    <row r="684">
      <c r="A684">
        <f>SUBSTITUTE(SUBSTITUTE(SUBSTITUTE(SUBSTITUTE(TRIM(INDEX(Реестр!$B:$B,ROW())),CHAR(160),""),CHAR(9),""),CHAR(10),""),CHAR(13),"")</f>
        <v/>
      </c>
      <c r="B684">
        <f>SUBSTITUTE(SUBSTITUTE(SUBSTITUTE(SUBSTITUTE(SUBSTITUTE(SUBSTITUTE(SUBSTITUTE(TRIM(INDEX(Реестр!$D:$D, ROW())), "-", ""), " ", ""), CHAR(160), ""), CHAR(9), ""), CHAR(10), ""), CHAR(13), ""), CHAR(32), "")</f>
        <v/>
      </c>
      <c r="C684">
        <f>INDEX(Реестр!$H:$H, ROW())</f>
        <v/>
      </c>
      <c r="D684">
        <f>IF(OR(ISBLANK(INDEX(Реестр!$B:$B, ROW())), INDEX(Реестр!$B:$B, ROW())=""), " ", IF(IFERROR(ISNUMBER(--A684),FALSE), IF(LEN(A684)=10, IF(MOD(MOD(H684,11),10)=--RIGHT(A684,1), "OK", "ОШИБКА"), IF(LEN(A684)=12, IF(AND(MOD(MOD(H684,11),10)=--MID(A684,11,1), MOD(MOD(I684,11),10)=--RIGHT(A684,1)), "OK", "ОШИБКА"), "ДЛИНА (10 или 12)")), "НЕ ЦИФРЫ"))</f>
        <v/>
      </c>
      <c r="E684">
        <f>MID(B684,1,1)*9+MID(B684,2,1)*8+MID(B684,3,1)*7+MID(B684,4,1)*6+MID(B684,5,1)*5+MID(B684,6,1)*4+MID(B684,7,1)*3+MID(B684,8,1)*2+MID(B684,9,1)</f>
        <v/>
      </c>
      <c r="F684">
        <f>IF(B684="", " ", IF(LEN(B684)&lt;&gt;11, "ДЛИНА", IF(NOT(ISNUMBER(--B684)), "НЕ ЦИФРЫ", IF(LEFT(B684,9)*1&lt;=1001998, "OK", IF(RIGHT(B684,2)*1=IF(MOD(E684,101)&gt;=100,0,MOD(E684,101)),"OK","ОШИБКА")))))</f>
        <v/>
      </c>
      <c r="G6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4">
        <f>IF(LEN(TRIM(A684))=10, --MID(A684,1,1)*2+--MID(A684,2,1)*4+--MID(A684,3,1)*10+--MID(A684,4,1)*3+--MID(A684,5,1)*5+--MID(A684,6,1)*9+--MID(A684,7,1)*4+--MID(A684,8,1)*6+--MID(A684,9,1)*8, IF(LEN(TRIM(A684))=12, --MID(A684,1,1)*7+--MID(A684,2,1)*2+--MID(A684,3,1)*4+--MID(A684,4,1)*10+--MID(A684,5,1)*3+--MID(A684,6,1)*5+--MID(A684,7,1)*9+--MID(A684,8,1)*4+--MID(A684,9,1)*6+--MID(A684,10,1)*8, ""))</f>
        <v/>
      </c>
      <c r="I684">
        <f>IF(LEN(TRIM(A684))=12, --MID(A684,1,1)*3+--MID(A684,2,1)*7+--MID(A684,3,1)*2+--MID(A684,4,1)*4+--MID(A684,5,1)*10+--MID(A684,6,1)*3+--MID(A684,7,1)*5+--MID(A684,8,1)*9+--MID(A684,9,1)*4+--MID(A684,10,1)*6+--MID(A684,11,1)*8, "")</f>
        <v/>
      </c>
    </row>
    <row r="685">
      <c r="A685">
        <f>SUBSTITUTE(SUBSTITUTE(SUBSTITUTE(SUBSTITUTE(TRIM(INDEX(Реестр!$B:$B,ROW())),CHAR(160),""),CHAR(9),""),CHAR(10),""),CHAR(13),"")</f>
        <v/>
      </c>
      <c r="B685">
        <f>SUBSTITUTE(SUBSTITUTE(SUBSTITUTE(SUBSTITUTE(SUBSTITUTE(SUBSTITUTE(SUBSTITUTE(TRIM(INDEX(Реестр!$D:$D, ROW())), "-", ""), " ", ""), CHAR(160), ""), CHAR(9), ""), CHAR(10), ""), CHAR(13), ""), CHAR(32), "")</f>
        <v/>
      </c>
      <c r="C685">
        <f>INDEX(Реестр!$H:$H, ROW())</f>
        <v/>
      </c>
      <c r="D685">
        <f>IF(OR(ISBLANK(INDEX(Реестр!$B:$B, ROW())), INDEX(Реестр!$B:$B, ROW())=""), " ", IF(IFERROR(ISNUMBER(--A685),FALSE), IF(LEN(A685)=10, IF(MOD(MOD(H685,11),10)=--RIGHT(A685,1), "OK", "ОШИБКА"), IF(LEN(A685)=12, IF(AND(MOD(MOD(H685,11),10)=--MID(A685,11,1), MOD(MOD(I685,11),10)=--RIGHT(A685,1)), "OK", "ОШИБКА"), "ДЛИНА (10 или 12)")), "НЕ ЦИФРЫ"))</f>
        <v/>
      </c>
      <c r="E685">
        <f>MID(B685,1,1)*9+MID(B685,2,1)*8+MID(B685,3,1)*7+MID(B685,4,1)*6+MID(B685,5,1)*5+MID(B685,6,1)*4+MID(B685,7,1)*3+MID(B685,8,1)*2+MID(B685,9,1)</f>
        <v/>
      </c>
      <c r="F685">
        <f>IF(B685="", " ", IF(LEN(B685)&lt;&gt;11, "ДЛИНА", IF(NOT(ISNUMBER(--B685)), "НЕ ЦИФРЫ", IF(LEFT(B685,9)*1&lt;=1001998, "OK", IF(RIGHT(B685,2)*1=IF(MOD(E685,101)&gt;=100,0,MOD(E685,101)),"OK","ОШИБКА")))))</f>
        <v/>
      </c>
      <c r="G6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5">
        <f>IF(LEN(TRIM(A685))=10, --MID(A685,1,1)*2+--MID(A685,2,1)*4+--MID(A685,3,1)*10+--MID(A685,4,1)*3+--MID(A685,5,1)*5+--MID(A685,6,1)*9+--MID(A685,7,1)*4+--MID(A685,8,1)*6+--MID(A685,9,1)*8, IF(LEN(TRIM(A685))=12, --MID(A685,1,1)*7+--MID(A685,2,1)*2+--MID(A685,3,1)*4+--MID(A685,4,1)*10+--MID(A685,5,1)*3+--MID(A685,6,1)*5+--MID(A685,7,1)*9+--MID(A685,8,1)*4+--MID(A685,9,1)*6+--MID(A685,10,1)*8, ""))</f>
        <v/>
      </c>
      <c r="I685">
        <f>IF(LEN(TRIM(A685))=12, --MID(A685,1,1)*3+--MID(A685,2,1)*7+--MID(A685,3,1)*2+--MID(A685,4,1)*4+--MID(A685,5,1)*10+--MID(A685,6,1)*3+--MID(A685,7,1)*5+--MID(A685,8,1)*9+--MID(A685,9,1)*4+--MID(A685,10,1)*6+--MID(A685,11,1)*8, "")</f>
        <v/>
      </c>
    </row>
    <row r="686">
      <c r="A686">
        <f>SUBSTITUTE(SUBSTITUTE(SUBSTITUTE(SUBSTITUTE(TRIM(INDEX(Реестр!$B:$B,ROW())),CHAR(160),""),CHAR(9),""),CHAR(10),""),CHAR(13),"")</f>
        <v/>
      </c>
      <c r="B686">
        <f>SUBSTITUTE(SUBSTITUTE(SUBSTITUTE(SUBSTITUTE(SUBSTITUTE(SUBSTITUTE(SUBSTITUTE(TRIM(INDEX(Реестр!$D:$D, ROW())), "-", ""), " ", ""), CHAR(160), ""), CHAR(9), ""), CHAR(10), ""), CHAR(13), ""), CHAR(32), "")</f>
        <v/>
      </c>
      <c r="C686">
        <f>INDEX(Реестр!$H:$H, ROW())</f>
        <v/>
      </c>
      <c r="D686">
        <f>IF(OR(ISBLANK(INDEX(Реестр!$B:$B, ROW())), INDEX(Реестр!$B:$B, ROW())=""), " ", IF(IFERROR(ISNUMBER(--A686),FALSE), IF(LEN(A686)=10, IF(MOD(MOD(H686,11),10)=--RIGHT(A686,1), "OK", "ОШИБКА"), IF(LEN(A686)=12, IF(AND(MOD(MOD(H686,11),10)=--MID(A686,11,1), MOD(MOD(I686,11),10)=--RIGHT(A686,1)), "OK", "ОШИБКА"), "ДЛИНА (10 или 12)")), "НЕ ЦИФРЫ"))</f>
        <v/>
      </c>
      <c r="E686">
        <f>MID(B686,1,1)*9+MID(B686,2,1)*8+MID(B686,3,1)*7+MID(B686,4,1)*6+MID(B686,5,1)*5+MID(B686,6,1)*4+MID(B686,7,1)*3+MID(B686,8,1)*2+MID(B686,9,1)</f>
        <v/>
      </c>
      <c r="F686">
        <f>IF(B686="", " ", IF(LEN(B686)&lt;&gt;11, "ДЛИНА", IF(NOT(ISNUMBER(--B686)), "НЕ ЦИФРЫ", IF(LEFT(B686,9)*1&lt;=1001998, "OK", IF(RIGHT(B686,2)*1=IF(MOD(E686,101)&gt;=100,0,MOD(E686,101)),"OK","ОШИБКА")))))</f>
        <v/>
      </c>
      <c r="G6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6">
        <f>IF(LEN(TRIM(A686))=10, --MID(A686,1,1)*2+--MID(A686,2,1)*4+--MID(A686,3,1)*10+--MID(A686,4,1)*3+--MID(A686,5,1)*5+--MID(A686,6,1)*9+--MID(A686,7,1)*4+--MID(A686,8,1)*6+--MID(A686,9,1)*8, IF(LEN(TRIM(A686))=12, --MID(A686,1,1)*7+--MID(A686,2,1)*2+--MID(A686,3,1)*4+--MID(A686,4,1)*10+--MID(A686,5,1)*3+--MID(A686,6,1)*5+--MID(A686,7,1)*9+--MID(A686,8,1)*4+--MID(A686,9,1)*6+--MID(A686,10,1)*8, ""))</f>
        <v/>
      </c>
      <c r="I686">
        <f>IF(LEN(TRIM(A686))=12, --MID(A686,1,1)*3+--MID(A686,2,1)*7+--MID(A686,3,1)*2+--MID(A686,4,1)*4+--MID(A686,5,1)*10+--MID(A686,6,1)*3+--MID(A686,7,1)*5+--MID(A686,8,1)*9+--MID(A686,9,1)*4+--MID(A686,10,1)*6+--MID(A686,11,1)*8, "")</f>
        <v/>
      </c>
    </row>
    <row r="687">
      <c r="A687">
        <f>SUBSTITUTE(SUBSTITUTE(SUBSTITUTE(SUBSTITUTE(TRIM(INDEX(Реестр!$B:$B,ROW())),CHAR(160),""),CHAR(9),""),CHAR(10),""),CHAR(13),"")</f>
        <v/>
      </c>
      <c r="B687">
        <f>SUBSTITUTE(SUBSTITUTE(SUBSTITUTE(SUBSTITUTE(SUBSTITUTE(SUBSTITUTE(SUBSTITUTE(TRIM(INDEX(Реестр!$D:$D, ROW())), "-", ""), " ", ""), CHAR(160), ""), CHAR(9), ""), CHAR(10), ""), CHAR(13), ""), CHAR(32), "")</f>
        <v/>
      </c>
      <c r="C687">
        <f>INDEX(Реестр!$H:$H, ROW())</f>
        <v/>
      </c>
      <c r="D687">
        <f>IF(OR(ISBLANK(INDEX(Реестр!$B:$B, ROW())), INDEX(Реестр!$B:$B, ROW())=""), " ", IF(IFERROR(ISNUMBER(--A687),FALSE), IF(LEN(A687)=10, IF(MOD(MOD(H687,11),10)=--RIGHT(A687,1), "OK", "ОШИБКА"), IF(LEN(A687)=12, IF(AND(MOD(MOD(H687,11),10)=--MID(A687,11,1), MOD(MOD(I687,11),10)=--RIGHT(A687,1)), "OK", "ОШИБКА"), "ДЛИНА (10 или 12)")), "НЕ ЦИФРЫ"))</f>
        <v/>
      </c>
      <c r="E687">
        <f>MID(B687,1,1)*9+MID(B687,2,1)*8+MID(B687,3,1)*7+MID(B687,4,1)*6+MID(B687,5,1)*5+MID(B687,6,1)*4+MID(B687,7,1)*3+MID(B687,8,1)*2+MID(B687,9,1)</f>
        <v/>
      </c>
      <c r="F687">
        <f>IF(B687="", " ", IF(LEN(B687)&lt;&gt;11, "ДЛИНА", IF(NOT(ISNUMBER(--B687)), "НЕ ЦИФРЫ", IF(LEFT(B687,9)*1&lt;=1001998, "OK", IF(RIGHT(B687,2)*1=IF(MOD(E687,101)&gt;=100,0,MOD(E687,101)),"OK","ОШИБКА")))))</f>
        <v/>
      </c>
      <c r="G6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7">
        <f>IF(LEN(TRIM(A687))=10, --MID(A687,1,1)*2+--MID(A687,2,1)*4+--MID(A687,3,1)*10+--MID(A687,4,1)*3+--MID(A687,5,1)*5+--MID(A687,6,1)*9+--MID(A687,7,1)*4+--MID(A687,8,1)*6+--MID(A687,9,1)*8, IF(LEN(TRIM(A687))=12, --MID(A687,1,1)*7+--MID(A687,2,1)*2+--MID(A687,3,1)*4+--MID(A687,4,1)*10+--MID(A687,5,1)*3+--MID(A687,6,1)*5+--MID(A687,7,1)*9+--MID(A687,8,1)*4+--MID(A687,9,1)*6+--MID(A687,10,1)*8, ""))</f>
        <v/>
      </c>
      <c r="I687">
        <f>IF(LEN(TRIM(A687))=12, --MID(A687,1,1)*3+--MID(A687,2,1)*7+--MID(A687,3,1)*2+--MID(A687,4,1)*4+--MID(A687,5,1)*10+--MID(A687,6,1)*3+--MID(A687,7,1)*5+--MID(A687,8,1)*9+--MID(A687,9,1)*4+--MID(A687,10,1)*6+--MID(A687,11,1)*8, "")</f>
        <v/>
      </c>
    </row>
    <row r="688">
      <c r="A688">
        <f>SUBSTITUTE(SUBSTITUTE(SUBSTITUTE(SUBSTITUTE(TRIM(INDEX(Реестр!$B:$B,ROW())),CHAR(160),""),CHAR(9),""),CHAR(10),""),CHAR(13),"")</f>
        <v/>
      </c>
      <c r="B688">
        <f>SUBSTITUTE(SUBSTITUTE(SUBSTITUTE(SUBSTITUTE(SUBSTITUTE(SUBSTITUTE(SUBSTITUTE(TRIM(INDEX(Реестр!$D:$D, ROW())), "-", ""), " ", ""), CHAR(160), ""), CHAR(9), ""), CHAR(10), ""), CHAR(13), ""), CHAR(32), "")</f>
        <v/>
      </c>
      <c r="C688">
        <f>INDEX(Реестр!$H:$H, ROW())</f>
        <v/>
      </c>
      <c r="D688">
        <f>IF(OR(ISBLANK(INDEX(Реестр!$B:$B, ROW())), INDEX(Реестр!$B:$B, ROW())=""), " ", IF(IFERROR(ISNUMBER(--A688),FALSE), IF(LEN(A688)=10, IF(MOD(MOD(H688,11),10)=--RIGHT(A688,1), "OK", "ОШИБКА"), IF(LEN(A688)=12, IF(AND(MOD(MOD(H688,11),10)=--MID(A688,11,1), MOD(MOD(I688,11),10)=--RIGHT(A688,1)), "OK", "ОШИБКА"), "ДЛИНА (10 или 12)")), "НЕ ЦИФРЫ"))</f>
        <v/>
      </c>
      <c r="E688">
        <f>MID(B688,1,1)*9+MID(B688,2,1)*8+MID(B688,3,1)*7+MID(B688,4,1)*6+MID(B688,5,1)*5+MID(B688,6,1)*4+MID(B688,7,1)*3+MID(B688,8,1)*2+MID(B688,9,1)</f>
        <v/>
      </c>
      <c r="F688">
        <f>IF(B688="", " ", IF(LEN(B688)&lt;&gt;11, "ДЛИНА", IF(NOT(ISNUMBER(--B688)), "НЕ ЦИФРЫ", IF(LEFT(B688,9)*1&lt;=1001998, "OK", IF(RIGHT(B688,2)*1=IF(MOD(E688,101)&gt;=100,0,MOD(E688,101)),"OK","ОШИБКА")))))</f>
        <v/>
      </c>
      <c r="G6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8">
        <f>IF(LEN(TRIM(A688))=10, --MID(A688,1,1)*2+--MID(A688,2,1)*4+--MID(A688,3,1)*10+--MID(A688,4,1)*3+--MID(A688,5,1)*5+--MID(A688,6,1)*9+--MID(A688,7,1)*4+--MID(A688,8,1)*6+--MID(A688,9,1)*8, IF(LEN(TRIM(A688))=12, --MID(A688,1,1)*7+--MID(A688,2,1)*2+--MID(A688,3,1)*4+--MID(A688,4,1)*10+--MID(A688,5,1)*3+--MID(A688,6,1)*5+--MID(A688,7,1)*9+--MID(A688,8,1)*4+--MID(A688,9,1)*6+--MID(A688,10,1)*8, ""))</f>
        <v/>
      </c>
      <c r="I688">
        <f>IF(LEN(TRIM(A688))=12, --MID(A688,1,1)*3+--MID(A688,2,1)*7+--MID(A688,3,1)*2+--MID(A688,4,1)*4+--MID(A688,5,1)*10+--MID(A688,6,1)*3+--MID(A688,7,1)*5+--MID(A688,8,1)*9+--MID(A688,9,1)*4+--MID(A688,10,1)*6+--MID(A688,11,1)*8, "")</f>
        <v/>
      </c>
    </row>
    <row r="689">
      <c r="A689">
        <f>SUBSTITUTE(SUBSTITUTE(SUBSTITUTE(SUBSTITUTE(TRIM(INDEX(Реестр!$B:$B,ROW())),CHAR(160),""),CHAR(9),""),CHAR(10),""),CHAR(13),"")</f>
        <v/>
      </c>
      <c r="B689">
        <f>SUBSTITUTE(SUBSTITUTE(SUBSTITUTE(SUBSTITUTE(SUBSTITUTE(SUBSTITUTE(SUBSTITUTE(TRIM(INDEX(Реестр!$D:$D, ROW())), "-", ""), " ", ""), CHAR(160), ""), CHAR(9), ""), CHAR(10), ""), CHAR(13), ""), CHAR(32), "")</f>
        <v/>
      </c>
      <c r="C689">
        <f>INDEX(Реестр!$H:$H, ROW())</f>
        <v/>
      </c>
      <c r="D689">
        <f>IF(OR(ISBLANK(INDEX(Реестр!$B:$B, ROW())), INDEX(Реестр!$B:$B, ROW())=""), " ", IF(IFERROR(ISNUMBER(--A689),FALSE), IF(LEN(A689)=10, IF(MOD(MOD(H689,11),10)=--RIGHT(A689,1), "OK", "ОШИБКА"), IF(LEN(A689)=12, IF(AND(MOD(MOD(H689,11),10)=--MID(A689,11,1), MOD(MOD(I689,11),10)=--RIGHT(A689,1)), "OK", "ОШИБКА"), "ДЛИНА (10 или 12)")), "НЕ ЦИФРЫ"))</f>
        <v/>
      </c>
      <c r="E689">
        <f>MID(B689,1,1)*9+MID(B689,2,1)*8+MID(B689,3,1)*7+MID(B689,4,1)*6+MID(B689,5,1)*5+MID(B689,6,1)*4+MID(B689,7,1)*3+MID(B689,8,1)*2+MID(B689,9,1)</f>
        <v/>
      </c>
      <c r="F689">
        <f>IF(B689="", " ", IF(LEN(B689)&lt;&gt;11, "ДЛИНА", IF(NOT(ISNUMBER(--B689)), "НЕ ЦИФРЫ", IF(LEFT(B689,9)*1&lt;=1001998, "OK", IF(RIGHT(B689,2)*1=IF(MOD(E689,101)&gt;=100,0,MOD(E689,101)),"OK","ОШИБКА")))))</f>
        <v/>
      </c>
      <c r="G6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89">
        <f>IF(LEN(TRIM(A689))=10, --MID(A689,1,1)*2+--MID(A689,2,1)*4+--MID(A689,3,1)*10+--MID(A689,4,1)*3+--MID(A689,5,1)*5+--MID(A689,6,1)*9+--MID(A689,7,1)*4+--MID(A689,8,1)*6+--MID(A689,9,1)*8, IF(LEN(TRIM(A689))=12, --MID(A689,1,1)*7+--MID(A689,2,1)*2+--MID(A689,3,1)*4+--MID(A689,4,1)*10+--MID(A689,5,1)*3+--MID(A689,6,1)*5+--MID(A689,7,1)*9+--MID(A689,8,1)*4+--MID(A689,9,1)*6+--MID(A689,10,1)*8, ""))</f>
        <v/>
      </c>
      <c r="I689">
        <f>IF(LEN(TRIM(A689))=12, --MID(A689,1,1)*3+--MID(A689,2,1)*7+--MID(A689,3,1)*2+--MID(A689,4,1)*4+--MID(A689,5,1)*10+--MID(A689,6,1)*3+--MID(A689,7,1)*5+--MID(A689,8,1)*9+--MID(A689,9,1)*4+--MID(A689,10,1)*6+--MID(A689,11,1)*8, "")</f>
        <v/>
      </c>
    </row>
    <row r="690">
      <c r="A690">
        <f>SUBSTITUTE(SUBSTITUTE(SUBSTITUTE(SUBSTITUTE(TRIM(INDEX(Реестр!$B:$B,ROW())),CHAR(160),""),CHAR(9),""),CHAR(10),""),CHAR(13),"")</f>
        <v/>
      </c>
      <c r="B690">
        <f>SUBSTITUTE(SUBSTITUTE(SUBSTITUTE(SUBSTITUTE(SUBSTITUTE(SUBSTITUTE(SUBSTITUTE(TRIM(INDEX(Реестр!$D:$D, ROW())), "-", ""), " ", ""), CHAR(160), ""), CHAR(9), ""), CHAR(10), ""), CHAR(13), ""), CHAR(32), "")</f>
        <v/>
      </c>
      <c r="C690">
        <f>INDEX(Реестр!$H:$H, ROW())</f>
        <v/>
      </c>
      <c r="D690">
        <f>IF(OR(ISBLANK(INDEX(Реестр!$B:$B, ROW())), INDEX(Реестр!$B:$B, ROW())=""), " ", IF(IFERROR(ISNUMBER(--A690),FALSE), IF(LEN(A690)=10, IF(MOD(MOD(H690,11),10)=--RIGHT(A690,1), "OK", "ОШИБКА"), IF(LEN(A690)=12, IF(AND(MOD(MOD(H690,11),10)=--MID(A690,11,1), MOD(MOD(I690,11),10)=--RIGHT(A690,1)), "OK", "ОШИБКА"), "ДЛИНА (10 или 12)")), "НЕ ЦИФРЫ"))</f>
        <v/>
      </c>
      <c r="E690">
        <f>MID(B690,1,1)*9+MID(B690,2,1)*8+MID(B690,3,1)*7+MID(B690,4,1)*6+MID(B690,5,1)*5+MID(B690,6,1)*4+MID(B690,7,1)*3+MID(B690,8,1)*2+MID(B690,9,1)</f>
        <v/>
      </c>
      <c r="F690">
        <f>IF(B690="", " ", IF(LEN(B690)&lt;&gt;11, "ДЛИНА", IF(NOT(ISNUMBER(--B690)), "НЕ ЦИФРЫ", IF(LEFT(B690,9)*1&lt;=1001998, "OK", IF(RIGHT(B690,2)*1=IF(MOD(E690,101)&gt;=100,0,MOD(E690,101)),"OK","ОШИБКА")))))</f>
        <v/>
      </c>
      <c r="G6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0">
        <f>IF(LEN(TRIM(A690))=10, --MID(A690,1,1)*2+--MID(A690,2,1)*4+--MID(A690,3,1)*10+--MID(A690,4,1)*3+--MID(A690,5,1)*5+--MID(A690,6,1)*9+--MID(A690,7,1)*4+--MID(A690,8,1)*6+--MID(A690,9,1)*8, IF(LEN(TRIM(A690))=12, --MID(A690,1,1)*7+--MID(A690,2,1)*2+--MID(A690,3,1)*4+--MID(A690,4,1)*10+--MID(A690,5,1)*3+--MID(A690,6,1)*5+--MID(A690,7,1)*9+--MID(A690,8,1)*4+--MID(A690,9,1)*6+--MID(A690,10,1)*8, ""))</f>
        <v/>
      </c>
      <c r="I690">
        <f>IF(LEN(TRIM(A690))=12, --MID(A690,1,1)*3+--MID(A690,2,1)*7+--MID(A690,3,1)*2+--MID(A690,4,1)*4+--MID(A690,5,1)*10+--MID(A690,6,1)*3+--MID(A690,7,1)*5+--MID(A690,8,1)*9+--MID(A690,9,1)*4+--MID(A690,10,1)*6+--MID(A690,11,1)*8, "")</f>
        <v/>
      </c>
    </row>
    <row r="691">
      <c r="A691">
        <f>SUBSTITUTE(SUBSTITUTE(SUBSTITUTE(SUBSTITUTE(TRIM(INDEX(Реестр!$B:$B,ROW())),CHAR(160),""),CHAR(9),""),CHAR(10),""),CHAR(13),"")</f>
        <v/>
      </c>
      <c r="B691">
        <f>SUBSTITUTE(SUBSTITUTE(SUBSTITUTE(SUBSTITUTE(SUBSTITUTE(SUBSTITUTE(SUBSTITUTE(TRIM(INDEX(Реестр!$D:$D, ROW())), "-", ""), " ", ""), CHAR(160), ""), CHAR(9), ""), CHAR(10), ""), CHAR(13), ""), CHAR(32), "")</f>
        <v/>
      </c>
      <c r="C691">
        <f>INDEX(Реестр!$H:$H, ROW())</f>
        <v/>
      </c>
      <c r="D691">
        <f>IF(OR(ISBLANK(INDEX(Реестр!$B:$B, ROW())), INDEX(Реестр!$B:$B, ROW())=""), " ", IF(IFERROR(ISNUMBER(--A691),FALSE), IF(LEN(A691)=10, IF(MOD(MOD(H691,11),10)=--RIGHT(A691,1), "OK", "ОШИБКА"), IF(LEN(A691)=12, IF(AND(MOD(MOD(H691,11),10)=--MID(A691,11,1), MOD(MOD(I691,11),10)=--RIGHT(A691,1)), "OK", "ОШИБКА"), "ДЛИНА (10 или 12)")), "НЕ ЦИФРЫ"))</f>
        <v/>
      </c>
      <c r="E691">
        <f>MID(B691,1,1)*9+MID(B691,2,1)*8+MID(B691,3,1)*7+MID(B691,4,1)*6+MID(B691,5,1)*5+MID(B691,6,1)*4+MID(B691,7,1)*3+MID(B691,8,1)*2+MID(B691,9,1)</f>
        <v/>
      </c>
      <c r="F691">
        <f>IF(B691="", " ", IF(LEN(B691)&lt;&gt;11, "ДЛИНА", IF(NOT(ISNUMBER(--B691)), "НЕ ЦИФРЫ", IF(LEFT(B691,9)*1&lt;=1001998, "OK", IF(RIGHT(B691,2)*1=IF(MOD(E691,101)&gt;=100,0,MOD(E691,101)),"OK","ОШИБКА")))))</f>
        <v/>
      </c>
      <c r="G6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1">
        <f>IF(LEN(TRIM(A691))=10, --MID(A691,1,1)*2+--MID(A691,2,1)*4+--MID(A691,3,1)*10+--MID(A691,4,1)*3+--MID(A691,5,1)*5+--MID(A691,6,1)*9+--MID(A691,7,1)*4+--MID(A691,8,1)*6+--MID(A691,9,1)*8, IF(LEN(TRIM(A691))=12, --MID(A691,1,1)*7+--MID(A691,2,1)*2+--MID(A691,3,1)*4+--MID(A691,4,1)*10+--MID(A691,5,1)*3+--MID(A691,6,1)*5+--MID(A691,7,1)*9+--MID(A691,8,1)*4+--MID(A691,9,1)*6+--MID(A691,10,1)*8, ""))</f>
        <v/>
      </c>
      <c r="I691">
        <f>IF(LEN(TRIM(A691))=12, --MID(A691,1,1)*3+--MID(A691,2,1)*7+--MID(A691,3,1)*2+--MID(A691,4,1)*4+--MID(A691,5,1)*10+--MID(A691,6,1)*3+--MID(A691,7,1)*5+--MID(A691,8,1)*9+--MID(A691,9,1)*4+--MID(A691,10,1)*6+--MID(A691,11,1)*8, "")</f>
        <v/>
      </c>
    </row>
    <row r="692">
      <c r="A692">
        <f>SUBSTITUTE(SUBSTITUTE(SUBSTITUTE(SUBSTITUTE(TRIM(INDEX(Реестр!$B:$B,ROW())),CHAR(160),""),CHAR(9),""),CHAR(10),""),CHAR(13),"")</f>
        <v/>
      </c>
      <c r="B692">
        <f>SUBSTITUTE(SUBSTITUTE(SUBSTITUTE(SUBSTITUTE(SUBSTITUTE(SUBSTITUTE(SUBSTITUTE(TRIM(INDEX(Реестр!$D:$D, ROW())), "-", ""), " ", ""), CHAR(160), ""), CHAR(9), ""), CHAR(10), ""), CHAR(13), ""), CHAR(32), "")</f>
        <v/>
      </c>
      <c r="C692">
        <f>INDEX(Реестр!$H:$H, ROW())</f>
        <v/>
      </c>
      <c r="D692">
        <f>IF(OR(ISBLANK(INDEX(Реестр!$B:$B, ROW())), INDEX(Реестр!$B:$B, ROW())=""), " ", IF(IFERROR(ISNUMBER(--A692),FALSE), IF(LEN(A692)=10, IF(MOD(MOD(H692,11),10)=--RIGHT(A692,1), "OK", "ОШИБКА"), IF(LEN(A692)=12, IF(AND(MOD(MOD(H692,11),10)=--MID(A692,11,1), MOD(MOD(I692,11),10)=--RIGHT(A692,1)), "OK", "ОШИБКА"), "ДЛИНА (10 или 12)")), "НЕ ЦИФРЫ"))</f>
        <v/>
      </c>
      <c r="E692">
        <f>MID(B692,1,1)*9+MID(B692,2,1)*8+MID(B692,3,1)*7+MID(B692,4,1)*6+MID(B692,5,1)*5+MID(B692,6,1)*4+MID(B692,7,1)*3+MID(B692,8,1)*2+MID(B692,9,1)</f>
        <v/>
      </c>
      <c r="F692">
        <f>IF(B692="", " ", IF(LEN(B692)&lt;&gt;11, "ДЛИНА", IF(NOT(ISNUMBER(--B692)), "НЕ ЦИФРЫ", IF(LEFT(B692,9)*1&lt;=1001998, "OK", IF(RIGHT(B692,2)*1=IF(MOD(E692,101)&gt;=100,0,MOD(E692,101)),"OK","ОШИБКА")))))</f>
        <v/>
      </c>
      <c r="G6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2">
        <f>IF(LEN(TRIM(A692))=10, --MID(A692,1,1)*2+--MID(A692,2,1)*4+--MID(A692,3,1)*10+--MID(A692,4,1)*3+--MID(A692,5,1)*5+--MID(A692,6,1)*9+--MID(A692,7,1)*4+--MID(A692,8,1)*6+--MID(A692,9,1)*8, IF(LEN(TRIM(A692))=12, --MID(A692,1,1)*7+--MID(A692,2,1)*2+--MID(A692,3,1)*4+--MID(A692,4,1)*10+--MID(A692,5,1)*3+--MID(A692,6,1)*5+--MID(A692,7,1)*9+--MID(A692,8,1)*4+--MID(A692,9,1)*6+--MID(A692,10,1)*8, ""))</f>
        <v/>
      </c>
      <c r="I692">
        <f>IF(LEN(TRIM(A692))=12, --MID(A692,1,1)*3+--MID(A692,2,1)*7+--MID(A692,3,1)*2+--MID(A692,4,1)*4+--MID(A692,5,1)*10+--MID(A692,6,1)*3+--MID(A692,7,1)*5+--MID(A692,8,1)*9+--MID(A692,9,1)*4+--MID(A692,10,1)*6+--MID(A692,11,1)*8, "")</f>
        <v/>
      </c>
    </row>
    <row r="693">
      <c r="A693">
        <f>SUBSTITUTE(SUBSTITUTE(SUBSTITUTE(SUBSTITUTE(TRIM(INDEX(Реестр!$B:$B,ROW())),CHAR(160),""),CHAR(9),""),CHAR(10),""),CHAR(13),"")</f>
        <v/>
      </c>
      <c r="B693">
        <f>SUBSTITUTE(SUBSTITUTE(SUBSTITUTE(SUBSTITUTE(SUBSTITUTE(SUBSTITUTE(SUBSTITUTE(TRIM(INDEX(Реестр!$D:$D, ROW())), "-", ""), " ", ""), CHAR(160), ""), CHAR(9), ""), CHAR(10), ""), CHAR(13), ""), CHAR(32), "")</f>
        <v/>
      </c>
      <c r="C693">
        <f>INDEX(Реестр!$H:$H, ROW())</f>
        <v/>
      </c>
      <c r="D693">
        <f>IF(OR(ISBLANK(INDEX(Реестр!$B:$B, ROW())), INDEX(Реестр!$B:$B, ROW())=""), " ", IF(IFERROR(ISNUMBER(--A693),FALSE), IF(LEN(A693)=10, IF(MOD(MOD(H693,11),10)=--RIGHT(A693,1), "OK", "ОШИБКА"), IF(LEN(A693)=12, IF(AND(MOD(MOD(H693,11),10)=--MID(A693,11,1), MOD(MOD(I693,11),10)=--RIGHT(A693,1)), "OK", "ОШИБКА"), "ДЛИНА (10 или 12)")), "НЕ ЦИФРЫ"))</f>
        <v/>
      </c>
      <c r="E693">
        <f>MID(B693,1,1)*9+MID(B693,2,1)*8+MID(B693,3,1)*7+MID(B693,4,1)*6+MID(B693,5,1)*5+MID(B693,6,1)*4+MID(B693,7,1)*3+MID(B693,8,1)*2+MID(B693,9,1)</f>
        <v/>
      </c>
      <c r="F693">
        <f>IF(B693="", " ", IF(LEN(B693)&lt;&gt;11, "ДЛИНА", IF(NOT(ISNUMBER(--B693)), "НЕ ЦИФРЫ", IF(LEFT(B693,9)*1&lt;=1001998, "OK", IF(RIGHT(B693,2)*1=IF(MOD(E693,101)&gt;=100,0,MOD(E693,101)),"OK","ОШИБКА")))))</f>
        <v/>
      </c>
      <c r="G6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3">
        <f>IF(LEN(TRIM(A693))=10, --MID(A693,1,1)*2+--MID(A693,2,1)*4+--MID(A693,3,1)*10+--MID(A693,4,1)*3+--MID(A693,5,1)*5+--MID(A693,6,1)*9+--MID(A693,7,1)*4+--MID(A693,8,1)*6+--MID(A693,9,1)*8, IF(LEN(TRIM(A693))=12, --MID(A693,1,1)*7+--MID(A693,2,1)*2+--MID(A693,3,1)*4+--MID(A693,4,1)*10+--MID(A693,5,1)*3+--MID(A693,6,1)*5+--MID(A693,7,1)*9+--MID(A693,8,1)*4+--MID(A693,9,1)*6+--MID(A693,10,1)*8, ""))</f>
        <v/>
      </c>
      <c r="I693">
        <f>IF(LEN(TRIM(A693))=12, --MID(A693,1,1)*3+--MID(A693,2,1)*7+--MID(A693,3,1)*2+--MID(A693,4,1)*4+--MID(A693,5,1)*10+--MID(A693,6,1)*3+--MID(A693,7,1)*5+--MID(A693,8,1)*9+--MID(A693,9,1)*4+--MID(A693,10,1)*6+--MID(A693,11,1)*8, "")</f>
        <v/>
      </c>
    </row>
    <row r="694">
      <c r="A694">
        <f>SUBSTITUTE(SUBSTITUTE(SUBSTITUTE(SUBSTITUTE(TRIM(INDEX(Реестр!$B:$B,ROW())),CHAR(160),""),CHAR(9),""),CHAR(10),""),CHAR(13),"")</f>
        <v/>
      </c>
      <c r="B694">
        <f>SUBSTITUTE(SUBSTITUTE(SUBSTITUTE(SUBSTITUTE(SUBSTITUTE(SUBSTITUTE(SUBSTITUTE(TRIM(INDEX(Реестр!$D:$D, ROW())), "-", ""), " ", ""), CHAR(160), ""), CHAR(9), ""), CHAR(10), ""), CHAR(13), ""), CHAR(32), "")</f>
        <v/>
      </c>
      <c r="C694">
        <f>INDEX(Реестр!$H:$H, ROW())</f>
        <v/>
      </c>
      <c r="D694">
        <f>IF(OR(ISBLANK(INDEX(Реестр!$B:$B, ROW())), INDEX(Реестр!$B:$B, ROW())=""), " ", IF(IFERROR(ISNUMBER(--A694),FALSE), IF(LEN(A694)=10, IF(MOD(MOD(H694,11),10)=--RIGHT(A694,1), "OK", "ОШИБКА"), IF(LEN(A694)=12, IF(AND(MOD(MOD(H694,11),10)=--MID(A694,11,1), MOD(MOD(I694,11),10)=--RIGHT(A694,1)), "OK", "ОШИБКА"), "ДЛИНА (10 или 12)")), "НЕ ЦИФРЫ"))</f>
        <v/>
      </c>
      <c r="E694">
        <f>MID(B694,1,1)*9+MID(B694,2,1)*8+MID(B694,3,1)*7+MID(B694,4,1)*6+MID(B694,5,1)*5+MID(B694,6,1)*4+MID(B694,7,1)*3+MID(B694,8,1)*2+MID(B694,9,1)</f>
        <v/>
      </c>
      <c r="F694">
        <f>IF(B694="", " ", IF(LEN(B694)&lt;&gt;11, "ДЛИНА", IF(NOT(ISNUMBER(--B694)), "НЕ ЦИФРЫ", IF(LEFT(B694,9)*1&lt;=1001998, "OK", IF(RIGHT(B694,2)*1=IF(MOD(E694,101)&gt;=100,0,MOD(E694,101)),"OK","ОШИБКА")))))</f>
        <v/>
      </c>
      <c r="G6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4">
        <f>IF(LEN(TRIM(A694))=10, --MID(A694,1,1)*2+--MID(A694,2,1)*4+--MID(A694,3,1)*10+--MID(A694,4,1)*3+--MID(A694,5,1)*5+--MID(A694,6,1)*9+--MID(A694,7,1)*4+--MID(A694,8,1)*6+--MID(A694,9,1)*8, IF(LEN(TRIM(A694))=12, --MID(A694,1,1)*7+--MID(A694,2,1)*2+--MID(A694,3,1)*4+--MID(A694,4,1)*10+--MID(A694,5,1)*3+--MID(A694,6,1)*5+--MID(A694,7,1)*9+--MID(A694,8,1)*4+--MID(A694,9,1)*6+--MID(A694,10,1)*8, ""))</f>
        <v/>
      </c>
      <c r="I694">
        <f>IF(LEN(TRIM(A694))=12, --MID(A694,1,1)*3+--MID(A694,2,1)*7+--MID(A694,3,1)*2+--MID(A694,4,1)*4+--MID(A694,5,1)*10+--MID(A694,6,1)*3+--MID(A694,7,1)*5+--MID(A694,8,1)*9+--MID(A694,9,1)*4+--MID(A694,10,1)*6+--MID(A694,11,1)*8, "")</f>
        <v/>
      </c>
    </row>
    <row r="695">
      <c r="A695">
        <f>SUBSTITUTE(SUBSTITUTE(SUBSTITUTE(SUBSTITUTE(TRIM(INDEX(Реестр!$B:$B,ROW())),CHAR(160),""),CHAR(9),""),CHAR(10),""),CHAR(13),"")</f>
        <v/>
      </c>
      <c r="B695">
        <f>SUBSTITUTE(SUBSTITUTE(SUBSTITUTE(SUBSTITUTE(SUBSTITUTE(SUBSTITUTE(SUBSTITUTE(TRIM(INDEX(Реестр!$D:$D, ROW())), "-", ""), " ", ""), CHAR(160), ""), CHAR(9), ""), CHAR(10), ""), CHAR(13), ""), CHAR(32), "")</f>
        <v/>
      </c>
      <c r="C695">
        <f>INDEX(Реестр!$H:$H, ROW())</f>
        <v/>
      </c>
      <c r="D695">
        <f>IF(OR(ISBLANK(INDEX(Реестр!$B:$B, ROW())), INDEX(Реестр!$B:$B, ROW())=""), " ", IF(IFERROR(ISNUMBER(--A695),FALSE), IF(LEN(A695)=10, IF(MOD(MOD(H695,11),10)=--RIGHT(A695,1), "OK", "ОШИБКА"), IF(LEN(A695)=12, IF(AND(MOD(MOD(H695,11),10)=--MID(A695,11,1), MOD(MOD(I695,11),10)=--RIGHT(A695,1)), "OK", "ОШИБКА"), "ДЛИНА (10 или 12)")), "НЕ ЦИФРЫ"))</f>
        <v/>
      </c>
      <c r="E695">
        <f>MID(B695,1,1)*9+MID(B695,2,1)*8+MID(B695,3,1)*7+MID(B695,4,1)*6+MID(B695,5,1)*5+MID(B695,6,1)*4+MID(B695,7,1)*3+MID(B695,8,1)*2+MID(B695,9,1)</f>
        <v/>
      </c>
      <c r="F695">
        <f>IF(B695="", " ", IF(LEN(B695)&lt;&gt;11, "ДЛИНА", IF(NOT(ISNUMBER(--B695)), "НЕ ЦИФРЫ", IF(LEFT(B695,9)*1&lt;=1001998, "OK", IF(RIGHT(B695,2)*1=IF(MOD(E695,101)&gt;=100,0,MOD(E695,101)),"OK","ОШИБКА")))))</f>
        <v/>
      </c>
      <c r="G6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5">
        <f>IF(LEN(TRIM(A695))=10, --MID(A695,1,1)*2+--MID(A695,2,1)*4+--MID(A695,3,1)*10+--MID(A695,4,1)*3+--MID(A695,5,1)*5+--MID(A695,6,1)*9+--MID(A695,7,1)*4+--MID(A695,8,1)*6+--MID(A695,9,1)*8, IF(LEN(TRIM(A695))=12, --MID(A695,1,1)*7+--MID(A695,2,1)*2+--MID(A695,3,1)*4+--MID(A695,4,1)*10+--MID(A695,5,1)*3+--MID(A695,6,1)*5+--MID(A695,7,1)*9+--MID(A695,8,1)*4+--MID(A695,9,1)*6+--MID(A695,10,1)*8, ""))</f>
        <v/>
      </c>
      <c r="I695">
        <f>IF(LEN(TRIM(A695))=12, --MID(A695,1,1)*3+--MID(A695,2,1)*7+--MID(A695,3,1)*2+--MID(A695,4,1)*4+--MID(A695,5,1)*10+--MID(A695,6,1)*3+--MID(A695,7,1)*5+--MID(A695,8,1)*9+--MID(A695,9,1)*4+--MID(A695,10,1)*6+--MID(A695,11,1)*8, "")</f>
        <v/>
      </c>
    </row>
    <row r="696">
      <c r="A696">
        <f>SUBSTITUTE(SUBSTITUTE(SUBSTITUTE(SUBSTITUTE(TRIM(INDEX(Реестр!$B:$B,ROW())),CHAR(160),""),CHAR(9),""),CHAR(10),""),CHAR(13),"")</f>
        <v/>
      </c>
      <c r="B696">
        <f>SUBSTITUTE(SUBSTITUTE(SUBSTITUTE(SUBSTITUTE(SUBSTITUTE(SUBSTITUTE(SUBSTITUTE(TRIM(INDEX(Реестр!$D:$D, ROW())), "-", ""), " ", ""), CHAR(160), ""), CHAR(9), ""), CHAR(10), ""), CHAR(13), ""), CHAR(32), "")</f>
        <v/>
      </c>
      <c r="C696">
        <f>INDEX(Реестр!$H:$H, ROW())</f>
        <v/>
      </c>
      <c r="D696">
        <f>IF(OR(ISBLANK(INDEX(Реестр!$B:$B, ROW())), INDEX(Реестр!$B:$B, ROW())=""), " ", IF(IFERROR(ISNUMBER(--A696),FALSE), IF(LEN(A696)=10, IF(MOD(MOD(H696,11),10)=--RIGHT(A696,1), "OK", "ОШИБКА"), IF(LEN(A696)=12, IF(AND(MOD(MOD(H696,11),10)=--MID(A696,11,1), MOD(MOD(I696,11),10)=--RIGHT(A696,1)), "OK", "ОШИБКА"), "ДЛИНА (10 или 12)")), "НЕ ЦИФРЫ"))</f>
        <v/>
      </c>
      <c r="E696">
        <f>MID(B696,1,1)*9+MID(B696,2,1)*8+MID(B696,3,1)*7+MID(B696,4,1)*6+MID(B696,5,1)*5+MID(B696,6,1)*4+MID(B696,7,1)*3+MID(B696,8,1)*2+MID(B696,9,1)</f>
        <v/>
      </c>
      <c r="F696">
        <f>IF(B696="", " ", IF(LEN(B696)&lt;&gt;11, "ДЛИНА", IF(NOT(ISNUMBER(--B696)), "НЕ ЦИФРЫ", IF(LEFT(B696,9)*1&lt;=1001998, "OK", IF(RIGHT(B696,2)*1=IF(MOD(E696,101)&gt;=100,0,MOD(E696,101)),"OK","ОШИБКА")))))</f>
        <v/>
      </c>
      <c r="G6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6">
        <f>IF(LEN(TRIM(A696))=10, --MID(A696,1,1)*2+--MID(A696,2,1)*4+--MID(A696,3,1)*10+--MID(A696,4,1)*3+--MID(A696,5,1)*5+--MID(A696,6,1)*9+--MID(A696,7,1)*4+--MID(A696,8,1)*6+--MID(A696,9,1)*8, IF(LEN(TRIM(A696))=12, --MID(A696,1,1)*7+--MID(A696,2,1)*2+--MID(A696,3,1)*4+--MID(A696,4,1)*10+--MID(A696,5,1)*3+--MID(A696,6,1)*5+--MID(A696,7,1)*9+--MID(A696,8,1)*4+--MID(A696,9,1)*6+--MID(A696,10,1)*8, ""))</f>
        <v/>
      </c>
      <c r="I696">
        <f>IF(LEN(TRIM(A696))=12, --MID(A696,1,1)*3+--MID(A696,2,1)*7+--MID(A696,3,1)*2+--MID(A696,4,1)*4+--MID(A696,5,1)*10+--MID(A696,6,1)*3+--MID(A696,7,1)*5+--MID(A696,8,1)*9+--MID(A696,9,1)*4+--MID(A696,10,1)*6+--MID(A696,11,1)*8, "")</f>
        <v/>
      </c>
    </row>
    <row r="697">
      <c r="A697">
        <f>SUBSTITUTE(SUBSTITUTE(SUBSTITUTE(SUBSTITUTE(TRIM(INDEX(Реестр!$B:$B,ROW())),CHAR(160),""),CHAR(9),""),CHAR(10),""),CHAR(13),"")</f>
        <v/>
      </c>
      <c r="B697">
        <f>SUBSTITUTE(SUBSTITUTE(SUBSTITUTE(SUBSTITUTE(SUBSTITUTE(SUBSTITUTE(SUBSTITUTE(TRIM(INDEX(Реестр!$D:$D, ROW())), "-", ""), " ", ""), CHAR(160), ""), CHAR(9), ""), CHAR(10), ""), CHAR(13), ""), CHAR(32), "")</f>
        <v/>
      </c>
      <c r="C697">
        <f>INDEX(Реестр!$H:$H, ROW())</f>
        <v/>
      </c>
      <c r="D697">
        <f>IF(OR(ISBLANK(INDEX(Реестр!$B:$B, ROW())), INDEX(Реестр!$B:$B, ROW())=""), " ", IF(IFERROR(ISNUMBER(--A697),FALSE), IF(LEN(A697)=10, IF(MOD(MOD(H697,11),10)=--RIGHT(A697,1), "OK", "ОШИБКА"), IF(LEN(A697)=12, IF(AND(MOD(MOD(H697,11),10)=--MID(A697,11,1), MOD(MOD(I697,11),10)=--RIGHT(A697,1)), "OK", "ОШИБКА"), "ДЛИНА (10 или 12)")), "НЕ ЦИФРЫ"))</f>
        <v/>
      </c>
      <c r="E697">
        <f>MID(B697,1,1)*9+MID(B697,2,1)*8+MID(B697,3,1)*7+MID(B697,4,1)*6+MID(B697,5,1)*5+MID(B697,6,1)*4+MID(B697,7,1)*3+MID(B697,8,1)*2+MID(B697,9,1)</f>
        <v/>
      </c>
      <c r="F697">
        <f>IF(B697="", " ", IF(LEN(B697)&lt;&gt;11, "ДЛИНА", IF(NOT(ISNUMBER(--B697)), "НЕ ЦИФРЫ", IF(LEFT(B697,9)*1&lt;=1001998, "OK", IF(RIGHT(B697,2)*1=IF(MOD(E697,101)&gt;=100,0,MOD(E697,101)),"OK","ОШИБКА")))))</f>
        <v/>
      </c>
      <c r="G6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7">
        <f>IF(LEN(TRIM(A697))=10, --MID(A697,1,1)*2+--MID(A697,2,1)*4+--MID(A697,3,1)*10+--MID(A697,4,1)*3+--MID(A697,5,1)*5+--MID(A697,6,1)*9+--MID(A697,7,1)*4+--MID(A697,8,1)*6+--MID(A697,9,1)*8, IF(LEN(TRIM(A697))=12, --MID(A697,1,1)*7+--MID(A697,2,1)*2+--MID(A697,3,1)*4+--MID(A697,4,1)*10+--MID(A697,5,1)*3+--MID(A697,6,1)*5+--MID(A697,7,1)*9+--MID(A697,8,1)*4+--MID(A697,9,1)*6+--MID(A697,10,1)*8, ""))</f>
        <v/>
      </c>
      <c r="I697">
        <f>IF(LEN(TRIM(A697))=12, --MID(A697,1,1)*3+--MID(A697,2,1)*7+--MID(A697,3,1)*2+--MID(A697,4,1)*4+--MID(A697,5,1)*10+--MID(A697,6,1)*3+--MID(A697,7,1)*5+--MID(A697,8,1)*9+--MID(A697,9,1)*4+--MID(A697,10,1)*6+--MID(A697,11,1)*8, "")</f>
        <v/>
      </c>
    </row>
    <row r="698">
      <c r="A698">
        <f>SUBSTITUTE(SUBSTITUTE(SUBSTITUTE(SUBSTITUTE(TRIM(INDEX(Реестр!$B:$B,ROW())),CHAR(160),""),CHAR(9),""),CHAR(10),""),CHAR(13),"")</f>
        <v/>
      </c>
      <c r="B698">
        <f>SUBSTITUTE(SUBSTITUTE(SUBSTITUTE(SUBSTITUTE(SUBSTITUTE(SUBSTITUTE(SUBSTITUTE(TRIM(INDEX(Реестр!$D:$D, ROW())), "-", ""), " ", ""), CHAR(160), ""), CHAR(9), ""), CHAR(10), ""), CHAR(13), ""), CHAR(32), "")</f>
        <v/>
      </c>
      <c r="C698">
        <f>INDEX(Реестр!$H:$H, ROW())</f>
        <v/>
      </c>
      <c r="D698">
        <f>IF(OR(ISBLANK(INDEX(Реестр!$B:$B, ROW())), INDEX(Реестр!$B:$B, ROW())=""), " ", IF(IFERROR(ISNUMBER(--A698),FALSE), IF(LEN(A698)=10, IF(MOD(MOD(H698,11),10)=--RIGHT(A698,1), "OK", "ОШИБКА"), IF(LEN(A698)=12, IF(AND(MOD(MOD(H698,11),10)=--MID(A698,11,1), MOD(MOD(I698,11),10)=--RIGHT(A698,1)), "OK", "ОШИБКА"), "ДЛИНА (10 или 12)")), "НЕ ЦИФРЫ"))</f>
        <v/>
      </c>
      <c r="E698">
        <f>MID(B698,1,1)*9+MID(B698,2,1)*8+MID(B698,3,1)*7+MID(B698,4,1)*6+MID(B698,5,1)*5+MID(B698,6,1)*4+MID(B698,7,1)*3+MID(B698,8,1)*2+MID(B698,9,1)</f>
        <v/>
      </c>
      <c r="F698">
        <f>IF(B698="", " ", IF(LEN(B698)&lt;&gt;11, "ДЛИНА", IF(NOT(ISNUMBER(--B698)), "НЕ ЦИФРЫ", IF(LEFT(B698,9)*1&lt;=1001998, "OK", IF(RIGHT(B698,2)*1=IF(MOD(E698,101)&gt;=100,0,MOD(E698,101)),"OK","ОШИБКА")))))</f>
        <v/>
      </c>
      <c r="G6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8">
        <f>IF(LEN(TRIM(A698))=10, --MID(A698,1,1)*2+--MID(A698,2,1)*4+--MID(A698,3,1)*10+--MID(A698,4,1)*3+--MID(A698,5,1)*5+--MID(A698,6,1)*9+--MID(A698,7,1)*4+--MID(A698,8,1)*6+--MID(A698,9,1)*8, IF(LEN(TRIM(A698))=12, --MID(A698,1,1)*7+--MID(A698,2,1)*2+--MID(A698,3,1)*4+--MID(A698,4,1)*10+--MID(A698,5,1)*3+--MID(A698,6,1)*5+--MID(A698,7,1)*9+--MID(A698,8,1)*4+--MID(A698,9,1)*6+--MID(A698,10,1)*8, ""))</f>
        <v/>
      </c>
      <c r="I698">
        <f>IF(LEN(TRIM(A698))=12, --MID(A698,1,1)*3+--MID(A698,2,1)*7+--MID(A698,3,1)*2+--MID(A698,4,1)*4+--MID(A698,5,1)*10+--MID(A698,6,1)*3+--MID(A698,7,1)*5+--MID(A698,8,1)*9+--MID(A698,9,1)*4+--MID(A698,10,1)*6+--MID(A698,11,1)*8, "")</f>
        <v/>
      </c>
    </row>
    <row r="699">
      <c r="A699">
        <f>SUBSTITUTE(SUBSTITUTE(SUBSTITUTE(SUBSTITUTE(TRIM(INDEX(Реестр!$B:$B,ROW())),CHAR(160),""),CHAR(9),""),CHAR(10),""),CHAR(13),"")</f>
        <v/>
      </c>
      <c r="B699">
        <f>SUBSTITUTE(SUBSTITUTE(SUBSTITUTE(SUBSTITUTE(SUBSTITUTE(SUBSTITUTE(SUBSTITUTE(TRIM(INDEX(Реестр!$D:$D, ROW())), "-", ""), " ", ""), CHAR(160), ""), CHAR(9), ""), CHAR(10), ""), CHAR(13), ""), CHAR(32), "")</f>
        <v/>
      </c>
      <c r="C699">
        <f>INDEX(Реестр!$H:$H, ROW())</f>
        <v/>
      </c>
      <c r="D699">
        <f>IF(OR(ISBLANK(INDEX(Реестр!$B:$B, ROW())), INDEX(Реестр!$B:$B, ROW())=""), " ", IF(IFERROR(ISNUMBER(--A699),FALSE), IF(LEN(A699)=10, IF(MOD(MOD(H699,11),10)=--RIGHT(A699,1), "OK", "ОШИБКА"), IF(LEN(A699)=12, IF(AND(MOD(MOD(H699,11),10)=--MID(A699,11,1), MOD(MOD(I699,11),10)=--RIGHT(A699,1)), "OK", "ОШИБКА"), "ДЛИНА (10 или 12)")), "НЕ ЦИФРЫ"))</f>
        <v/>
      </c>
      <c r="E699">
        <f>MID(B699,1,1)*9+MID(B699,2,1)*8+MID(B699,3,1)*7+MID(B699,4,1)*6+MID(B699,5,1)*5+MID(B699,6,1)*4+MID(B699,7,1)*3+MID(B699,8,1)*2+MID(B699,9,1)</f>
        <v/>
      </c>
      <c r="F699">
        <f>IF(B699="", " ", IF(LEN(B699)&lt;&gt;11, "ДЛИНА", IF(NOT(ISNUMBER(--B699)), "НЕ ЦИФРЫ", IF(LEFT(B699,9)*1&lt;=1001998, "OK", IF(RIGHT(B699,2)*1=IF(MOD(E699,101)&gt;=100,0,MOD(E699,101)),"OK","ОШИБКА")))))</f>
        <v/>
      </c>
      <c r="G6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699">
        <f>IF(LEN(TRIM(A699))=10, --MID(A699,1,1)*2+--MID(A699,2,1)*4+--MID(A699,3,1)*10+--MID(A699,4,1)*3+--MID(A699,5,1)*5+--MID(A699,6,1)*9+--MID(A699,7,1)*4+--MID(A699,8,1)*6+--MID(A699,9,1)*8, IF(LEN(TRIM(A699))=12, --MID(A699,1,1)*7+--MID(A699,2,1)*2+--MID(A699,3,1)*4+--MID(A699,4,1)*10+--MID(A699,5,1)*3+--MID(A699,6,1)*5+--MID(A699,7,1)*9+--MID(A699,8,1)*4+--MID(A699,9,1)*6+--MID(A699,10,1)*8, ""))</f>
        <v/>
      </c>
      <c r="I699">
        <f>IF(LEN(TRIM(A699))=12, --MID(A699,1,1)*3+--MID(A699,2,1)*7+--MID(A699,3,1)*2+--MID(A699,4,1)*4+--MID(A699,5,1)*10+--MID(A699,6,1)*3+--MID(A699,7,1)*5+--MID(A699,8,1)*9+--MID(A699,9,1)*4+--MID(A699,10,1)*6+--MID(A699,11,1)*8, "")</f>
        <v/>
      </c>
    </row>
    <row r="700">
      <c r="A700">
        <f>SUBSTITUTE(SUBSTITUTE(SUBSTITUTE(SUBSTITUTE(TRIM(INDEX(Реестр!$B:$B,ROW())),CHAR(160),""),CHAR(9),""),CHAR(10),""),CHAR(13),"")</f>
        <v/>
      </c>
      <c r="B700">
        <f>SUBSTITUTE(SUBSTITUTE(SUBSTITUTE(SUBSTITUTE(SUBSTITUTE(SUBSTITUTE(SUBSTITUTE(TRIM(INDEX(Реестр!$D:$D, ROW())), "-", ""), " ", ""), CHAR(160), ""), CHAR(9), ""), CHAR(10), ""), CHAR(13), ""), CHAR(32), "")</f>
        <v/>
      </c>
      <c r="C700">
        <f>INDEX(Реестр!$H:$H, ROW())</f>
        <v/>
      </c>
      <c r="D700">
        <f>IF(OR(ISBLANK(INDEX(Реестр!$B:$B, ROW())), INDEX(Реестр!$B:$B, ROW())=""), " ", IF(IFERROR(ISNUMBER(--A700),FALSE), IF(LEN(A700)=10, IF(MOD(MOD(H700,11),10)=--RIGHT(A700,1), "OK", "ОШИБКА"), IF(LEN(A700)=12, IF(AND(MOD(MOD(H700,11),10)=--MID(A700,11,1), MOD(MOD(I700,11),10)=--RIGHT(A700,1)), "OK", "ОШИБКА"), "ДЛИНА (10 или 12)")), "НЕ ЦИФРЫ"))</f>
        <v/>
      </c>
      <c r="E700">
        <f>MID(B700,1,1)*9+MID(B700,2,1)*8+MID(B700,3,1)*7+MID(B700,4,1)*6+MID(B700,5,1)*5+MID(B700,6,1)*4+MID(B700,7,1)*3+MID(B700,8,1)*2+MID(B700,9,1)</f>
        <v/>
      </c>
      <c r="F700">
        <f>IF(B700="", " ", IF(LEN(B700)&lt;&gt;11, "ДЛИНА", IF(NOT(ISNUMBER(--B700)), "НЕ ЦИФРЫ", IF(LEFT(B700,9)*1&lt;=1001998, "OK", IF(RIGHT(B700,2)*1=IF(MOD(E700,101)&gt;=100,0,MOD(E700,101)),"OK","ОШИБКА")))))</f>
        <v/>
      </c>
      <c r="G7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0">
        <f>IF(LEN(TRIM(A700))=10, --MID(A700,1,1)*2+--MID(A700,2,1)*4+--MID(A700,3,1)*10+--MID(A700,4,1)*3+--MID(A700,5,1)*5+--MID(A700,6,1)*9+--MID(A700,7,1)*4+--MID(A700,8,1)*6+--MID(A700,9,1)*8, IF(LEN(TRIM(A700))=12, --MID(A700,1,1)*7+--MID(A700,2,1)*2+--MID(A700,3,1)*4+--MID(A700,4,1)*10+--MID(A700,5,1)*3+--MID(A700,6,1)*5+--MID(A700,7,1)*9+--MID(A700,8,1)*4+--MID(A700,9,1)*6+--MID(A700,10,1)*8, ""))</f>
        <v/>
      </c>
      <c r="I700">
        <f>IF(LEN(TRIM(A700))=12, --MID(A700,1,1)*3+--MID(A700,2,1)*7+--MID(A700,3,1)*2+--MID(A700,4,1)*4+--MID(A700,5,1)*10+--MID(A700,6,1)*3+--MID(A700,7,1)*5+--MID(A700,8,1)*9+--MID(A700,9,1)*4+--MID(A700,10,1)*6+--MID(A700,11,1)*8, "")</f>
        <v/>
      </c>
    </row>
    <row r="701">
      <c r="A701">
        <f>SUBSTITUTE(SUBSTITUTE(SUBSTITUTE(SUBSTITUTE(TRIM(INDEX(Реестр!$B:$B,ROW())),CHAR(160),""),CHAR(9),""),CHAR(10),""),CHAR(13),"")</f>
        <v/>
      </c>
      <c r="B701">
        <f>SUBSTITUTE(SUBSTITUTE(SUBSTITUTE(SUBSTITUTE(SUBSTITUTE(SUBSTITUTE(SUBSTITUTE(TRIM(INDEX(Реестр!$D:$D, ROW())), "-", ""), " ", ""), CHAR(160), ""), CHAR(9), ""), CHAR(10), ""), CHAR(13), ""), CHAR(32), "")</f>
        <v/>
      </c>
      <c r="C701">
        <f>INDEX(Реестр!$H:$H, ROW())</f>
        <v/>
      </c>
      <c r="D701">
        <f>IF(OR(ISBLANK(INDEX(Реестр!$B:$B, ROW())), INDEX(Реестр!$B:$B, ROW())=""), " ", IF(IFERROR(ISNUMBER(--A701),FALSE), IF(LEN(A701)=10, IF(MOD(MOD(H701,11),10)=--RIGHT(A701,1), "OK", "ОШИБКА"), IF(LEN(A701)=12, IF(AND(MOD(MOD(H701,11),10)=--MID(A701,11,1), MOD(MOD(I701,11),10)=--RIGHT(A701,1)), "OK", "ОШИБКА"), "ДЛИНА (10 или 12)")), "НЕ ЦИФРЫ"))</f>
        <v/>
      </c>
      <c r="E701">
        <f>MID(B701,1,1)*9+MID(B701,2,1)*8+MID(B701,3,1)*7+MID(B701,4,1)*6+MID(B701,5,1)*5+MID(B701,6,1)*4+MID(B701,7,1)*3+MID(B701,8,1)*2+MID(B701,9,1)</f>
        <v/>
      </c>
      <c r="F701">
        <f>IF(B701="", " ", IF(LEN(B701)&lt;&gt;11, "ДЛИНА", IF(NOT(ISNUMBER(--B701)), "НЕ ЦИФРЫ", IF(LEFT(B701,9)*1&lt;=1001998, "OK", IF(RIGHT(B701,2)*1=IF(MOD(E701,101)&gt;=100,0,MOD(E701,101)),"OK","ОШИБКА")))))</f>
        <v/>
      </c>
      <c r="G7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1">
        <f>IF(LEN(TRIM(A701))=10, --MID(A701,1,1)*2+--MID(A701,2,1)*4+--MID(A701,3,1)*10+--MID(A701,4,1)*3+--MID(A701,5,1)*5+--MID(A701,6,1)*9+--MID(A701,7,1)*4+--MID(A701,8,1)*6+--MID(A701,9,1)*8, IF(LEN(TRIM(A701))=12, --MID(A701,1,1)*7+--MID(A701,2,1)*2+--MID(A701,3,1)*4+--MID(A701,4,1)*10+--MID(A701,5,1)*3+--MID(A701,6,1)*5+--MID(A701,7,1)*9+--MID(A701,8,1)*4+--MID(A701,9,1)*6+--MID(A701,10,1)*8, ""))</f>
        <v/>
      </c>
      <c r="I701">
        <f>IF(LEN(TRIM(A701))=12, --MID(A701,1,1)*3+--MID(A701,2,1)*7+--MID(A701,3,1)*2+--MID(A701,4,1)*4+--MID(A701,5,1)*10+--MID(A701,6,1)*3+--MID(A701,7,1)*5+--MID(A701,8,1)*9+--MID(A701,9,1)*4+--MID(A701,10,1)*6+--MID(A701,11,1)*8, "")</f>
        <v/>
      </c>
    </row>
    <row r="702">
      <c r="A702">
        <f>SUBSTITUTE(SUBSTITUTE(SUBSTITUTE(SUBSTITUTE(TRIM(INDEX(Реестр!$B:$B,ROW())),CHAR(160),""),CHAR(9),""),CHAR(10),""),CHAR(13),"")</f>
        <v/>
      </c>
      <c r="B702">
        <f>SUBSTITUTE(SUBSTITUTE(SUBSTITUTE(SUBSTITUTE(SUBSTITUTE(SUBSTITUTE(SUBSTITUTE(TRIM(INDEX(Реестр!$D:$D, ROW())), "-", ""), " ", ""), CHAR(160), ""), CHAR(9), ""), CHAR(10), ""), CHAR(13), ""), CHAR(32), "")</f>
        <v/>
      </c>
      <c r="C702">
        <f>INDEX(Реестр!$H:$H, ROW())</f>
        <v/>
      </c>
      <c r="D702">
        <f>IF(OR(ISBLANK(INDEX(Реестр!$B:$B, ROW())), INDEX(Реестр!$B:$B, ROW())=""), " ", IF(IFERROR(ISNUMBER(--A702),FALSE), IF(LEN(A702)=10, IF(MOD(MOD(H702,11),10)=--RIGHT(A702,1), "OK", "ОШИБКА"), IF(LEN(A702)=12, IF(AND(MOD(MOD(H702,11),10)=--MID(A702,11,1), MOD(MOD(I702,11),10)=--RIGHT(A702,1)), "OK", "ОШИБКА"), "ДЛИНА (10 или 12)")), "НЕ ЦИФРЫ"))</f>
        <v/>
      </c>
      <c r="E702">
        <f>MID(B702,1,1)*9+MID(B702,2,1)*8+MID(B702,3,1)*7+MID(B702,4,1)*6+MID(B702,5,1)*5+MID(B702,6,1)*4+MID(B702,7,1)*3+MID(B702,8,1)*2+MID(B702,9,1)</f>
        <v/>
      </c>
      <c r="F702">
        <f>IF(B702="", " ", IF(LEN(B702)&lt;&gt;11, "ДЛИНА", IF(NOT(ISNUMBER(--B702)), "НЕ ЦИФРЫ", IF(LEFT(B702,9)*1&lt;=1001998, "OK", IF(RIGHT(B702,2)*1=IF(MOD(E702,101)&gt;=100,0,MOD(E702,101)),"OK","ОШИБКА")))))</f>
        <v/>
      </c>
      <c r="G7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2">
        <f>IF(LEN(TRIM(A702))=10, --MID(A702,1,1)*2+--MID(A702,2,1)*4+--MID(A702,3,1)*10+--MID(A702,4,1)*3+--MID(A702,5,1)*5+--MID(A702,6,1)*9+--MID(A702,7,1)*4+--MID(A702,8,1)*6+--MID(A702,9,1)*8, IF(LEN(TRIM(A702))=12, --MID(A702,1,1)*7+--MID(A702,2,1)*2+--MID(A702,3,1)*4+--MID(A702,4,1)*10+--MID(A702,5,1)*3+--MID(A702,6,1)*5+--MID(A702,7,1)*9+--MID(A702,8,1)*4+--MID(A702,9,1)*6+--MID(A702,10,1)*8, ""))</f>
        <v/>
      </c>
      <c r="I702">
        <f>IF(LEN(TRIM(A702))=12, --MID(A702,1,1)*3+--MID(A702,2,1)*7+--MID(A702,3,1)*2+--MID(A702,4,1)*4+--MID(A702,5,1)*10+--MID(A702,6,1)*3+--MID(A702,7,1)*5+--MID(A702,8,1)*9+--MID(A702,9,1)*4+--MID(A702,10,1)*6+--MID(A702,11,1)*8, "")</f>
        <v/>
      </c>
    </row>
    <row r="703">
      <c r="A703">
        <f>SUBSTITUTE(SUBSTITUTE(SUBSTITUTE(SUBSTITUTE(TRIM(INDEX(Реестр!$B:$B,ROW())),CHAR(160),""),CHAR(9),""),CHAR(10),""),CHAR(13),"")</f>
        <v/>
      </c>
      <c r="B703">
        <f>SUBSTITUTE(SUBSTITUTE(SUBSTITUTE(SUBSTITUTE(SUBSTITUTE(SUBSTITUTE(SUBSTITUTE(TRIM(INDEX(Реестр!$D:$D, ROW())), "-", ""), " ", ""), CHAR(160), ""), CHAR(9), ""), CHAR(10), ""), CHAR(13), ""), CHAR(32), "")</f>
        <v/>
      </c>
      <c r="C703">
        <f>INDEX(Реестр!$H:$H, ROW())</f>
        <v/>
      </c>
      <c r="D703">
        <f>IF(OR(ISBLANK(INDEX(Реестр!$B:$B, ROW())), INDEX(Реестр!$B:$B, ROW())=""), " ", IF(IFERROR(ISNUMBER(--A703),FALSE), IF(LEN(A703)=10, IF(MOD(MOD(H703,11),10)=--RIGHT(A703,1), "OK", "ОШИБКА"), IF(LEN(A703)=12, IF(AND(MOD(MOD(H703,11),10)=--MID(A703,11,1), MOD(MOD(I703,11),10)=--RIGHT(A703,1)), "OK", "ОШИБКА"), "ДЛИНА (10 или 12)")), "НЕ ЦИФРЫ"))</f>
        <v/>
      </c>
      <c r="E703">
        <f>MID(B703,1,1)*9+MID(B703,2,1)*8+MID(B703,3,1)*7+MID(B703,4,1)*6+MID(B703,5,1)*5+MID(B703,6,1)*4+MID(B703,7,1)*3+MID(B703,8,1)*2+MID(B703,9,1)</f>
        <v/>
      </c>
      <c r="F703">
        <f>IF(B703="", " ", IF(LEN(B703)&lt;&gt;11, "ДЛИНА", IF(NOT(ISNUMBER(--B703)), "НЕ ЦИФРЫ", IF(LEFT(B703,9)*1&lt;=1001998, "OK", IF(RIGHT(B703,2)*1=IF(MOD(E703,101)&gt;=100,0,MOD(E703,101)),"OK","ОШИБКА")))))</f>
        <v/>
      </c>
      <c r="G7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3">
        <f>IF(LEN(TRIM(A703))=10, --MID(A703,1,1)*2+--MID(A703,2,1)*4+--MID(A703,3,1)*10+--MID(A703,4,1)*3+--MID(A703,5,1)*5+--MID(A703,6,1)*9+--MID(A703,7,1)*4+--MID(A703,8,1)*6+--MID(A703,9,1)*8, IF(LEN(TRIM(A703))=12, --MID(A703,1,1)*7+--MID(A703,2,1)*2+--MID(A703,3,1)*4+--MID(A703,4,1)*10+--MID(A703,5,1)*3+--MID(A703,6,1)*5+--MID(A703,7,1)*9+--MID(A703,8,1)*4+--MID(A703,9,1)*6+--MID(A703,10,1)*8, ""))</f>
        <v/>
      </c>
      <c r="I703">
        <f>IF(LEN(TRIM(A703))=12, --MID(A703,1,1)*3+--MID(A703,2,1)*7+--MID(A703,3,1)*2+--MID(A703,4,1)*4+--MID(A703,5,1)*10+--MID(A703,6,1)*3+--MID(A703,7,1)*5+--MID(A703,8,1)*9+--MID(A703,9,1)*4+--MID(A703,10,1)*6+--MID(A703,11,1)*8, "")</f>
        <v/>
      </c>
    </row>
    <row r="704">
      <c r="A704">
        <f>SUBSTITUTE(SUBSTITUTE(SUBSTITUTE(SUBSTITUTE(TRIM(INDEX(Реестр!$B:$B,ROW())),CHAR(160),""),CHAR(9),""),CHAR(10),""),CHAR(13),"")</f>
        <v/>
      </c>
      <c r="B704">
        <f>SUBSTITUTE(SUBSTITUTE(SUBSTITUTE(SUBSTITUTE(SUBSTITUTE(SUBSTITUTE(SUBSTITUTE(TRIM(INDEX(Реестр!$D:$D, ROW())), "-", ""), " ", ""), CHAR(160), ""), CHAR(9), ""), CHAR(10), ""), CHAR(13), ""), CHAR(32), "")</f>
        <v/>
      </c>
      <c r="C704">
        <f>INDEX(Реестр!$H:$H, ROW())</f>
        <v/>
      </c>
      <c r="D704">
        <f>IF(OR(ISBLANK(INDEX(Реестр!$B:$B, ROW())), INDEX(Реестр!$B:$B, ROW())=""), " ", IF(IFERROR(ISNUMBER(--A704),FALSE), IF(LEN(A704)=10, IF(MOD(MOD(H704,11),10)=--RIGHT(A704,1), "OK", "ОШИБКА"), IF(LEN(A704)=12, IF(AND(MOD(MOD(H704,11),10)=--MID(A704,11,1), MOD(MOD(I704,11),10)=--RIGHT(A704,1)), "OK", "ОШИБКА"), "ДЛИНА (10 или 12)")), "НЕ ЦИФРЫ"))</f>
        <v/>
      </c>
      <c r="E704">
        <f>MID(B704,1,1)*9+MID(B704,2,1)*8+MID(B704,3,1)*7+MID(B704,4,1)*6+MID(B704,5,1)*5+MID(B704,6,1)*4+MID(B704,7,1)*3+MID(B704,8,1)*2+MID(B704,9,1)</f>
        <v/>
      </c>
      <c r="F704">
        <f>IF(B704="", " ", IF(LEN(B704)&lt;&gt;11, "ДЛИНА", IF(NOT(ISNUMBER(--B704)), "НЕ ЦИФРЫ", IF(LEFT(B704,9)*1&lt;=1001998, "OK", IF(RIGHT(B704,2)*1=IF(MOD(E704,101)&gt;=100,0,MOD(E704,101)),"OK","ОШИБКА")))))</f>
        <v/>
      </c>
      <c r="G7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4">
        <f>IF(LEN(TRIM(A704))=10, --MID(A704,1,1)*2+--MID(A704,2,1)*4+--MID(A704,3,1)*10+--MID(A704,4,1)*3+--MID(A704,5,1)*5+--MID(A704,6,1)*9+--MID(A704,7,1)*4+--MID(A704,8,1)*6+--MID(A704,9,1)*8, IF(LEN(TRIM(A704))=12, --MID(A704,1,1)*7+--MID(A704,2,1)*2+--MID(A704,3,1)*4+--MID(A704,4,1)*10+--MID(A704,5,1)*3+--MID(A704,6,1)*5+--MID(A704,7,1)*9+--MID(A704,8,1)*4+--MID(A704,9,1)*6+--MID(A704,10,1)*8, ""))</f>
        <v/>
      </c>
      <c r="I704">
        <f>IF(LEN(TRIM(A704))=12, --MID(A704,1,1)*3+--MID(A704,2,1)*7+--MID(A704,3,1)*2+--MID(A704,4,1)*4+--MID(A704,5,1)*10+--MID(A704,6,1)*3+--MID(A704,7,1)*5+--MID(A704,8,1)*9+--MID(A704,9,1)*4+--MID(A704,10,1)*6+--MID(A704,11,1)*8, "")</f>
        <v/>
      </c>
    </row>
    <row r="705">
      <c r="A705">
        <f>SUBSTITUTE(SUBSTITUTE(SUBSTITUTE(SUBSTITUTE(TRIM(INDEX(Реестр!$B:$B,ROW())),CHAR(160),""),CHAR(9),""),CHAR(10),""),CHAR(13),"")</f>
        <v/>
      </c>
      <c r="B705">
        <f>SUBSTITUTE(SUBSTITUTE(SUBSTITUTE(SUBSTITUTE(SUBSTITUTE(SUBSTITUTE(SUBSTITUTE(TRIM(INDEX(Реестр!$D:$D, ROW())), "-", ""), " ", ""), CHAR(160), ""), CHAR(9), ""), CHAR(10), ""), CHAR(13), ""), CHAR(32), "")</f>
        <v/>
      </c>
      <c r="C705">
        <f>INDEX(Реестр!$H:$H, ROW())</f>
        <v/>
      </c>
      <c r="D705">
        <f>IF(OR(ISBLANK(INDEX(Реестр!$B:$B, ROW())), INDEX(Реестр!$B:$B, ROW())=""), " ", IF(IFERROR(ISNUMBER(--A705),FALSE), IF(LEN(A705)=10, IF(MOD(MOD(H705,11),10)=--RIGHT(A705,1), "OK", "ОШИБКА"), IF(LEN(A705)=12, IF(AND(MOD(MOD(H705,11),10)=--MID(A705,11,1), MOD(MOD(I705,11),10)=--RIGHT(A705,1)), "OK", "ОШИБКА"), "ДЛИНА (10 или 12)")), "НЕ ЦИФРЫ"))</f>
        <v/>
      </c>
      <c r="E705">
        <f>MID(B705,1,1)*9+MID(B705,2,1)*8+MID(B705,3,1)*7+MID(B705,4,1)*6+MID(B705,5,1)*5+MID(B705,6,1)*4+MID(B705,7,1)*3+MID(B705,8,1)*2+MID(B705,9,1)</f>
        <v/>
      </c>
      <c r="F705">
        <f>IF(B705="", " ", IF(LEN(B705)&lt;&gt;11, "ДЛИНА", IF(NOT(ISNUMBER(--B705)), "НЕ ЦИФРЫ", IF(LEFT(B705,9)*1&lt;=1001998, "OK", IF(RIGHT(B705,2)*1=IF(MOD(E705,101)&gt;=100,0,MOD(E705,101)),"OK","ОШИБКА")))))</f>
        <v/>
      </c>
      <c r="G7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5">
        <f>IF(LEN(TRIM(A705))=10, --MID(A705,1,1)*2+--MID(A705,2,1)*4+--MID(A705,3,1)*10+--MID(A705,4,1)*3+--MID(A705,5,1)*5+--MID(A705,6,1)*9+--MID(A705,7,1)*4+--MID(A705,8,1)*6+--MID(A705,9,1)*8, IF(LEN(TRIM(A705))=12, --MID(A705,1,1)*7+--MID(A705,2,1)*2+--MID(A705,3,1)*4+--MID(A705,4,1)*10+--MID(A705,5,1)*3+--MID(A705,6,1)*5+--MID(A705,7,1)*9+--MID(A705,8,1)*4+--MID(A705,9,1)*6+--MID(A705,10,1)*8, ""))</f>
        <v/>
      </c>
      <c r="I705">
        <f>IF(LEN(TRIM(A705))=12, --MID(A705,1,1)*3+--MID(A705,2,1)*7+--MID(A705,3,1)*2+--MID(A705,4,1)*4+--MID(A705,5,1)*10+--MID(A705,6,1)*3+--MID(A705,7,1)*5+--MID(A705,8,1)*9+--MID(A705,9,1)*4+--MID(A705,10,1)*6+--MID(A705,11,1)*8, "")</f>
        <v/>
      </c>
    </row>
    <row r="706">
      <c r="A706">
        <f>SUBSTITUTE(SUBSTITUTE(SUBSTITUTE(SUBSTITUTE(TRIM(INDEX(Реестр!$B:$B,ROW())),CHAR(160),""),CHAR(9),""),CHAR(10),""),CHAR(13),"")</f>
        <v/>
      </c>
      <c r="B706">
        <f>SUBSTITUTE(SUBSTITUTE(SUBSTITUTE(SUBSTITUTE(SUBSTITUTE(SUBSTITUTE(SUBSTITUTE(TRIM(INDEX(Реестр!$D:$D, ROW())), "-", ""), " ", ""), CHAR(160), ""), CHAR(9), ""), CHAR(10), ""), CHAR(13), ""), CHAR(32), "")</f>
        <v/>
      </c>
      <c r="C706">
        <f>INDEX(Реестр!$H:$H, ROW())</f>
        <v/>
      </c>
      <c r="D706">
        <f>IF(OR(ISBLANK(INDEX(Реестр!$B:$B, ROW())), INDEX(Реестр!$B:$B, ROW())=""), " ", IF(IFERROR(ISNUMBER(--A706),FALSE), IF(LEN(A706)=10, IF(MOD(MOD(H706,11),10)=--RIGHT(A706,1), "OK", "ОШИБКА"), IF(LEN(A706)=12, IF(AND(MOD(MOD(H706,11),10)=--MID(A706,11,1), MOD(MOD(I706,11),10)=--RIGHT(A706,1)), "OK", "ОШИБКА"), "ДЛИНА (10 или 12)")), "НЕ ЦИФРЫ"))</f>
        <v/>
      </c>
      <c r="E706">
        <f>MID(B706,1,1)*9+MID(B706,2,1)*8+MID(B706,3,1)*7+MID(B706,4,1)*6+MID(B706,5,1)*5+MID(B706,6,1)*4+MID(B706,7,1)*3+MID(B706,8,1)*2+MID(B706,9,1)</f>
        <v/>
      </c>
      <c r="F706">
        <f>IF(B706="", " ", IF(LEN(B706)&lt;&gt;11, "ДЛИНА", IF(NOT(ISNUMBER(--B706)), "НЕ ЦИФРЫ", IF(LEFT(B706,9)*1&lt;=1001998, "OK", IF(RIGHT(B706,2)*1=IF(MOD(E706,101)&gt;=100,0,MOD(E706,101)),"OK","ОШИБКА")))))</f>
        <v/>
      </c>
      <c r="G7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6">
        <f>IF(LEN(TRIM(A706))=10, --MID(A706,1,1)*2+--MID(A706,2,1)*4+--MID(A706,3,1)*10+--MID(A706,4,1)*3+--MID(A706,5,1)*5+--MID(A706,6,1)*9+--MID(A706,7,1)*4+--MID(A706,8,1)*6+--MID(A706,9,1)*8, IF(LEN(TRIM(A706))=12, --MID(A706,1,1)*7+--MID(A706,2,1)*2+--MID(A706,3,1)*4+--MID(A706,4,1)*10+--MID(A706,5,1)*3+--MID(A706,6,1)*5+--MID(A706,7,1)*9+--MID(A706,8,1)*4+--MID(A706,9,1)*6+--MID(A706,10,1)*8, ""))</f>
        <v/>
      </c>
      <c r="I706">
        <f>IF(LEN(TRIM(A706))=12, --MID(A706,1,1)*3+--MID(A706,2,1)*7+--MID(A706,3,1)*2+--MID(A706,4,1)*4+--MID(A706,5,1)*10+--MID(A706,6,1)*3+--MID(A706,7,1)*5+--MID(A706,8,1)*9+--MID(A706,9,1)*4+--MID(A706,10,1)*6+--MID(A706,11,1)*8, "")</f>
        <v/>
      </c>
    </row>
    <row r="707">
      <c r="A707">
        <f>SUBSTITUTE(SUBSTITUTE(SUBSTITUTE(SUBSTITUTE(TRIM(INDEX(Реестр!$B:$B,ROW())),CHAR(160),""),CHAR(9),""),CHAR(10),""),CHAR(13),"")</f>
        <v/>
      </c>
      <c r="B707">
        <f>SUBSTITUTE(SUBSTITUTE(SUBSTITUTE(SUBSTITUTE(SUBSTITUTE(SUBSTITUTE(SUBSTITUTE(TRIM(INDEX(Реестр!$D:$D, ROW())), "-", ""), " ", ""), CHAR(160), ""), CHAR(9), ""), CHAR(10), ""), CHAR(13), ""), CHAR(32), "")</f>
        <v/>
      </c>
      <c r="C707">
        <f>INDEX(Реестр!$H:$H, ROW())</f>
        <v/>
      </c>
      <c r="D707">
        <f>IF(OR(ISBLANK(INDEX(Реестр!$B:$B, ROW())), INDEX(Реестр!$B:$B, ROW())=""), " ", IF(IFERROR(ISNUMBER(--A707),FALSE), IF(LEN(A707)=10, IF(MOD(MOD(H707,11),10)=--RIGHT(A707,1), "OK", "ОШИБКА"), IF(LEN(A707)=12, IF(AND(MOD(MOD(H707,11),10)=--MID(A707,11,1), MOD(MOD(I707,11),10)=--RIGHT(A707,1)), "OK", "ОШИБКА"), "ДЛИНА (10 или 12)")), "НЕ ЦИФРЫ"))</f>
        <v/>
      </c>
      <c r="E707">
        <f>MID(B707,1,1)*9+MID(B707,2,1)*8+MID(B707,3,1)*7+MID(B707,4,1)*6+MID(B707,5,1)*5+MID(B707,6,1)*4+MID(B707,7,1)*3+MID(B707,8,1)*2+MID(B707,9,1)</f>
        <v/>
      </c>
      <c r="F707">
        <f>IF(B707="", " ", IF(LEN(B707)&lt;&gt;11, "ДЛИНА", IF(NOT(ISNUMBER(--B707)), "НЕ ЦИФРЫ", IF(LEFT(B707,9)*1&lt;=1001998, "OK", IF(RIGHT(B707,2)*1=IF(MOD(E707,101)&gt;=100,0,MOD(E707,101)),"OK","ОШИБКА")))))</f>
        <v/>
      </c>
      <c r="G7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7">
        <f>IF(LEN(TRIM(A707))=10, --MID(A707,1,1)*2+--MID(A707,2,1)*4+--MID(A707,3,1)*10+--MID(A707,4,1)*3+--MID(A707,5,1)*5+--MID(A707,6,1)*9+--MID(A707,7,1)*4+--MID(A707,8,1)*6+--MID(A707,9,1)*8, IF(LEN(TRIM(A707))=12, --MID(A707,1,1)*7+--MID(A707,2,1)*2+--MID(A707,3,1)*4+--MID(A707,4,1)*10+--MID(A707,5,1)*3+--MID(A707,6,1)*5+--MID(A707,7,1)*9+--MID(A707,8,1)*4+--MID(A707,9,1)*6+--MID(A707,10,1)*8, ""))</f>
        <v/>
      </c>
      <c r="I707">
        <f>IF(LEN(TRIM(A707))=12, --MID(A707,1,1)*3+--MID(A707,2,1)*7+--MID(A707,3,1)*2+--MID(A707,4,1)*4+--MID(A707,5,1)*10+--MID(A707,6,1)*3+--MID(A707,7,1)*5+--MID(A707,8,1)*9+--MID(A707,9,1)*4+--MID(A707,10,1)*6+--MID(A707,11,1)*8, "")</f>
        <v/>
      </c>
    </row>
    <row r="708">
      <c r="A708">
        <f>SUBSTITUTE(SUBSTITUTE(SUBSTITUTE(SUBSTITUTE(TRIM(INDEX(Реестр!$B:$B,ROW())),CHAR(160),""),CHAR(9),""),CHAR(10),""),CHAR(13),"")</f>
        <v/>
      </c>
      <c r="B708">
        <f>SUBSTITUTE(SUBSTITUTE(SUBSTITUTE(SUBSTITUTE(SUBSTITUTE(SUBSTITUTE(SUBSTITUTE(TRIM(INDEX(Реестр!$D:$D, ROW())), "-", ""), " ", ""), CHAR(160), ""), CHAR(9), ""), CHAR(10), ""), CHAR(13), ""), CHAR(32), "")</f>
        <v/>
      </c>
      <c r="C708">
        <f>INDEX(Реестр!$H:$H, ROW())</f>
        <v/>
      </c>
      <c r="D708">
        <f>IF(OR(ISBLANK(INDEX(Реестр!$B:$B, ROW())), INDEX(Реестр!$B:$B, ROW())=""), " ", IF(IFERROR(ISNUMBER(--A708),FALSE), IF(LEN(A708)=10, IF(MOD(MOD(H708,11),10)=--RIGHT(A708,1), "OK", "ОШИБКА"), IF(LEN(A708)=12, IF(AND(MOD(MOD(H708,11),10)=--MID(A708,11,1), MOD(MOD(I708,11),10)=--RIGHT(A708,1)), "OK", "ОШИБКА"), "ДЛИНА (10 или 12)")), "НЕ ЦИФРЫ"))</f>
        <v/>
      </c>
      <c r="E708">
        <f>MID(B708,1,1)*9+MID(B708,2,1)*8+MID(B708,3,1)*7+MID(B708,4,1)*6+MID(B708,5,1)*5+MID(B708,6,1)*4+MID(B708,7,1)*3+MID(B708,8,1)*2+MID(B708,9,1)</f>
        <v/>
      </c>
      <c r="F708">
        <f>IF(B708="", " ", IF(LEN(B708)&lt;&gt;11, "ДЛИНА", IF(NOT(ISNUMBER(--B708)), "НЕ ЦИФРЫ", IF(LEFT(B708,9)*1&lt;=1001998, "OK", IF(RIGHT(B708,2)*1=IF(MOD(E708,101)&gt;=100,0,MOD(E708,101)),"OK","ОШИБКА")))))</f>
        <v/>
      </c>
      <c r="G7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8">
        <f>IF(LEN(TRIM(A708))=10, --MID(A708,1,1)*2+--MID(A708,2,1)*4+--MID(A708,3,1)*10+--MID(A708,4,1)*3+--MID(A708,5,1)*5+--MID(A708,6,1)*9+--MID(A708,7,1)*4+--MID(A708,8,1)*6+--MID(A708,9,1)*8, IF(LEN(TRIM(A708))=12, --MID(A708,1,1)*7+--MID(A708,2,1)*2+--MID(A708,3,1)*4+--MID(A708,4,1)*10+--MID(A708,5,1)*3+--MID(A708,6,1)*5+--MID(A708,7,1)*9+--MID(A708,8,1)*4+--MID(A708,9,1)*6+--MID(A708,10,1)*8, ""))</f>
        <v/>
      </c>
      <c r="I708">
        <f>IF(LEN(TRIM(A708))=12, --MID(A708,1,1)*3+--MID(A708,2,1)*7+--MID(A708,3,1)*2+--MID(A708,4,1)*4+--MID(A708,5,1)*10+--MID(A708,6,1)*3+--MID(A708,7,1)*5+--MID(A708,8,1)*9+--MID(A708,9,1)*4+--MID(A708,10,1)*6+--MID(A708,11,1)*8, "")</f>
        <v/>
      </c>
    </row>
    <row r="709">
      <c r="A709">
        <f>SUBSTITUTE(SUBSTITUTE(SUBSTITUTE(SUBSTITUTE(TRIM(INDEX(Реестр!$B:$B,ROW())),CHAR(160),""),CHAR(9),""),CHAR(10),""),CHAR(13),"")</f>
        <v/>
      </c>
      <c r="B709">
        <f>SUBSTITUTE(SUBSTITUTE(SUBSTITUTE(SUBSTITUTE(SUBSTITUTE(SUBSTITUTE(SUBSTITUTE(TRIM(INDEX(Реестр!$D:$D, ROW())), "-", ""), " ", ""), CHAR(160), ""), CHAR(9), ""), CHAR(10), ""), CHAR(13), ""), CHAR(32), "")</f>
        <v/>
      </c>
      <c r="C709">
        <f>INDEX(Реестр!$H:$H, ROW())</f>
        <v/>
      </c>
      <c r="D709">
        <f>IF(OR(ISBLANK(INDEX(Реестр!$B:$B, ROW())), INDEX(Реестр!$B:$B, ROW())=""), " ", IF(IFERROR(ISNUMBER(--A709),FALSE), IF(LEN(A709)=10, IF(MOD(MOD(H709,11),10)=--RIGHT(A709,1), "OK", "ОШИБКА"), IF(LEN(A709)=12, IF(AND(MOD(MOD(H709,11),10)=--MID(A709,11,1), MOD(MOD(I709,11),10)=--RIGHT(A709,1)), "OK", "ОШИБКА"), "ДЛИНА (10 или 12)")), "НЕ ЦИФРЫ"))</f>
        <v/>
      </c>
      <c r="E709">
        <f>MID(B709,1,1)*9+MID(B709,2,1)*8+MID(B709,3,1)*7+MID(B709,4,1)*6+MID(B709,5,1)*5+MID(B709,6,1)*4+MID(B709,7,1)*3+MID(B709,8,1)*2+MID(B709,9,1)</f>
        <v/>
      </c>
      <c r="F709">
        <f>IF(B709="", " ", IF(LEN(B709)&lt;&gt;11, "ДЛИНА", IF(NOT(ISNUMBER(--B709)), "НЕ ЦИФРЫ", IF(LEFT(B709,9)*1&lt;=1001998, "OK", IF(RIGHT(B709,2)*1=IF(MOD(E709,101)&gt;=100,0,MOD(E709,101)),"OK","ОШИБКА")))))</f>
        <v/>
      </c>
      <c r="G7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09">
        <f>IF(LEN(TRIM(A709))=10, --MID(A709,1,1)*2+--MID(A709,2,1)*4+--MID(A709,3,1)*10+--MID(A709,4,1)*3+--MID(A709,5,1)*5+--MID(A709,6,1)*9+--MID(A709,7,1)*4+--MID(A709,8,1)*6+--MID(A709,9,1)*8, IF(LEN(TRIM(A709))=12, --MID(A709,1,1)*7+--MID(A709,2,1)*2+--MID(A709,3,1)*4+--MID(A709,4,1)*10+--MID(A709,5,1)*3+--MID(A709,6,1)*5+--MID(A709,7,1)*9+--MID(A709,8,1)*4+--MID(A709,9,1)*6+--MID(A709,10,1)*8, ""))</f>
        <v/>
      </c>
      <c r="I709">
        <f>IF(LEN(TRIM(A709))=12, --MID(A709,1,1)*3+--MID(A709,2,1)*7+--MID(A709,3,1)*2+--MID(A709,4,1)*4+--MID(A709,5,1)*10+--MID(A709,6,1)*3+--MID(A709,7,1)*5+--MID(A709,8,1)*9+--MID(A709,9,1)*4+--MID(A709,10,1)*6+--MID(A709,11,1)*8, "")</f>
        <v/>
      </c>
    </row>
    <row r="710">
      <c r="A710">
        <f>SUBSTITUTE(SUBSTITUTE(SUBSTITUTE(SUBSTITUTE(TRIM(INDEX(Реестр!$B:$B,ROW())),CHAR(160),""),CHAR(9),""),CHAR(10),""),CHAR(13),"")</f>
        <v/>
      </c>
      <c r="B710">
        <f>SUBSTITUTE(SUBSTITUTE(SUBSTITUTE(SUBSTITUTE(SUBSTITUTE(SUBSTITUTE(SUBSTITUTE(TRIM(INDEX(Реестр!$D:$D, ROW())), "-", ""), " ", ""), CHAR(160), ""), CHAR(9), ""), CHAR(10), ""), CHAR(13), ""), CHAR(32), "")</f>
        <v/>
      </c>
      <c r="C710">
        <f>INDEX(Реестр!$H:$H, ROW())</f>
        <v/>
      </c>
      <c r="D710">
        <f>IF(OR(ISBLANK(INDEX(Реестр!$B:$B, ROW())), INDEX(Реестр!$B:$B, ROW())=""), " ", IF(IFERROR(ISNUMBER(--A710),FALSE), IF(LEN(A710)=10, IF(MOD(MOD(H710,11),10)=--RIGHT(A710,1), "OK", "ОШИБКА"), IF(LEN(A710)=12, IF(AND(MOD(MOD(H710,11),10)=--MID(A710,11,1), MOD(MOD(I710,11),10)=--RIGHT(A710,1)), "OK", "ОШИБКА"), "ДЛИНА (10 или 12)")), "НЕ ЦИФРЫ"))</f>
        <v/>
      </c>
      <c r="E710">
        <f>MID(B710,1,1)*9+MID(B710,2,1)*8+MID(B710,3,1)*7+MID(B710,4,1)*6+MID(B710,5,1)*5+MID(B710,6,1)*4+MID(B710,7,1)*3+MID(B710,8,1)*2+MID(B710,9,1)</f>
        <v/>
      </c>
      <c r="F710">
        <f>IF(B710="", " ", IF(LEN(B710)&lt;&gt;11, "ДЛИНА", IF(NOT(ISNUMBER(--B710)), "НЕ ЦИФРЫ", IF(LEFT(B710,9)*1&lt;=1001998, "OK", IF(RIGHT(B710,2)*1=IF(MOD(E710,101)&gt;=100,0,MOD(E710,101)),"OK","ОШИБКА")))))</f>
        <v/>
      </c>
      <c r="G7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0">
        <f>IF(LEN(TRIM(A710))=10, --MID(A710,1,1)*2+--MID(A710,2,1)*4+--MID(A710,3,1)*10+--MID(A710,4,1)*3+--MID(A710,5,1)*5+--MID(A710,6,1)*9+--MID(A710,7,1)*4+--MID(A710,8,1)*6+--MID(A710,9,1)*8, IF(LEN(TRIM(A710))=12, --MID(A710,1,1)*7+--MID(A710,2,1)*2+--MID(A710,3,1)*4+--MID(A710,4,1)*10+--MID(A710,5,1)*3+--MID(A710,6,1)*5+--MID(A710,7,1)*9+--MID(A710,8,1)*4+--MID(A710,9,1)*6+--MID(A710,10,1)*8, ""))</f>
        <v/>
      </c>
      <c r="I710">
        <f>IF(LEN(TRIM(A710))=12, --MID(A710,1,1)*3+--MID(A710,2,1)*7+--MID(A710,3,1)*2+--MID(A710,4,1)*4+--MID(A710,5,1)*10+--MID(A710,6,1)*3+--MID(A710,7,1)*5+--MID(A710,8,1)*9+--MID(A710,9,1)*4+--MID(A710,10,1)*6+--MID(A710,11,1)*8, "")</f>
        <v/>
      </c>
    </row>
    <row r="711">
      <c r="A711">
        <f>SUBSTITUTE(SUBSTITUTE(SUBSTITUTE(SUBSTITUTE(TRIM(INDEX(Реестр!$B:$B,ROW())),CHAR(160),""),CHAR(9),""),CHAR(10),""),CHAR(13),"")</f>
        <v/>
      </c>
      <c r="B711">
        <f>SUBSTITUTE(SUBSTITUTE(SUBSTITUTE(SUBSTITUTE(SUBSTITUTE(SUBSTITUTE(SUBSTITUTE(TRIM(INDEX(Реестр!$D:$D, ROW())), "-", ""), " ", ""), CHAR(160), ""), CHAR(9), ""), CHAR(10), ""), CHAR(13), ""), CHAR(32), "")</f>
        <v/>
      </c>
      <c r="C711">
        <f>INDEX(Реестр!$H:$H, ROW())</f>
        <v/>
      </c>
      <c r="D711">
        <f>IF(OR(ISBLANK(INDEX(Реестр!$B:$B, ROW())), INDEX(Реестр!$B:$B, ROW())=""), " ", IF(IFERROR(ISNUMBER(--A711),FALSE), IF(LEN(A711)=10, IF(MOD(MOD(H711,11),10)=--RIGHT(A711,1), "OK", "ОШИБКА"), IF(LEN(A711)=12, IF(AND(MOD(MOD(H711,11),10)=--MID(A711,11,1), MOD(MOD(I711,11),10)=--RIGHT(A711,1)), "OK", "ОШИБКА"), "ДЛИНА (10 или 12)")), "НЕ ЦИФРЫ"))</f>
        <v/>
      </c>
      <c r="E711">
        <f>MID(B711,1,1)*9+MID(B711,2,1)*8+MID(B711,3,1)*7+MID(B711,4,1)*6+MID(B711,5,1)*5+MID(B711,6,1)*4+MID(B711,7,1)*3+MID(B711,8,1)*2+MID(B711,9,1)</f>
        <v/>
      </c>
      <c r="F711">
        <f>IF(B711="", " ", IF(LEN(B711)&lt;&gt;11, "ДЛИНА", IF(NOT(ISNUMBER(--B711)), "НЕ ЦИФРЫ", IF(LEFT(B711,9)*1&lt;=1001998, "OK", IF(RIGHT(B711,2)*1=IF(MOD(E711,101)&gt;=100,0,MOD(E711,101)),"OK","ОШИБКА")))))</f>
        <v/>
      </c>
      <c r="G7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1">
        <f>IF(LEN(TRIM(A711))=10, --MID(A711,1,1)*2+--MID(A711,2,1)*4+--MID(A711,3,1)*10+--MID(A711,4,1)*3+--MID(A711,5,1)*5+--MID(A711,6,1)*9+--MID(A711,7,1)*4+--MID(A711,8,1)*6+--MID(A711,9,1)*8, IF(LEN(TRIM(A711))=12, --MID(A711,1,1)*7+--MID(A711,2,1)*2+--MID(A711,3,1)*4+--MID(A711,4,1)*10+--MID(A711,5,1)*3+--MID(A711,6,1)*5+--MID(A711,7,1)*9+--MID(A711,8,1)*4+--MID(A711,9,1)*6+--MID(A711,10,1)*8, ""))</f>
        <v/>
      </c>
      <c r="I711">
        <f>IF(LEN(TRIM(A711))=12, --MID(A711,1,1)*3+--MID(A711,2,1)*7+--MID(A711,3,1)*2+--MID(A711,4,1)*4+--MID(A711,5,1)*10+--MID(A711,6,1)*3+--MID(A711,7,1)*5+--MID(A711,8,1)*9+--MID(A711,9,1)*4+--MID(A711,10,1)*6+--MID(A711,11,1)*8, "")</f>
        <v/>
      </c>
    </row>
    <row r="712">
      <c r="A712">
        <f>SUBSTITUTE(SUBSTITUTE(SUBSTITUTE(SUBSTITUTE(TRIM(INDEX(Реестр!$B:$B,ROW())),CHAR(160),""),CHAR(9),""),CHAR(10),""),CHAR(13),"")</f>
        <v/>
      </c>
      <c r="B712">
        <f>SUBSTITUTE(SUBSTITUTE(SUBSTITUTE(SUBSTITUTE(SUBSTITUTE(SUBSTITUTE(SUBSTITUTE(TRIM(INDEX(Реестр!$D:$D, ROW())), "-", ""), " ", ""), CHAR(160), ""), CHAR(9), ""), CHAR(10), ""), CHAR(13), ""), CHAR(32), "")</f>
        <v/>
      </c>
      <c r="C712">
        <f>INDEX(Реестр!$H:$H, ROW())</f>
        <v/>
      </c>
      <c r="D712">
        <f>IF(OR(ISBLANK(INDEX(Реестр!$B:$B, ROW())), INDEX(Реестр!$B:$B, ROW())=""), " ", IF(IFERROR(ISNUMBER(--A712),FALSE), IF(LEN(A712)=10, IF(MOD(MOD(H712,11),10)=--RIGHT(A712,1), "OK", "ОШИБКА"), IF(LEN(A712)=12, IF(AND(MOD(MOD(H712,11),10)=--MID(A712,11,1), MOD(MOD(I712,11),10)=--RIGHT(A712,1)), "OK", "ОШИБКА"), "ДЛИНА (10 или 12)")), "НЕ ЦИФРЫ"))</f>
        <v/>
      </c>
      <c r="E712">
        <f>MID(B712,1,1)*9+MID(B712,2,1)*8+MID(B712,3,1)*7+MID(B712,4,1)*6+MID(B712,5,1)*5+MID(B712,6,1)*4+MID(B712,7,1)*3+MID(B712,8,1)*2+MID(B712,9,1)</f>
        <v/>
      </c>
      <c r="F712">
        <f>IF(B712="", " ", IF(LEN(B712)&lt;&gt;11, "ДЛИНА", IF(NOT(ISNUMBER(--B712)), "НЕ ЦИФРЫ", IF(LEFT(B712,9)*1&lt;=1001998, "OK", IF(RIGHT(B712,2)*1=IF(MOD(E712,101)&gt;=100,0,MOD(E712,101)),"OK","ОШИБКА")))))</f>
        <v/>
      </c>
      <c r="G7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2">
        <f>IF(LEN(TRIM(A712))=10, --MID(A712,1,1)*2+--MID(A712,2,1)*4+--MID(A712,3,1)*10+--MID(A712,4,1)*3+--MID(A712,5,1)*5+--MID(A712,6,1)*9+--MID(A712,7,1)*4+--MID(A712,8,1)*6+--MID(A712,9,1)*8, IF(LEN(TRIM(A712))=12, --MID(A712,1,1)*7+--MID(A712,2,1)*2+--MID(A712,3,1)*4+--MID(A712,4,1)*10+--MID(A712,5,1)*3+--MID(A712,6,1)*5+--MID(A712,7,1)*9+--MID(A712,8,1)*4+--MID(A712,9,1)*6+--MID(A712,10,1)*8, ""))</f>
        <v/>
      </c>
      <c r="I712">
        <f>IF(LEN(TRIM(A712))=12, --MID(A712,1,1)*3+--MID(A712,2,1)*7+--MID(A712,3,1)*2+--MID(A712,4,1)*4+--MID(A712,5,1)*10+--MID(A712,6,1)*3+--MID(A712,7,1)*5+--MID(A712,8,1)*9+--MID(A712,9,1)*4+--MID(A712,10,1)*6+--MID(A712,11,1)*8, "")</f>
        <v/>
      </c>
    </row>
    <row r="713">
      <c r="A713">
        <f>SUBSTITUTE(SUBSTITUTE(SUBSTITUTE(SUBSTITUTE(TRIM(INDEX(Реестр!$B:$B,ROW())),CHAR(160),""),CHAR(9),""),CHAR(10),""),CHAR(13),"")</f>
        <v/>
      </c>
      <c r="B713">
        <f>SUBSTITUTE(SUBSTITUTE(SUBSTITUTE(SUBSTITUTE(SUBSTITUTE(SUBSTITUTE(SUBSTITUTE(TRIM(INDEX(Реестр!$D:$D, ROW())), "-", ""), " ", ""), CHAR(160), ""), CHAR(9), ""), CHAR(10), ""), CHAR(13), ""), CHAR(32), "")</f>
        <v/>
      </c>
      <c r="C713">
        <f>INDEX(Реестр!$H:$H, ROW())</f>
        <v/>
      </c>
      <c r="D713">
        <f>IF(OR(ISBLANK(INDEX(Реестр!$B:$B, ROW())), INDEX(Реестр!$B:$B, ROW())=""), " ", IF(IFERROR(ISNUMBER(--A713),FALSE), IF(LEN(A713)=10, IF(MOD(MOD(H713,11),10)=--RIGHT(A713,1), "OK", "ОШИБКА"), IF(LEN(A713)=12, IF(AND(MOD(MOD(H713,11),10)=--MID(A713,11,1), MOD(MOD(I713,11),10)=--RIGHT(A713,1)), "OK", "ОШИБКА"), "ДЛИНА (10 или 12)")), "НЕ ЦИФРЫ"))</f>
        <v/>
      </c>
      <c r="E713">
        <f>MID(B713,1,1)*9+MID(B713,2,1)*8+MID(B713,3,1)*7+MID(B713,4,1)*6+MID(B713,5,1)*5+MID(B713,6,1)*4+MID(B713,7,1)*3+MID(B713,8,1)*2+MID(B713,9,1)</f>
        <v/>
      </c>
      <c r="F713">
        <f>IF(B713="", " ", IF(LEN(B713)&lt;&gt;11, "ДЛИНА", IF(NOT(ISNUMBER(--B713)), "НЕ ЦИФРЫ", IF(LEFT(B713,9)*1&lt;=1001998, "OK", IF(RIGHT(B713,2)*1=IF(MOD(E713,101)&gt;=100,0,MOD(E713,101)),"OK","ОШИБКА")))))</f>
        <v/>
      </c>
      <c r="G7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3">
        <f>IF(LEN(TRIM(A713))=10, --MID(A713,1,1)*2+--MID(A713,2,1)*4+--MID(A713,3,1)*10+--MID(A713,4,1)*3+--MID(A713,5,1)*5+--MID(A713,6,1)*9+--MID(A713,7,1)*4+--MID(A713,8,1)*6+--MID(A713,9,1)*8, IF(LEN(TRIM(A713))=12, --MID(A713,1,1)*7+--MID(A713,2,1)*2+--MID(A713,3,1)*4+--MID(A713,4,1)*10+--MID(A713,5,1)*3+--MID(A713,6,1)*5+--MID(A713,7,1)*9+--MID(A713,8,1)*4+--MID(A713,9,1)*6+--MID(A713,10,1)*8, ""))</f>
        <v/>
      </c>
      <c r="I713">
        <f>IF(LEN(TRIM(A713))=12, --MID(A713,1,1)*3+--MID(A713,2,1)*7+--MID(A713,3,1)*2+--MID(A713,4,1)*4+--MID(A713,5,1)*10+--MID(A713,6,1)*3+--MID(A713,7,1)*5+--MID(A713,8,1)*9+--MID(A713,9,1)*4+--MID(A713,10,1)*6+--MID(A713,11,1)*8, "")</f>
        <v/>
      </c>
    </row>
    <row r="714">
      <c r="A714">
        <f>SUBSTITUTE(SUBSTITUTE(SUBSTITUTE(SUBSTITUTE(TRIM(INDEX(Реестр!$B:$B,ROW())),CHAR(160),""),CHAR(9),""),CHAR(10),""),CHAR(13),"")</f>
        <v/>
      </c>
      <c r="B714">
        <f>SUBSTITUTE(SUBSTITUTE(SUBSTITUTE(SUBSTITUTE(SUBSTITUTE(SUBSTITUTE(SUBSTITUTE(TRIM(INDEX(Реестр!$D:$D, ROW())), "-", ""), " ", ""), CHAR(160), ""), CHAR(9), ""), CHAR(10), ""), CHAR(13), ""), CHAR(32), "")</f>
        <v/>
      </c>
      <c r="C714">
        <f>INDEX(Реестр!$H:$H, ROW())</f>
        <v/>
      </c>
      <c r="D714">
        <f>IF(OR(ISBLANK(INDEX(Реестр!$B:$B, ROW())), INDEX(Реестр!$B:$B, ROW())=""), " ", IF(IFERROR(ISNUMBER(--A714),FALSE), IF(LEN(A714)=10, IF(MOD(MOD(H714,11),10)=--RIGHT(A714,1), "OK", "ОШИБКА"), IF(LEN(A714)=12, IF(AND(MOD(MOD(H714,11),10)=--MID(A714,11,1), MOD(MOD(I714,11),10)=--RIGHT(A714,1)), "OK", "ОШИБКА"), "ДЛИНА (10 или 12)")), "НЕ ЦИФРЫ"))</f>
        <v/>
      </c>
      <c r="E714">
        <f>MID(B714,1,1)*9+MID(B714,2,1)*8+MID(B714,3,1)*7+MID(B714,4,1)*6+MID(B714,5,1)*5+MID(B714,6,1)*4+MID(B714,7,1)*3+MID(B714,8,1)*2+MID(B714,9,1)</f>
        <v/>
      </c>
      <c r="F714">
        <f>IF(B714="", " ", IF(LEN(B714)&lt;&gt;11, "ДЛИНА", IF(NOT(ISNUMBER(--B714)), "НЕ ЦИФРЫ", IF(LEFT(B714,9)*1&lt;=1001998, "OK", IF(RIGHT(B714,2)*1=IF(MOD(E714,101)&gt;=100,0,MOD(E714,101)),"OK","ОШИБКА")))))</f>
        <v/>
      </c>
      <c r="G7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4">
        <f>IF(LEN(TRIM(A714))=10, --MID(A714,1,1)*2+--MID(A714,2,1)*4+--MID(A714,3,1)*10+--MID(A714,4,1)*3+--MID(A714,5,1)*5+--MID(A714,6,1)*9+--MID(A714,7,1)*4+--MID(A714,8,1)*6+--MID(A714,9,1)*8, IF(LEN(TRIM(A714))=12, --MID(A714,1,1)*7+--MID(A714,2,1)*2+--MID(A714,3,1)*4+--MID(A714,4,1)*10+--MID(A714,5,1)*3+--MID(A714,6,1)*5+--MID(A714,7,1)*9+--MID(A714,8,1)*4+--MID(A714,9,1)*6+--MID(A714,10,1)*8, ""))</f>
        <v/>
      </c>
      <c r="I714">
        <f>IF(LEN(TRIM(A714))=12, --MID(A714,1,1)*3+--MID(A714,2,1)*7+--MID(A714,3,1)*2+--MID(A714,4,1)*4+--MID(A714,5,1)*10+--MID(A714,6,1)*3+--MID(A714,7,1)*5+--MID(A714,8,1)*9+--MID(A714,9,1)*4+--MID(A714,10,1)*6+--MID(A714,11,1)*8, "")</f>
        <v/>
      </c>
    </row>
    <row r="715">
      <c r="A715">
        <f>SUBSTITUTE(SUBSTITUTE(SUBSTITUTE(SUBSTITUTE(TRIM(INDEX(Реестр!$B:$B,ROW())),CHAR(160),""),CHAR(9),""),CHAR(10),""),CHAR(13),"")</f>
        <v/>
      </c>
      <c r="B715">
        <f>SUBSTITUTE(SUBSTITUTE(SUBSTITUTE(SUBSTITUTE(SUBSTITUTE(SUBSTITUTE(SUBSTITUTE(TRIM(INDEX(Реестр!$D:$D, ROW())), "-", ""), " ", ""), CHAR(160), ""), CHAR(9), ""), CHAR(10), ""), CHAR(13), ""), CHAR(32), "")</f>
        <v/>
      </c>
      <c r="C715">
        <f>INDEX(Реестр!$H:$H, ROW())</f>
        <v/>
      </c>
      <c r="D715">
        <f>IF(OR(ISBLANK(INDEX(Реестр!$B:$B, ROW())), INDEX(Реестр!$B:$B, ROW())=""), " ", IF(IFERROR(ISNUMBER(--A715),FALSE), IF(LEN(A715)=10, IF(MOD(MOD(H715,11),10)=--RIGHT(A715,1), "OK", "ОШИБКА"), IF(LEN(A715)=12, IF(AND(MOD(MOD(H715,11),10)=--MID(A715,11,1), MOD(MOD(I715,11),10)=--RIGHT(A715,1)), "OK", "ОШИБКА"), "ДЛИНА (10 или 12)")), "НЕ ЦИФРЫ"))</f>
        <v/>
      </c>
      <c r="E715">
        <f>MID(B715,1,1)*9+MID(B715,2,1)*8+MID(B715,3,1)*7+MID(B715,4,1)*6+MID(B715,5,1)*5+MID(B715,6,1)*4+MID(B715,7,1)*3+MID(B715,8,1)*2+MID(B715,9,1)</f>
        <v/>
      </c>
      <c r="F715">
        <f>IF(B715="", " ", IF(LEN(B715)&lt;&gt;11, "ДЛИНА", IF(NOT(ISNUMBER(--B715)), "НЕ ЦИФРЫ", IF(LEFT(B715,9)*1&lt;=1001998, "OK", IF(RIGHT(B715,2)*1=IF(MOD(E715,101)&gt;=100,0,MOD(E715,101)),"OK","ОШИБКА")))))</f>
        <v/>
      </c>
      <c r="G7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5">
        <f>IF(LEN(TRIM(A715))=10, --MID(A715,1,1)*2+--MID(A715,2,1)*4+--MID(A715,3,1)*10+--MID(A715,4,1)*3+--MID(A715,5,1)*5+--MID(A715,6,1)*9+--MID(A715,7,1)*4+--MID(A715,8,1)*6+--MID(A715,9,1)*8, IF(LEN(TRIM(A715))=12, --MID(A715,1,1)*7+--MID(A715,2,1)*2+--MID(A715,3,1)*4+--MID(A715,4,1)*10+--MID(A715,5,1)*3+--MID(A715,6,1)*5+--MID(A715,7,1)*9+--MID(A715,8,1)*4+--MID(A715,9,1)*6+--MID(A715,10,1)*8, ""))</f>
        <v/>
      </c>
      <c r="I715">
        <f>IF(LEN(TRIM(A715))=12, --MID(A715,1,1)*3+--MID(A715,2,1)*7+--MID(A715,3,1)*2+--MID(A715,4,1)*4+--MID(A715,5,1)*10+--MID(A715,6,1)*3+--MID(A715,7,1)*5+--MID(A715,8,1)*9+--MID(A715,9,1)*4+--MID(A715,10,1)*6+--MID(A715,11,1)*8, "")</f>
        <v/>
      </c>
    </row>
    <row r="716">
      <c r="A716">
        <f>SUBSTITUTE(SUBSTITUTE(SUBSTITUTE(SUBSTITUTE(TRIM(INDEX(Реестр!$B:$B,ROW())),CHAR(160),""),CHAR(9),""),CHAR(10),""),CHAR(13),"")</f>
        <v/>
      </c>
      <c r="B716">
        <f>SUBSTITUTE(SUBSTITUTE(SUBSTITUTE(SUBSTITUTE(SUBSTITUTE(SUBSTITUTE(SUBSTITUTE(TRIM(INDEX(Реестр!$D:$D, ROW())), "-", ""), " ", ""), CHAR(160), ""), CHAR(9), ""), CHAR(10), ""), CHAR(13), ""), CHAR(32), "")</f>
        <v/>
      </c>
      <c r="C716">
        <f>INDEX(Реестр!$H:$H, ROW())</f>
        <v/>
      </c>
      <c r="D716">
        <f>IF(OR(ISBLANK(INDEX(Реестр!$B:$B, ROW())), INDEX(Реестр!$B:$B, ROW())=""), " ", IF(IFERROR(ISNUMBER(--A716),FALSE), IF(LEN(A716)=10, IF(MOD(MOD(H716,11),10)=--RIGHT(A716,1), "OK", "ОШИБКА"), IF(LEN(A716)=12, IF(AND(MOD(MOD(H716,11),10)=--MID(A716,11,1), MOD(MOD(I716,11),10)=--RIGHT(A716,1)), "OK", "ОШИБКА"), "ДЛИНА (10 или 12)")), "НЕ ЦИФРЫ"))</f>
        <v/>
      </c>
      <c r="E716">
        <f>MID(B716,1,1)*9+MID(B716,2,1)*8+MID(B716,3,1)*7+MID(B716,4,1)*6+MID(B716,5,1)*5+MID(B716,6,1)*4+MID(B716,7,1)*3+MID(B716,8,1)*2+MID(B716,9,1)</f>
        <v/>
      </c>
      <c r="F716">
        <f>IF(B716="", " ", IF(LEN(B716)&lt;&gt;11, "ДЛИНА", IF(NOT(ISNUMBER(--B716)), "НЕ ЦИФРЫ", IF(LEFT(B716,9)*1&lt;=1001998, "OK", IF(RIGHT(B716,2)*1=IF(MOD(E716,101)&gt;=100,0,MOD(E716,101)),"OK","ОШИБКА")))))</f>
        <v/>
      </c>
      <c r="G7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6">
        <f>IF(LEN(TRIM(A716))=10, --MID(A716,1,1)*2+--MID(A716,2,1)*4+--MID(A716,3,1)*10+--MID(A716,4,1)*3+--MID(A716,5,1)*5+--MID(A716,6,1)*9+--MID(A716,7,1)*4+--MID(A716,8,1)*6+--MID(A716,9,1)*8, IF(LEN(TRIM(A716))=12, --MID(A716,1,1)*7+--MID(A716,2,1)*2+--MID(A716,3,1)*4+--MID(A716,4,1)*10+--MID(A716,5,1)*3+--MID(A716,6,1)*5+--MID(A716,7,1)*9+--MID(A716,8,1)*4+--MID(A716,9,1)*6+--MID(A716,10,1)*8, ""))</f>
        <v/>
      </c>
      <c r="I716">
        <f>IF(LEN(TRIM(A716))=12, --MID(A716,1,1)*3+--MID(A716,2,1)*7+--MID(A716,3,1)*2+--MID(A716,4,1)*4+--MID(A716,5,1)*10+--MID(A716,6,1)*3+--MID(A716,7,1)*5+--MID(A716,8,1)*9+--MID(A716,9,1)*4+--MID(A716,10,1)*6+--MID(A716,11,1)*8, "")</f>
        <v/>
      </c>
    </row>
    <row r="717">
      <c r="A717">
        <f>SUBSTITUTE(SUBSTITUTE(SUBSTITUTE(SUBSTITUTE(TRIM(INDEX(Реестр!$B:$B,ROW())),CHAR(160),""),CHAR(9),""),CHAR(10),""),CHAR(13),"")</f>
        <v/>
      </c>
      <c r="B717">
        <f>SUBSTITUTE(SUBSTITUTE(SUBSTITUTE(SUBSTITUTE(SUBSTITUTE(SUBSTITUTE(SUBSTITUTE(TRIM(INDEX(Реестр!$D:$D, ROW())), "-", ""), " ", ""), CHAR(160), ""), CHAR(9), ""), CHAR(10), ""), CHAR(13), ""), CHAR(32), "")</f>
        <v/>
      </c>
      <c r="C717">
        <f>INDEX(Реестр!$H:$H, ROW())</f>
        <v/>
      </c>
      <c r="D717">
        <f>IF(OR(ISBLANK(INDEX(Реестр!$B:$B, ROW())), INDEX(Реестр!$B:$B, ROW())=""), " ", IF(IFERROR(ISNUMBER(--A717),FALSE), IF(LEN(A717)=10, IF(MOD(MOD(H717,11),10)=--RIGHT(A717,1), "OK", "ОШИБКА"), IF(LEN(A717)=12, IF(AND(MOD(MOD(H717,11),10)=--MID(A717,11,1), MOD(MOD(I717,11),10)=--RIGHT(A717,1)), "OK", "ОШИБКА"), "ДЛИНА (10 или 12)")), "НЕ ЦИФРЫ"))</f>
        <v/>
      </c>
      <c r="E717">
        <f>MID(B717,1,1)*9+MID(B717,2,1)*8+MID(B717,3,1)*7+MID(B717,4,1)*6+MID(B717,5,1)*5+MID(B717,6,1)*4+MID(B717,7,1)*3+MID(B717,8,1)*2+MID(B717,9,1)</f>
        <v/>
      </c>
      <c r="F717">
        <f>IF(B717="", " ", IF(LEN(B717)&lt;&gt;11, "ДЛИНА", IF(NOT(ISNUMBER(--B717)), "НЕ ЦИФРЫ", IF(LEFT(B717,9)*1&lt;=1001998, "OK", IF(RIGHT(B717,2)*1=IF(MOD(E717,101)&gt;=100,0,MOD(E717,101)),"OK","ОШИБКА")))))</f>
        <v/>
      </c>
      <c r="G7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7">
        <f>IF(LEN(TRIM(A717))=10, --MID(A717,1,1)*2+--MID(A717,2,1)*4+--MID(A717,3,1)*10+--MID(A717,4,1)*3+--MID(A717,5,1)*5+--MID(A717,6,1)*9+--MID(A717,7,1)*4+--MID(A717,8,1)*6+--MID(A717,9,1)*8, IF(LEN(TRIM(A717))=12, --MID(A717,1,1)*7+--MID(A717,2,1)*2+--MID(A717,3,1)*4+--MID(A717,4,1)*10+--MID(A717,5,1)*3+--MID(A717,6,1)*5+--MID(A717,7,1)*9+--MID(A717,8,1)*4+--MID(A717,9,1)*6+--MID(A717,10,1)*8, ""))</f>
        <v/>
      </c>
      <c r="I717">
        <f>IF(LEN(TRIM(A717))=12, --MID(A717,1,1)*3+--MID(A717,2,1)*7+--MID(A717,3,1)*2+--MID(A717,4,1)*4+--MID(A717,5,1)*10+--MID(A717,6,1)*3+--MID(A717,7,1)*5+--MID(A717,8,1)*9+--MID(A717,9,1)*4+--MID(A717,10,1)*6+--MID(A717,11,1)*8, "")</f>
        <v/>
      </c>
    </row>
    <row r="718">
      <c r="A718">
        <f>SUBSTITUTE(SUBSTITUTE(SUBSTITUTE(SUBSTITUTE(TRIM(INDEX(Реестр!$B:$B,ROW())),CHAR(160),""),CHAR(9),""),CHAR(10),""),CHAR(13),"")</f>
        <v/>
      </c>
      <c r="B718">
        <f>SUBSTITUTE(SUBSTITUTE(SUBSTITUTE(SUBSTITUTE(SUBSTITUTE(SUBSTITUTE(SUBSTITUTE(TRIM(INDEX(Реестр!$D:$D, ROW())), "-", ""), " ", ""), CHAR(160), ""), CHAR(9), ""), CHAR(10), ""), CHAR(13), ""), CHAR(32), "")</f>
        <v/>
      </c>
      <c r="C718">
        <f>INDEX(Реестр!$H:$H, ROW())</f>
        <v/>
      </c>
      <c r="D718">
        <f>IF(OR(ISBLANK(INDEX(Реестр!$B:$B, ROW())), INDEX(Реестр!$B:$B, ROW())=""), " ", IF(IFERROR(ISNUMBER(--A718),FALSE), IF(LEN(A718)=10, IF(MOD(MOD(H718,11),10)=--RIGHT(A718,1), "OK", "ОШИБКА"), IF(LEN(A718)=12, IF(AND(MOD(MOD(H718,11),10)=--MID(A718,11,1), MOD(MOD(I718,11),10)=--RIGHT(A718,1)), "OK", "ОШИБКА"), "ДЛИНА (10 или 12)")), "НЕ ЦИФРЫ"))</f>
        <v/>
      </c>
      <c r="E718">
        <f>MID(B718,1,1)*9+MID(B718,2,1)*8+MID(B718,3,1)*7+MID(B718,4,1)*6+MID(B718,5,1)*5+MID(B718,6,1)*4+MID(B718,7,1)*3+MID(B718,8,1)*2+MID(B718,9,1)</f>
        <v/>
      </c>
      <c r="F718">
        <f>IF(B718="", " ", IF(LEN(B718)&lt;&gt;11, "ДЛИНА", IF(NOT(ISNUMBER(--B718)), "НЕ ЦИФРЫ", IF(LEFT(B718,9)*1&lt;=1001998, "OK", IF(RIGHT(B718,2)*1=IF(MOD(E718,101)&gt;=100,0,MOD(E718,101)),"OK","ОШИБКА")))))</f>
        <v/>
      </c>
      <c r="G7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8">
        <f>IF(LEN(TRIM(A718))=10, --MID(A718,1,1)*2+--MID(A718,2,1)*4+--MID(A718,3,1)*10+--MID(A718,4,1)*3+--MID(A718,5,1)*5+--MID(A718,6,1)*9+--MID(A718,7,1)*4+--MID(A718,8,1)*6+--MID(A718,9,1)*8, IF(LEN(TRIM(A718))=12, --MID(A718,1,1)*7+--MID(A718,2,1)*2+--MID(A718,3,1)*4+--MID(A718,4,1)*10+--MID(A718,5,1)*3+--MID(A718,6,1)*5+--MID(A718,7,1)*9+--MID(A718,8,1)*4+--MID(A718,9,1)*6+--MID(A718,10,1)*8, ""))</f>
        <v/>
      </c>
      <c r="I718">
        <f>IF(LEN(TRIM(A718))=12, --MID(A718,1,1)*3+--MID(A718,2,1)*7+--MID(A718,3,1)*2+--MID(A718,4,1)*4+--MID(A718,5,1)*10+--MID(A718,6,1)*3+--MID(A718,7,1)*5+--MID(A718,8,1)*9+--MID(A718,9,1)*4+--MID(A718,10,1)*6+--MID(A718,11,1)*8, "")</f>
        <v/>
      </c>
    </row>
    <row r="719">
      <c r="A719">
        <f>SUBSTITUTE(SUBSTITUTE(SUBSTITUTE(SUBSTITUTE(TRIM(INDEX(Реестр!$B:$B,ROW())),CHAR(160),""),CHAR(9),""),CHAR(10),""),CHAR(13),"")</f>
        <v/>
      </c>
      <c r="B719">
        <f>SUBSTITUTE(SUBSTITUTE(SUBSTITUTE(SUBSTITUTE(SUBSTITUTE(SUBSTITUTE(SUBSTITUTE(TRIM(INDEX(Реестр!$D:$D, ROW())), "-", ""), " ", ""), CHAR(160), ""), CHAR(9), ""), CHAR(10), ""), CHAR(13), ""), CHAR(32), "")</f>
        <v/>
      </c>
      <c r="C719">
        <f>INDEX(Реестр!$H:$H, ROW())</f>
        <v/>
      </c>
      <c r="D719">
        <f>IF(OR(ISBLANK(INDEX(Реестр!$B:$B, ROW())), INDEX(Реестр!$B:$B, ROW())=""), " ", IF(IFERROR(ISNUMBER(--A719),FALSE), IF(LEN(A719)=10, IF(MOD(MOD(H719,11),10)=--RIGHT(A719,1), "OK", "ОШИБКА"), IF(LEN(A719)=12, IF(AND(MOD(MOD(H719,11),10)=--MID(A719,11,1), MOD(MOD(I719,11),10)=--RIGHT(A719,1)), "OK", "ОШИБКА"), "ДЛИНА (10 или 12)")), "НЕ ЦИФРЫ"))</f>
        <v/>
      </c>
      <c r="E719">
        <f>MID(B719,1,1)*9+MID(B719,2,1)*8+MID(B719,3,1)*7+MID(B719,4,1)*6+MID(B719,5,1)*5+MID(B719,6,1)*4+MID(B719,7,1)*3+MID(B719,8,1)*2+MID(B719,9,1)</f>
        <v/>
      </c>
      <c r="F719">
        <f>IF(B719="", " ", IF(LEN(B719)&lt;&gt;11, "ДЛИНА", IF(NOT(ISNUMBER(--B719)), "НЕ ЦИФРЫ", IF(LEFT(B719,9)*1&lt;=1001998, "OK", IF(RIGHT(B719,2)*1=IF(MOD(E719,101)&gt;=100,0,MOD(E719,101)),"OK","ОШИБКА")))))</f>
        <v/>
      </c>
      <c r="G7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19">
        <f>IF(LEN(TRIM(A719))=10, --MID(A719,1,1)*2+--MID(A719,2,1)*4+--MID(A719,3,1)*10+--MID(A719,4,1)*3+--MID(A719,5,1)*5+--MID(A719,6,1)*9+--MID(A719,7,1)*4+--MID(A719,8,1)*6+--MID(A719,9,1)*8, IF(LEN(TRIM(A719))=12, --MID(A719,1,1)*7+--MID(A719,2,1)*2+--MID(A719,3,1)*4+--MID(A719,4,1)*10+--MID(A719,5,1)*3+--MID(A719,6,1)*5+--MID(A719,7,1)*9+--MID(A719,8,1)*4+--MID(A719,9,1)*6+--MID(A719,10,1)*8, ""))</f>
        <v/>
      </c>
      <c r="I719">
        <f>IF(LEN(TRIM(A719))=12, --MID(A719,1,1)*3+--MID(A719,2,1)*7+--MID(A719,3,1)*2+--MID(A719,4,1)*4+--MID(A719,5,1)*10+--MID(A719,6,1)*3+--MID(A719,7,1)*5+--MID(A719,8,1)*9+--MID(A719,9,1)*4+--MID(A719,10,1)*6+--MID(A719,11,1)*8, "")</f>
        <v/>
      </c>
    </row>
    <row r="720">
      <c r="A720">
        <f>SUBSTITUTE(SUBSTITUTE(SUBSTITUTE(SUBSTITUTE(TRIM(INDEX(Реестр!$B:$B,ROW())),CHAR(160),""),CHAR(9),""),CHAR(10),""),CHAR(13),"")</f>
        <v/>
      </c>
      <c r="B720">
        <f>SUBSTITUTE(SUBSTITUTE(SUBSTITUTE(SUBSTITUTE(SUBSTITUTE(SUBSTITUTE(SUBSTITUTE(TRIM(INDEX(Реестр!$D:$D, ROW())), "-", ""), " ", ""), CHAR(160), ""), CHAR(9), ""), CHAR(10), ""), CHAR(13), ""), CHAR(32), "")</f>
        <v/>
      </c>
      <c r="C720">
        <f>INDEX(Реестр!$H:$H, ROW())</f>
        <v/>
      </c>
      <c r="D720">
        <f>IF(OR(ISBLANK(INDEX(Реестр!$B:$B, ROW())), INDEX(Реестр!$B:$B, ROW())=""), " ", IF(IFERROR(ISNUMBER(--A720),FALSE), IF(LEN(A720)=10, IF(MOD(MOD(H720,11),10)=--RIGHT(A720,1), "OK", "ОШИБКА"), IF(LEN(A720)=12, IF(AND(MOD(MOD(H720,11),10)=--MID(A720,11,1), MOD(MOD(I720,11),10)=--RIGHT(A720,1)), "OK", "ОШИБКА"), "ДЛИНА (10 или 12)")), "НЕ ЦИФРЫ"))</f>
        <v/>
      </c>
      <c r="E720">
        <f>MID(B720,1,1)*9+MID(B720,2,1)*8+MID(B720,3,1)*7+MID(B720,4,1)*6+MID(B720,5,1)*5+MID(B720,6,1)*4+MID(B720,7,1)*3+MID(B720,8,1)*2+MID(B720,9,1)</f>
        <v/>
      </c>
      <c r="F720">
        <f>IF(B720="", " ", IF(LEN(B720)&lt;&gt;11, "ДЛИНА", IF(NOT(ISNUMBER(--B720)), "НЕ ЦИФРЫ", IF(LEFT(B720,9)*1&lt;=1001998, "OK", IF(RIGHT(B720,2)*1=IF(MOD(E720,101)&gt;=100,0,MOD(E720,101)),"OK","ОШИБКА")))))</f>
        <v/>
      </c>
      <c r="G7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0">
        <f>IF(LEN(TRIM(A720))=10, --MID(A720,1,1)*2+--MID(A720,2,1)*4+--MID(A720,3,1)*10+--MID(A720,4,1)*3+--MID(A720,5,1)*5+--MID(A720,6,1)*9+--MID(A720,7,1)*4+--MID(A720,8,1)*6+--MID(A720,9,1)*8, IF(LEN(TRIM(A720))=12, --MID(A720,1,1)*7+--MID(A720,2,1)*2+--MID(A720,3,1)*4+--MID(A720,4,1)*10+--MID(A720,5,1)*3+--MID(A720,6,1)*5+--MID(A720,7,1)*9+--MID(A720,8,1)*4+--MID(A720,9,1)*6+--MID(A720,10,1)*8, ""))</f>
        <v/>
      </c>
      <c r="I720">
        <f>IF(LEN(TRIM(A720))=12, --MID(A720,1,1)*3+--MID(A720,2,1)*7+--MID(A720,3,1)*2+--MID(A720,4,1)*4+--MID(A720,5,1)*10+--MID(A720,6,1)*3+--MID(A720,7,1)*5+--MID(A720,8,1)*9+--MID(A720,9,1)*4+--MID(A720,10,1)*6+--MID(A720,11,1)*8, "")</f>
        <v/>
      </c>
    </row>
    <row r="721">
      <c r="A721">
        <f>SUBSTITUTE(SUBSTITUTE(SUBSTITUTE(SUBSTITUTE(TRIM(INDEX(Реестр!$B:$B,ROW())),CHAR(160),""),CHAR(9),""),CHAR(10),""),CHAR(13),"")</f>
        <v/>
      </c>
      <c r="B721">
        <f>SUBSTITUTE(SUBSTITUTE(SUBSTITUTE(SUBSTITUTE(SUBSTITUTE(SUBSTITUTE(SUBSTITUTE(TRIM(INDEX(Реестр!$D:$D, ROW())), "-", ""), " ", ""), CHAR(160), ""), CHAR(9), ""), CHAR(10), ""), CHAR(13), ""), CHAR(32), "")</f>
        <v/>
      </c>
      <c r="C721">
        <f>INDEX(Реестр!$H:$H, ROW())</f>
        <v/>
      </c>
      <c r="D721">
        <f>IF(OR(ISBLANK(INDEX(Реестр!$B:$B, ROW())), INDEX(Реестр!$B:$B, ROW())=""), " ", IF(IFERROR(ISNUMBER(--A721),FALSE), IF(LEN(A721)=10, IF(MOD(MOD(H721,11),10)=--RIGHT(A721,1), "OK", "ОШИБКА"), IF(LEN(A721)=12, IF(AND(MOD(MOD(H721,11),10)=--MID(A721,11,1), MOD(MOD(I721,11),10)=--RIGHT(A721,1)), "OK", "ОШИБКА"), "ДЛИНА (10 или 12)")), "НЕ ЦИФРЫ"))</f>
        <v/>
      </c>
      <c r="E721">
        <f>MID(B721,1,1)*9+MID(B721,2,1)*8+MID(B721,3,1)*7+MID(B721,4,1)*6+MID(B721,5,1)*5+MID(B721,6,1)*4+MID(B721,7,1)*3+MID(B721,8,1)*2+MID(B721,9,1)</f>
        <v/>
      </c>
      <c r="F721">
        <f>IF(B721="", " ", IF(LEN(B721)&lt;&gt;11, "ДЛИНА", IF(NOT(ISNUMBER(--B721)), "НЕ ЦИФРЫ", IF(LEFT(B721,9)*1&lt;=1001998, "OK", IF(RIGHT(B721,2)*1=IF(MOD(E721,101)&gt;=100,0,MOD(E721,101)),"OK","ОШИБКА")))))</f>
        <v/>
      </c>
      <c r="G7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1">
        <f>IF(LEN(TRIM(A721))=10, --MID(A721,1,1)*2+--MID(A721,2,1)*4+--MID(A721,3,1)*10+--MID(A721,4,1)*3+--MID(A721,5,1)*5+--MID(A721,6,1)*9+--MID(A721,7,1)*4+--MID(A721,8,1)*6+--MID(A721,9,1)*8, IF(LEN(TRIM(A721))=12, --MID(A721,1,1)*7+--MID(A721,2,1)*2+--MID(A721,3,1)*4+--MID(A721,4,1)*10+--MID(A721,5,1)*3+--MID(A721,6,1)*5+--MID(A721,7,1)*9+--MID(A721,8,1)*4+--MID(A721,9,1)*6+--MID(A721,10,1)*8, ""))</f>
        <v/>
      </c>
      <c r="I721">
        <f>IF(LEN(TRIM(A721))=12, --MID(A721,1,1)*3+--MID(A721,2,1)*7+--MID(A721,3,1)*2+--MID(A721,4,1)*4+--MID(A721,5,1)*10+--MID(A721,6,1)*3+--MID(A721,7,1)*5+--MID(A721,8,1)*9+--MID(A721,9,1)*4+--MID(A721,10,1)*6+--MID(A721,11,1)*8, "")</f>
        <v/>
      </c>
    </row>
    <row r="722">
      <c r="A722">
        <f>SUBSTITUTE(SUBSTITUTE(SUBSTITUTE(SUBSTITUTE(TRIM(INDEX(Реестр!$B:$B,ROW())),CHAR(160),""),CHAR(9),""),CHAR(10),""),CHAR(13),"")</f>
        <v/>
      </c>
      <c r="B722">
        <f>SUBSTITUTE(SUBSTITUTE(SUBSTITUTE(SUBSTITUTE(SUBSTITUTE(SUBSTITUTE(SUBSTITUTE(TRIM(INDEX(Реестр!$D:$D, ROW())), "-", ""), " ", ""), CHAR(160), ""), CHAR(9), ""), CHAR(10), ""), CHAR(13), ""), CHAR(32), "")</f>
        <v/>
      </c>
      <c r="C722">
        <f>INDEX(Реестр!$H:$H, ROW())</f>
        <v/>
      </c>
      <c r="D722">
        <f>IF(OR(ISBLANK(INDEX(Реестр!$B:$B, ROW())), INDEX(Реестр!$B:$B, ROW())=""), " ", IF(IFERROR(ISNUMBER(--A722),FALSE), IF(LEN(A722)=10, IF(MOD(MOD(H722,11),10)=--RIGHT(A722,1), "OK", "ОШИБКА"), IF(LEN(A722)=12, IF(AND(MOD(MOD(H722,11),10)=--MID(A722,11,1), MOD(MOD(I722,11),10)=--RIGHT(A722,1)), "OK", "ОШИБКА"), "ДЛИНА (10 или 12)")), "НЕ ЦИФРЫ"))</f>
        <v/>
      </c>
      <c r="E722">
        <f>MID(B722,1,1)*9+MID(B722,2,1)*8+MID(B722,3,1)*7+MID(B722,4,1)*6+MID(B722,5,1)*5+MID(B722,6,1)*4+MID(B722,7,1)*3+MID(B722,8,1)*2+MID(B722,9,1)</f>
        <v/>
      </c>
      <c r="F722">
        <f>IF(B722="", " ", IF(LEN(B722)&lt;&gt;11, "ДЛИНА", IF(NOT(ISNUMBER(--B722)), "НЕ ЦИФРЫ", IF(LEFT(B722,9)*1&lt;=1001998, "OK", IF(RIGHT(B722,2)*1=IF(MOD(E722,101)&gt;=100,0,MOD(E722,101)),"OK","ОШИБКА")))))</f>
        <v/>
      </c>
      <c r="G7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2">
        <f>IF(LEN(TRIM(A722))=10, --MID(A722,1,1)*2+--MID(A722,2,1)*4+--MID(A722,3,1)*10+--MID(A722,4,1)*3+--MID(A722,5,1)*5+--MID(A722,6,1)*9+--MID(A722,7,1)*4+--MID(A722,8,1)*6+--MID(A722,9,1)*8, IF(LEN(TRIM(A722))=12, --MID(A722,1,1)*7+--MID(A722,2,1)*2+--MID(A722,3,1)*4+--MID(A722,4,1)*10+--MID(A722,5,1)*3+--MID(A722,6,1)*5+--MID(A722,7,1)*9+--MID(A722,8,1)*4+--MID(A722,9,1)*6+--MID(A722,10,1)*8, ""))</f>
        <v/>
      </c>
      <c r="I722">
        <f>IF(LEN(TRIM(A722))=12, --MID(A722,1,1)*3+--MID(A722,2,1)*7+--MID(A722,3,1)*2+--MID(A722,4,1)*4+--MID(A722,5,1)*10+--MID(A722,6,1)*3+--MID(A722,7,1)*5+--MID(A722,8,1)*9+--MID(A722,9,1)*4+--MID(A722,10,1)*6+--MID(A722,11,1)*8, "")</f>
        <v/>
      </c>
    </row>
    <row r="723">
      <c r="A723">
        <f>SUBSTITUTE(SUBSTITUTE(SUBSTITUTE(SUBSTITUTE(TRIM(INDEX(Реестр!$B:$B,ROW())),CHAR(160),""),CHAR(9),""),CHAR(10),""),CHAR(13),"")</f>
        <v/>
      </c>
      <c r="B723">
        <f>SUBSTITUTE(SUBSTITUTE(SUBSTITUTE(SUBSTITUTE(SUBSTITUTE(SUBSTITUTE(SUBSTITUTE(TRIM(INDEX(Реестр!$D:$D, ROW())), "-", ""), " ", ""), CHAR(160), ""), CHAR(9), ""), CHAR(10), ""), CHAR(13), ""), CHAR(32), "")</f>
        <v/>
      </c>
      <c r="C723">
        <f>INDEX(Реестр!$H:$H, ROW())</f>
        <v/>
      </c>
      <c r="D723">
        <f>IF(OR(ISBLANK(INDEX(Реестр!$B:$B, ROW())), INDEX(Реестр!$B:$B, ROW())=""), " ", IF(IFERROR(ISNUMBER(--A723),FALSE), IF(LEN(A723)=10, IF(MOD(MOD(H723,11),10)=--RIGHT(A723,1), "OK", "ОШИБКА"), IF(LEN(A723)=12, IF(AND(MOD(MOD(H723,11),10)=--MID(A723,11,1), MOD(MOD(I723,11),10)=--RIGHT(A723,1)), "OK", "ОШИБКА"), "ДЛИНА (10 или 12)")), "НЕ ЦИФРЫ"))</f>
        <v/>
      </c>
      <c r="E723">
        <f>MID(B723,1,1)*9+MID(B723,2,1)*8+MID(B723,3,1)*7+MID(B723,4,1)*6+MID(B723,5,1)*5+MID(B723,6,1)*4+MID(B723,7,1)*3+MID(B723,8,1)*2+MID(B723,9,1)</f>
        <v/>
      </c>
      <c r="F723">
        <f>IF(B723="", " ", IF(LEN(B723)&lt;&gt;11, "ДЛИНА", IF(NOT(ISNUMBER(--B723)), "НЕ ЦИФРЫ", IF(LEFT(B723,9)*1&lt;=1001998, "OK", IF(RIGHT(B723,2)*1=IF(MOD(E723,101)&gt;=100,0,MOD(E723,101)),"OK","ОШИБКА")))))</f>
        <v/>
      </c>
      <c r="G7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3">
        <f>IF(LEN(TRIM(A723))=10, --MID(A723,1,1)*2+--MID(A723,2,1)*4+--MID(A723,3,1)*10+--MID(A723,4,1)*3+--MID(A723,5,1)*5+--MID(A723,6,1)*9+--MID(A723,7,1)*4+--MID(A723,8,1)*6+--MID(A723,9,1)*8, IF(LEN(TRIM(A723))=12, --MID(A723,1,1)*7+--MID(A723,2,1)*2+--MID(A723,3,1)*4+--MID(A723,4,1)*10+--MID(A723,5,1)*3+--MID(A723,6,1)*5+--MID(A723,7,1)*9+--MID(A723,8,1)*4+--MID(A723,9,1)*6+--MID(A723,10,1)*8, ""))</f>
        <v/>
      </c>
      <c r="I723">
        <f>IF(LEN(TRIM(A723))=12, --MID(A723,1,1)*3+--MID(A723,2,1)*7+--MID(A723,3,1)*2+--MID(A723,4,1)*4+--MID(A723,5,1)*10+--MID(A723,6,1)*3+--MID(A723,7,1)*5+--MID(A723,8,1)*9+--MID(A723,9,1)*4+--MID(A723,10,1)*6+--MID(A723,11,1)*8, "")</f>
        <v/>
      </c>
    </row>
    <row r="724">
      <c r="A724">
        <f>SUBSTITUTE(SUBSTITUTE(SUBSTITUTE(SUBSTITUTE(TRIM(INDEX(Реестр!$B:$B,ROW())),CHAR(160),""),CHAR(9),""),CHAR(10),""),CHAR(13),"")</f>
        <v/>
      </c>
      <c r="B724">
        <f>SUBSTITUTE(SUBSTITUTE(SUBSTITUTE(SUBSTITUTE(SUBSTITUTE(SUBSTITUTE(SUBSTITUTE(TRIM(INDEX(Реестр!$D:$D, ROW())), "-", ""), " ", ""), CHAR(160), ""), CHAR(9), ""), CHAR(10), ""), CHAR(13), ""), CHAR(32), "")</f>
        <v/>
      </c>
      <c r="C724">
        <f>INDEX(Реестр!$H:$H, ROW())</f>
        <v/>
      </c>
      <c r="D724">
        <f>IF(OR(ISBLANK(INDEX(Реестр!$B:$B, ROW())), INDEX(Реестр!$B:$B, ROW())=""), " ", IF(IFERROR(ISNUMBER(--A724),FALSE), IF(LEN(A724)=10, IF(MOD(MOD(H724,11),10)=--RIGHT(A724,1), "OK", "ОШИБКА"), IF(LEN(A724)=12, IF(AND(MOD(MOD(H724,11),10)=--MID(A724,11,1), MOD(MOD(I724,11),10)=--RIGHT(A724,1)), "OK", "ОШИБКА"), "ДЛИНА (10 или 12)")), "НЕ ЦИФРЫ"))</f>
        <v/>
      </c>
      <c r="E724">
        <f>MID(B724,1,1)*9+MID(B724,2,1)*8+MID(B724,3,1)*7+MID(B724,4,1)*6+MID(B724,5,1)*5+MID(B724,6,1)*4+MID(B724,7,1)*3+MID(B724,8,1)*2+MID(B724,9,1)</f>
        <v/>
      </c>
      <c r="F724">
        <f>IF(B724="", " ", IF(LEN(B724)&lt;&gt;11, "ДЛИНА", IF(NOT(ISNUMBER(--B724)), "НЕ ЦИФРЫ", IF(LEFT(B724,9)*1&lt;=1001998, "OK", IF(RIGHT(B724,2)*1=IF(MOD(E724,101)&gt;=100,0,MOD(E724,101)),"OK","ОШИБКА")))))</f>
        <v/>
      </c>
      <c r="G7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4">
        <f>IF(LEN(TRIM(A724))=10, --MID(A724,1,1)*2+--MID(A724,2,1)*4+--MID(A724,3,1)*10+--MID(A724,4,1)*3+--MID(A724,5,1)*5+--MID(A724,6,1)*9+--MID(A724,7,1)*4+--MID(A724,8,1)*6+--MID(A724,9,1)*8, IF(LEN(TRIM(A724))=12, --MID(A724,1,1)*7+--MID(A724,2,1)*2+--MID(A724,3,1)*4+--MID(A724,4,1)*10+--MID(A724,5,1)*3+--MID(A724,6,1)*5+--MID(A724,7,1)*9+--MID(A724,8,1)*4+--MID(A724,9,1)*6+--MID(A724,10,1)*8, ""))</f>
        <v/>
      </c>
      <c r="I724">
        <f>IF(LEN(TRIM(A724))=12, --MID(A724,1,1)*3+--MID(A724,2,1)*7+--MID(A724,3,1)*2+--MID(A724,4,1)*4+--MID(A724,5,1)*10+--MID(A724,6,1)*3+--MID(A724,7,1)*5+--MID(A724,8,1)*9+--MID(A724,9,1)*4+--MID(A724,10,1)*6+--MID(A724,11,1)*8, "")</f>
        <v/>
      </c>
    </row>
    <row r="725">
      <c r="A725">
        <f>SUBSTITUTE(SUBSTITUTE(SUBSTITUTE(SUBSTITUTE(TRIM(INDEX(Реестр!$B:$B,ROW())),CHAR(160),""),CHAR(9),""),CHAR(10),""),CHAR(13),"")</f>
        <v/>
      </c>
      <c r="B725">
        <f>SUBSTITUTE(SUBSTITUTE(SUBSTITUTE(SUBSTITUTE(SUBSTITUTE(SUBSTITUTE(SUBSTITUTE(TRIM(INDEX(Реестр!$D:$D, ROW())), "-", ""), " ", ""), CHAR(160), ""), CHAR(9), ""), CHAR(10), ""), CHAR(13), ""), CHAR(32), "")</f>
        <v/>
      </c>
      <c r="C725">
        <f>INDEX(Реестр!$H:$H, ROW())</f>
        <v/>
      </c>
      <c r="D725">
        <f>IF(OR(ISBLANK(INDEX(Реестр!$B:$B, ROW())), INDEX(Реестр!$B:$B, ROW())=""), " ", IF(IFERROR(ISNUMBER(--A725),FALSE), IF(LEN(A725)=10, IF(MOD(MOD(H725,11),10)=--RIGHT(A725,1), "OK", "ОШИБКА"), IF(LEN(A725)=12, IF(AND(MOD(MOD(H725,11),10)=--MID(A725,11,1), MOD(MOD(I725,11),10)=--RIGHT(A725,1)), "OK", "ОШИБКА"), "ДЛИНА (10 или 12)")), "НЕ ЦИФРЫ"))</f>
        <v/>
      </c>
      <c r="E725">
        <f>MID(B725,1,1)*9+MID(B725,2,1)*8+MID(B725,3,1)*7+MID(B725,4,1)*6+MID(B725,5,1)*5+MID(B725,6,1)*4+MID(B725,7,1)*3+MID(B725,8,1)*2+MID(B725,9,1)</f>
        <v/>
      </c>
      <c r="F725">
        <f>IF(B725="", " ", IF(LEN(B725)&lt;&gt;11, "ДЛИНА", IF(NOT(ISNUMBER(--B725)), "НЕ ЦИФРЫ", IF(LEFT(B725,9)*1&lt;=1001998, "OK", IF(RIGHT(B725,2)*1=IF(MOD(E725,101)&gt;=100,0,MOD(E725,101)),"OK","ОШИБКА")))))</f>
        <v/>
      </c>
      <c r="G7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5">
        <f>IF(LEN(TRIM(A725))=10, --MID(A725,1,1)*2+--MID(A725,2,1)*4+--MID(A725,3,1)*10+--MID(A725,4,1)*3+--MID(A725,5,1)*5+--MID(A725,6,1)*9+--MID(A725,7,1)*4+--MID(A725,8,1)*6+--MID(A725,9,1)*8, IF(LEN(TRIM(A725))=12, --MID(A725,1,1)*7+--MID(A725,2,1)*2+--MID(A725,3,1)*4+--MID(A725,4,1)*10+--MID(A725,5,1)*3+--MID(A725,6,1)*5+--MID(A725,7,1)*9+--MID(A725,8,1)*4+--MID(A725,9,1)*6+--MID(A725,10,1)*8, ""))</f>
        <v/>
      </c>
      <c r="I725">
        <f>IF(LEN(TRIM(A725))=12, --MID(A725,1,1)*3+--MID(A725,2,1)*7+--MID(A725,3,1)*2+--MID(A725,4,1)*4+--MID(A725,5,1)*10+--MID(A725,6,1)*3+--MID(A725,7,1)*5+--MID(A725,8,1)*9+--MID(A725,9,1)*4+--MID(A725,10,1)*6+--MID(A725,11,1)*8, "")</f>
        <v/>
      </c>
    </row>
    <row r="726">
      <c r="A726">
        <f>SUBSTITUTE(SUBSTITUTE(SUBSTITUTE(SUBSTITUTE(TRIM(INDEX(Реестр!$B:$B,ROW())),CHAR(160),""),CHAR(9),""),CHAR(10),""),CHAR(13),"")</f>
        <v/>
      </c>
      <c r="B726">
        <f>SUBSTITUTE(SUBSTITUTE(SUBSTITUTE(SUBSTITUTE(SUBSTITUTE(SUBSTITUTE(SUBSTITUTE(TRIM(INDEX(Реестр!$D:$D, ROW())), "-", ""), " ", ""), CHAR(160), ""), CHAR(9), ""), CHAR(10), ""), CHAR(13), ""), CHAR(32), "")</f>
        <v/>
      </c>
      <c r="C726">
        <f>INDEX(Реестр!$H:$H, ROW())</f>
        <v/>
      </c>
      <c r="D726">
        <f>IF(OR(ISBLANK(INDEX(Реестр!$B:$B, ROW())), INDEX(Реестр!$B:$B, ROW())=""), " ", IF(IFERROR(ISNUMBER(--A726),FALSE), IF(LEN(A726)=10, IF(MOD(MOD(H726,11),10)=--RIGHT(A726,1), "OK", "ОШИБКА"), IF(LEN(A726)=12, IF(AND(MOD(MOD(H726,11),10)=--MID(A726,11,1), MOD(MOD(I726,11),10)=--RIGHT(A726,1)), "OK", "ОШИБКА"), "ДЛИНА (10 или 12)")), "НЕ ЦИФРЫ"))</f>
        <v/>
      </c>
      <c r="E726">
        <f>MID(B726,1,1)*9+MID(B726,2,1)*8+MID(B726,3,1)*7+MID(B726,4,1)*6+MID(B726,5,1)*5+MID(B726,6,1)*4+MID(B726,7,1)*3+MID(B726,8,1)*2+MID(B726,9,1)</f>
        <v/>
      </c>
      <c r="F726">
        <f>IF(B726="", " ", IF(LEN(B726)&lt;&gt;11, "ДЛИНА", IF(NOT(ISNUMBER(--B726)), "НЕ ЦИФРЫ", IF(LEFT(B726,9)*1&lt;=1001998, "OK", IF(RIGHT(B726,2)*1=IF(MOD(E726,101)&gt;=100,0,MOD(E726,101)),"OK","ОШИБКА")))))</f>
        <v/>
      </c>
      <c r="G7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6">
        <f>IF(LEN(TRIM(A726))=10, --MID(A726,1,1)*2+--MID(A726,2,1)*4+--MID(A726,3,1)*10+--MID(A726,4,1)*3+--MID(A726,5,1)*5+--MID(A726,6,1)*9+--MID(A726,7,1)*4+--MID(A726,8,1)*6+--MID(A726,9,1)*8, IF(LEN(TRIM(A726))=12, --MID(A726,1,1)*7+--MID(A726,2,1)*2+--MID(A726,3,1)*4+--MID(A726,4,1)*10+--MID(A726,5,1)*3+--MID(A726,6,1)*5+--MID(A726,7,1)*9+--MID(A726,8,1)*4+--MID(A726,9,1)*6+--MID(A726,10,1)*8, ""))</f>
        <v/>
      </c>
      <c r="I726">
        <f>IF(LEN(TRIM(A726))=12, --MID(A726,1,1)*3+--MID(A726,2,1)*7+--MID(A726,3,1)*2+--MID(A726,4,1)*4+--MID(A726,5,1)*10+--MID(A726,6,1)*3+--MID(A726,7,1)*5+--MID(A726,8,1)*9+--MID(A726,9,1)*4+--MID(A726,10,1)*6+--MID(A726,11,1)*8, "")</f>
        <v/>
      </c>
    </row>
    <row r="727">
      <c r="A727">
        <f>SUBSTITUTE(SUBSTITUTE(SUBSTITUTE(SUBSTITUTE(TRIM(INDEX(Реестр!$B:$B,ROW())),CHAR(160),""),CHAR(9),""),CHAR(10),""),CHAR(13),"")</f>
        <v/>
      </c>
      <c r="B727">
        <f>SUBSTITUTE(SUBSTITUTE(SUBSTITUTE(SUBSTITUTE(SUBSTITUTE(SUBSTITUTE(SUBSTITUTE(TRIM(INDEX(Реестр!$D:$D, ROW())), "-", ""), " ", ""), CHAR(160), ""), CHAR(9), ""), CHAR(10), ""), CHAR(13), ""), CHAR(32), "")</f>
        <v/>
      </c>
      <c r="C727">
        <f>INDEX(Реестр!$H:$H, ROW())</f>
        <v/>
      </c>
      <c r="D727">
        <f>IF(OR(ISBLANK(INDEX(Реестр!$B:$B, ROW())), INDEX(Реестр!$B:$B, ROW())=""), " ", IF(IFERROR(ISNUMBER(--A727),FALSE), IF(LEN(A727)=10, IF(MOD(MOD(H727,11),10)=--RIGHT(A727,1), "OK", "ОШИБКА"), IF(LEN(A727)=12, IF(AND(MOD(MOD(H727,11),10)=--MID(A727,11,1), MOD(MOD(I727,11),10)=--RIGHT(A727,1)), "OK", "ОШИБКА"), "ДЛИНА (10 или 12)")), "НЕ ЦИФРЫ"))</f>
        <v/>
      </c>
      <c r="E727">
        <f>MID(B727,1,1)*9+MID(B727,2,1)*8+MID(B727,3,1)*7+MID(B727,4,1)*6+MID(B727,5,1)*5+MID(B727,6,1)*4+MID(B727,7,1)*3+MID(B727,8,1)*2+MID(B727,9,1)</f>
        <v/>
      </c>
      <c r="F727">
        <f>IF(B727="", " ", IF(LEN(B727)&lt;&gt;11, "ДЛИНА", IF(NOT(ISNUMBER(--B727)), "НЕ ЦИФРЫ", IF(LEFT(B727,9)*1&lt;=1001998, "OK", IF(RIGHT(B727,2)*1=IF(MOD(E727,101)&gt;=100,0,MOD(E727,101)),"OK","ОШИБКА")))))</f>
        <v/>
      </c>
      <c r="G7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7">
        <f>IF(LEN(TRIM(A727))=10, --MID(A727,1,1)*2+--MID(A727,2,1)*4+--MID(A727,3,1)*10+--MID(A727,4,1)*3+--MID(A727,5,1)*5+--MID(A727,6,1)*9+--MID(A727,7,1)*4+--MID(A727,8,1)*6+--MID(A727,9,1)*8, IF(LEN(TRIM(A727))=12, --MID(A727,1,1)*7+--MID(A727,2,1)*2+--MID(A727,3,1)*4+--MID(A727,4,1)*10+--MID(A727,5,1)*3+--MID(A727,6,1)*5+--MID(A727,7,1)*9+--MID(A727,8,1)*4+--MID(A727,9,1)*6+--MID(A727,10,1)*8, ""))</f>
        <v/>
      </c>
      <c r="I727">
        <f>IF(LEN(TRIM(A727))=12, --MID(A727,1,1)*3+--MID(A727,2,1)*7+--MID(A727,3,1)*2+--MID(A727,4,1)*4+--MID(A727,5,1)*10+--MID(A727,6,1)*3+--MID(A727,7,1)*5+--MID(A727,8,1)*9+--MID(A727,9,1)*4+--MID(A727,10,1)*6+--MID(A727,11,1)*8, "")</f>
        <v/>
      </c>
    </row>
    <row r="728">
      <c r="A728">
        <f>SUBSTITUTE(SUBSTITUTE(SUBSTITUTE(SUBSTITUTE(TRIM(INDEX(Реестр!$B:$B,ROW())),CHAR(160),""),CHAR(9),""),CHAR(10),""),CHAR(13),"")</f>
        <v/>
      </c>
      <c r="B728">
        <f>SUBSTITUTE(SUBSTITUTE(SUBSTITUTE(SUBSTITUTE(SUBSTITUTE(SUBSTITUTE(SUBSTITUTE(TRIM(INDEX(Реестр!$D:$D, ROW())), "-", ""), " ", ""), CHAR(160), ""), CHAR(9), ""), CHAR(10), ""), CHAR(13), ""), CHAR(32), "")</f>
        <v/>
      </c>
      <c r="C728">
        <f>INDEX(Реестр!$H:$H, ROW())</f>
        <v/>
      </c>
      <c r="D728">
        <f>IF(OR(ISBLANK(INDEX(Реестр!$B:$B, ROW())), INDEX(Реестр!$B:$B, ROW())=""), " ", IF(IFERROR(ISNUMBER(--A728),FALSE), IF(LEN(A728)=10, IF(MOD(MOD(H728,11),10)=--RIGHT(A728,1), "OK", "ОШИБКА"), IF(LEN(A728)=12, IF(AND(MOD(MOD(H728,11),10)=--MID(A728,11,1), MOD(MOD(I728,11),10)=--RIGHT(A728,1)), "OK", "ОШИБКА"), "ДЛИНА (10 или 12)")), "НЕ ЦИФРЫ"))</f>
        <v/>
      </c>
      <c r="E728">
        <f>MID(B728,1,1)*9+MID(B728,2,1)*8+MID(B728,3,1)*7+MID(B728,4,1)*6+MID(B728,5,1)*5+MID(B728,6,1)*4+MID(B728,7,1)*3+MID(B728,8,1)*2+MID(B728,9,1)</f>
        <v/>
      </c>
      <c r="F728">
        <f>IF(B728="", " ", IF(LEN(B728)&lt;&gt;11, "ДЛИНА", IF(NOT(ISNUMBER(--B728)), "НЕ ЦИФРЫ", IF(LEFT(B728,9)*1&lt;=1001998, "OK", IF(RIGHT(B728,2)*1=IF(MOD(E728,101)&gt;=100,0,MOD(E728,101)),"OK","ОШИБКА")))))</f>
        <v/>
      </c>
      <c r="G7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8">
        <f>IF(LEN(TRIM(A728))=10, --MID(A728,1,1)*2+--MID(A728,2,1)*4+--MID(A728,3,1)*10+--MID(A728,4,1)*3+--MID(A728,5,1)*5+--MID(A728,6,1)*9+--MID(A728,7,1)*4+--MID(A728,8,1)*6+--MID(A728,9,1)*8, IF(LEN(TRIM(A728))=12, --MID(A728,1,1)*7+--MID(A728,2,1)*2+--MID(A728,3,1)*4+--MID(A728,4,1)*10+--MID(A728,5,1)*3+--MID(A728,6,1)*5+--MID(A728,7,1)*9+--MID(A728,8,1)*4+--MID(A728,9,1)*6+--MID(A728,10,1)*8, ""))</f>
        <v/>
      </c>
      <c r="I728">
        <f>IF(LEN(TRIM(A728))=12, --MID(A728,1,1)*3+--MID(A728,2,1)*7+--MID(A728,3,1)*2+--MID(A728,4,1)*4+--MID(A728,5,1)*10+--MID(A728,6,1)*3+--MID(A728,7,1)*5+--MID(A728,8,1)*9+--MID(A728,9,1)*4+--MID(A728,10,1)*6+--MID(A728,11,1)*8, "")</f>
        <v/>
      </c>
    </row>
    <row r="729">
      <c r="A729">
        <f>SUBSTITUTE(SUBSTITUTE(SUBSTITUTE(SUBSTITUTE(TRIM(INDEX(Реестр!$B:$B,ROW())),CHAR(160),""),CHAR(9),""),CHAR(10),""),CHAR(13),"")</f>
        <v/>
      </c>
      <c r="B729">
        <f>SUBSTITUTE(SUBSTITUTE(SUBSTITUTE(SUBSTITUTE(SUBSTITUTE(SUBSTITUTE(SUBSTITUTE(TRIM(INDEX(Реестр!$D:$D, ROW())), "-", ""), " ", ""), CHAR(160), ""), CHAR(9), ""), CHAR(10), ""), CHAR(13), ""), CHAR(32), "")</f>
        <v/>
      </c>
      <c r="C729">
        <f>INDEX(Реестр!$H:$H, ROW())</f>
        <v/>
      </c>
      <c r="D729">
        <f>IF(OR(ISBLANK(INDEX(Реестр!$B:$B, ROW())), INDEX(Реестр!$B:$B, ROW())=""), " ", IF(IFERROR(ISNUMBER(--A729),FALSE), IF(LEN(A729)=10, IF(MOD(MOD(H729,11),10)=--RIGHT(A729,1), "OK", "ОШИБКА"), IF(LEN(A729)=12, IF(AND(MOD(MOD(H729,11),10)=--MID(A729,11,1), MOD(MOD(I729,11),10)=--RIGHT(A729,1)), "OK", "ОШИБКА"), "ДЛИНА (10 или 12)")), "НЕ ЦИФРЫ"))</f>
        <v/>
      </c>
      <c r="E729">
        <f>MID(B729,1,1)*9+MID(B729,2,1)*8+MID(B729,3,1)*7+MID(B729,4,1)*6+MID(B729,5,1)*5+MID(B729,6,1)*4+MID(B729,7,1)*3+MID(B729,8,1)*2+MID(B729,9,1)</f>
        <v/>
      </c>
      <c r="F729">
        <f>IF(B729="", " ", IF(LEN(B729)&lt;&gt;11, "ДЛИНА", IF(NOT(ISNUMBER(--B729)), "НЕ ЦИФРЫ", IF(LEFT(B729,9)*1&lt;=1001998, "OK", IF(RIGHT(B729,2)*1=IF(MOD(E729,101)&gt;=100,0,MOD(E729,101)),"OK","ОШИБКА")))))</f>
        <v/>
      </c>
      <c r="G7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29">
        <f>IF(LEN(TRIM(A729))=10, --MID(A729,1,1)*2+--MID(A729,2,1)*4+--MID(A729,3,1)*10+--MID(A729,4,1)*3+--MID(A729,5,1)*5+--MID(A729,6,1)*9+--MID(A729,7,1)*4+--MID(A729,8,1)*6+--MID(A729,9,1)*8, IF(LEN(TRIM(A729))=12, --MID(A729,1,1)*7+--MID(A729,2,1)*2+--MID(A729,3,1)*4+--MID(A729,4,1)*10+--MID(A729,5,1)*3+--MID(A729,6,1)*5+--MID(A729,7,1)*9+--MID(A729,8,1)*4+--MID(A729,9,1)*6+--MID(A729,10,1)*8, ""))</f>
        <v/>
      </c>
      <c r="I729">
        <f>IF(LEN(TRIM(A729))=12, --MID(A729,1,1)*3+--MID(A729,2,1)*7+--MID(A729,3,1)*2+--MID(A729,4,1)*4+--MID(A729,5,1)*10+--MID(A729,6,1)*3+--MID(A729,7,1)*5+--MID(A729,8,1)*9+--MID(A729,9,1)*4+--MID(A729,10,1)*6+--MID(A729,11,1)*8, "")</f>
        <v/>
      </c>
    </row>
    <row r="730">
      <c r="A730">
        <f>SUBSTITUTE(SUBSTITUTE(SUBSTITUTE(SUBSTITUTE(TRIM(INDEX(Реестр!$B:$B,ROW())),CHAR(160),""),CHAR(9),""),CHAR(10),""),CHAR(13),"")</f>
        <v/>
      </c>
      <c r="B730">
        <f>SUBSTITUTE(SUBSTITUTE(SUBSTITUTE(SUBSTITUTE(SUBSTITUTE(SUBSTITUTE(SUBSTITUTE(TRIM(INDEX(Реестр!$D:$D, ROW())), "-", ""), " ", ""), CHAR(160), ""), CHAR(9), ""), CHAR(10), ""), CHAR(13), ""), CHAR(32), "")</f>
        <v/>
      </c>
      <c r="C730">
        <f>INDEX(Реестр!$H:$H, ROW())</f>
        <v/>
      </c>
      <c r="D730">
        <f>IF(OR(ISBLANK(INDEX(Реестр!$B:$B, ROW())), INDEX(Реестр!$B:$B, ROW())=""), " ", IF(IFERROR(ISNUMBER(--A730),FALSE), IF(LEN(A730)=10, IF(MOD(MOD(H730,11),10)=--RIGHT(A730,1), "OK", "ОШИБКА"), IF(LEN(A730)=12, IF(AND(MOD(MOD(H730,11),10)=--MID(A730,11,1), MOD(MOD(I730,11),10)=--RIGHT(A730,1)), "OK", "ОШИБКА"), "ДЛИНА (10 или 12)")), "НЕ ЦИФРЫ"))</f>
        <v/>
      </c>
      <c r="E730">
        <f>MID(B730,1,1)*9+MID(B730,2,1)*8+MID(B730,3,1)*7+MID(B730,4,1)*6+MID(B730,5,1)*5+MID(B730,6,1)*4+MID(B730,7,1)*3+MID(B730,8,1)*2+MID(B730,9,1)</f>
        <v/>
      </c>
      <c r="F730">
        <f>IF(B730="", " ", IF(LEN(B730)&lt;&gt;11, "ДЛИНА", IF(NOT(ISNUMBER(--B730)), "НЕ ЦИФРЫ", IF(LEFT(B730,9)*1&lt;=1001998, "OK", IF(RIGHT(B730,2)*1=IF(MOD(E730,101)&gt;=100,0,MOD(E730,101)),"OK","ОШИБКА")))))</f>
        <v/>
      </c>
      <c r="G7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0">
        <f>IF(LEN(TRIM(A730))=10, --MID(A730,1,1)*2+--MID(A730,2,1)*4+--MID(A730,3,1)*10+--MID(A730,4,1)*3+--MID(A730,5,1)*5+--MID(A730,6,1)*9+--MID(A730,7,1)*4+--MID(A730,8,1)*6+--MID(A730,9,1)*8, IF(LEN(TRIM(A730))=12, --MID(A730,1,1)*7+--MID(A730,2,1)*2+--MID(A730,3,1)*4+--MID(A730,4,1)*10+--MID(A730,5,1)*3+--MID(A730,6,1)*5+--MID(A730,7,1)*9+--MID(A730,8,1)*4+--MID(A730,9,1)*6+--MID(A730,10,1)*8, ""))</f>
        <v/>
      </c>
      <c r="I730">
        <f>IF(LEN(TRIM(A730))=12, --MID(A730,1,1)*3+--MID(A730,2,1)*7+--MID(A730,3,1)*2+--MID(A730,4,1)*4+--MID(A730,5,1)*10+--MID(A730,6,1)*3+--MID(A730,7,1)*5+--MID(A730,8,1)*9+--MID(A730,9,1)*4+--MID(A730,10,1)*6+--MID(A730,11,1)*8, "")</f>
        <v/>
      </c>
    </row>
    <row r="731">
      <c r="A731">
        <f>SUBSTITUTE(SUBSTITUTE(SUBSTITUTE(SUBSTITUTE(TRIM(INDEX(Реестр!$B:$B,ROW())),CHAR(160),""),CHAR(9),""),CHAR(10),""),CHAR(13),"")</f>
        <v/>
      </c>
      <c r="B731">
        <f>SUBSTITUTE(SUBSTITUTE(SUBSTITUTE(SUBSTITUTE(SUBSTITUTE(SUBSTITUTE(SUBSTITUTE(TRIM(INDEX(Реестр!$D:$D, ROW())), "-", ""), " ", ""), CHAR(160), ""), CHAR(9), ""), CHAR(10), ""), CHAR(13), ""), CHAR(32), "")</f>
        <v/>
      </c>
      <c r="C731">
        <f>INDEX(Реестр!$H:$H, ROW())</f>
        <v/>
      </c>
      <c r="D731">
        <f>IF(OR(ISBLANK(INDEX(Реестр!$B:$B, ROW())), INDEX(Реестр!$B:$B, ROW())=""), " ", IF(IFERROR(ISNUMBER(--A731),FALSE), IF(LEN(A731)=10, IF(MOD(MOD(H731,11),10)=--RIGHT(A731,1), "OK", "ОШИБКА"), IF(LEN(A731)=12, IF(AND(MOD(MOD(H731,11),10)=--MID(A731,11,1), MOD(MOD(I731,11),10)=--RIGHT(A731,1)), "OK", "ОШИБКА"), "ДЛИНА (10 или 12)")), "НЕ ЦИФРЫ"))</f>
        <v/>
      </c>
      <c r="E731">
        <f>MID(B731,1,1)*9+MID(B731,2,1)*8+MID(B731,3,1)*7+MID(B731,4,1)*6+MID(B731,5,1)*5+MID(B731,6,1)*4+MID(B731,7,1)*3+MID(B731,8,1)*2+MID(B731,9,1)</f>
        <v/>
      </c>
      <c r="F731">
        <f>IF(B731="", " ", IF(LEN(B731)&lt;&gt;11, "ДЛИНА", IF(NOT(ISNUMBER(--B731)), "НЕ ЦИФРЫ", IF(LEFT(B731,9)*1&lt;=1001998, "OK", IF(RIGHT(B731,2)*1=IF(MOD(E731,101)&gt;=100,0,MOD(E731,101)),"OK","ОШИБКА")))))</f>
        <v/>
      </c>
      <c r="G7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1">
        <f>IF(LEN(TRIM(A731))=10, --MID(A731,1,1)*2+--MID(A731,2,1)*4+--MID(A731,3,1)*10+--MID(A731,4,1)*3+--MID(A731,5,1)*5+--MID(A731,6,1)*9+--MID(A731,7,1)*4+--MID(A731,8,1)*6+--MID(A731,9,1)*8, IF(LEN(TRIM(A731))=12, --MID(A731,1,1)*7+--MID(A731,2,1)*2+--MID(A731,3,1)*4+--MID(A731,4,1)*10+--MID(A731,5,1)*3+--MID(A731,6,1)*5+--MID(A731,7,1)*9+--MID(A731,8,1)*4+--MID(A731,9,1)*6+--MID(A731,10,1)*8, ""))</f>
        <v/>
      </c>
      <c r="I731">
        <f>IF(LEN(TRIM(A731))=12, --MID(A731,1,1)*3+--MID(A731,2,1)*7+--MID(A731,3,1)*2+--MID(A731,4,1)*4+--MID(A731,5,1)*10+--MID(A731,6,1)*3+--MID(A731,7,1)*5+--MID(A731,8,1)*9+--MID(A731,9,1)*4+--MID(A731,10,1)*6+--MID(A731,11,1)*8, "")</f>
        <v/>
      </c>
    </row>
    <row r="732">
      <c r="A732">
        <f>SUBSTITUTE(SUBSTITUTE(SUBSTITUTE(SUBSTITUTE(TRIM(INDEX(Реестр!$B:$B,ROW())),CHAR(160),""),CHAR(9),""),CHAR(10),""),CHAR(13),"")</f>
        <v/>
      </c>
      <c r="B732">
        <f>SUBSTITUTE(SUBSTITUTE(SUBSTITUTE(SUBSTITUTE(SUBSTITUTE(SUBSTITUTE(SUBSTITUTE(TRIM(INDEX(Реестр!$D:$D, ROW())), "-", ""), " ", ""), CHAR(160), ""), CHAR(9), ""), CHAR(10), ""), CHAR(13), ""), CHAR(32), "")</f>
        <v/>
      </c>
      <c r="C732">
        <f>INDEX(Реестр!$H:$H, ROW())</f>
        <v/>
      </c>
      <c r="D732">
        <f>IF(OR(ISBLANK(INDEX(Реестр!$B:$B, ROW())), INDEX(Реестр!$B:$B, ROW())=""), " ", IF(IFERROR(ISNUMBER(--A732),FALSE), IF(LEN(A732)=10, IF(MOD(MOD(H732,11),10)=--RIGHT(A732,1), "OK", "ОШИБКА"), IF(LEN(A732)=12, IF(AND(MOD(MOD(H732,11),10)=--MID(A732,11,1), MOD(MOD(I732,11),10)=--RIGHT(A732,1)), "OK", "ОШИБКА"), "ДЛИНА (10 или 12)")), "НЕ ЦИФРЫ"))</f>
        <v/>
      </c>
      <c r="E732">
        <f>MID(B732,1,1)*9+MID(B732,2,1)*8+MID(B732,3,1)*7+MID(B732,4,1)*6+MID(B732,5,1)*5+MID(B732,6,1)*4+MID(B732,7,1)*3+MID(B732,8,1)*2+MID(B732,9,1)</f>
        <v/>
      </c>
      <c r="F732">
        <f>IF(B732="", " ", IF(LEN(B732)&lt;&gt;11, "ДЛИНА", IF(NOT(ISNUMBER(--B732)), "НЕ ЦИФРЫ", IF(LEFT(B732,9)*1&lt;=1001998, "OK", IF(RIGHT(B732,2)*1=IF(MOD(E732,101)&gt;=100,0,MOD(E732,101)),"OK","ОШИБКА")))))</f>
        <v/>
      </c>
      <c r="G7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2">
        <f>IF(LEN(TRIM(A732))=10, --MID(A732,1,1)*2+--MID(A732,2,1)*4+--MID(A732,3,1)*10+--MID(A732,4,1)*3+--MID(A732,5,1)*5+--MID(A732,6,1)*9+--MID(A732,7,1)*4+--MID(A732,8,1)*6+--MID(A732,9,1)*8, IF(LEN(TRIM(A732))=12, --MID(A732,1,1)*7+--MID(A732,2,1)*2+--MID(A732,3,1)*4+--MID(A732,4,1)*10+--MID(A732,5,1)*3+--MID(A732,6,1)*5+--MID(A732,7,1)*9+--MID(A732,8,1)*4+--MID(A732,9,1)*6+--MID(A732,10,1)*8, ""))</f>
        <v/>
      </c>
      <c r="I732">
        <f>IF(LEN(TRIM(A732))=12, --MID(A732,1,1)*3+--MID(A732,2,1)*7+--MID(A732,3,1)*2+--MID(A732,4,1)*4+--MID(A732,5,1)*10+--MID(A732,6,1)*3+--MID(A732,7,1)*5+--MID(A732,8,1)*9+--MID(A732,9,1)*4+--MID(A732,10,1)*6+--MID(A732,11,1)*8, "")</f>
        <v/>
      </c>
    </row>
    <row r="733">
      <c r="A733">
        <f>SUBSTITUTE(SUBSTITUTE(SUBSTITUTE(SUBSTITUTE(TRIM(INDEX(Реестр!$B:$B,ROW())),CHAR(160),""),CHAR(9),""),CHAR(10),""),CHAR(13),"")</f>
        <v/>
      </c>
      <c r="B733">
        <f>SUBSTITUTE(SUBSTITUTE(SUBSTITUTE(SUBSTITUTE(SUBSTITUTE(SUBSTITUTE(SUBSTITUTE(TRIM(INDEX(Реестр!$D:$D, ROW())), "-", ""), " ", ""), CHAR(160), ""), CHAR(9), ""), CHAR(10), ""), CHAR(13), ""), CHAR(32), "")</f>
        <v/>
      </c>
      <c r="C733">
        <f>INDEX(Реестр!$H:$H, ROW())</f>
        <v/>
      </c>
      <c r="D733">
        <f>IF(OR(ISBLANK(INDEX(Реестр!$B:$B, ROW())), INDEX(Реестр!$B:$B, ROW())=""), " ", IF(IFERROR(ISNUMBER(--A733),FALSE), IF(LEN(A733)=10, IF(MOD(MOD(H733,11),10)=--RIGHT(A733,1), "OK", "ОШИБКА"), IF(LEN(A733)=12, IF(AND(MOD(MOD(H733,11),10)=--MID(A733,11,1), MOD(MOD(I733,11),10)=--RIGHT(A733,1)), "OK", "ОШИБКА"), "ДЛИНА (10 или 12)")), "НЕ ЦИФРЫ"))</f>
        <v/>
      </c>
      <c r="E733">
        <f>MID(B733,1,1)*9+MID(B733,2,1)*8+MID(B733,3,1)*7+MID(B733,4,1)*6+MID(B733,5,1)*5+MID(B733,6,1)*4+MID(B733,7,1)*3+MID(B733,8,1)*2+MID(B733,9,1)</f>
        <v/>
      </c>
      <c r="F733">
        <f>IF(B733="", " ", IF(LEN(B733)&lt;&gt;11, "ДЛИНА", IF(NOT(ISNUMBER(--B733)), "НЕ ЦИФРЫ", IF(LEFT(B733,9)*1&lt;=1001998, "OK", IF(RIGHT(B733,2)*1=IF(MOD(E733,101)&gt;=100,0,MOD(E733,101)),"OK","ОШИБКА")))))</f>
        <v/>
      </c>
      <c r="G7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3">
        <f>IF(LEN(TRIM(A733))=10, --MID(A733,1,1)*2+--MID(A733,2,1)*4+--MID(A733,3,1)*10+--MID(A733,4,1)*3+--MID(A733,5,1)*5+--MID(A733,6,1)*9+--MID(A733,7,1)*4+--MID(A733,8,1)*6+--MID(A733,9,1)*8, IF(LEN(TRIM(A733))=12, --MID(A733,1,1)*7+--MID(A733,2,1)*2+--MID(A733,3,1)*4+--MID(A733,4,1)*10+--MID(A733,5,1)*3+--MID(A733,6,1)*5+--MID(A733,7,1)*9+--MID(A733,8,1)*4+--MID(A733,9,1)*6+--MID(A733,10,1)*8, ""))</f>
        <v/>
      </c>
      <c r="I733">
        <f>IF(LEN(TRIM(A733))=12, --MID(A733,1,1)*3+--MID(A733,2,1)*7+--MID(A733,3,1)*2+--MID(A733,4,1)*4+--MID(A733,5,1)*10+--MID(A733,6,1)*3+--MID(A733,7,1)*5+--MID(A733,8,1)*9+--MID(A733,9,1)*4+--MID(A733,10,1)*6+--MID(A733,11,1)*8, "")</f>
        <v/>
      </c>
    </row>
    <row r="734">
      <c r="A734">
        <f>SUBSTITUTE(SUBSTITUTE(SUBSTITUTE(SUBSTITUTE(TRIM(INDEX(Реестр!$B:$B,ROW())),CHAR(160),""),CHAR(9),""),CHAR(10),""),CHAR(13),"")</f>
        <v/>
      </c>
      <c r="B734">
        <f>SUBSTITUTE(SUBSTITUTE(SUBSTITUTE(SUBSTITUTE(SUBSTITUTE(SUBSTITUTE(SUBSTITUTE(TRIM(INDEX(Реестр!$D:$D, ROW())), "-", ""), " ", ""), CHAR(160), ""), CHAR(9), ""), CHAR(10), ""), CHAR(13), ""), CHAR(32), "")</f>
        <v/>
      </c>
      <c r="C734">
        <f>INDEX(Реестр!$H:$H, ROW())</f>
        <v/>
      </c>
      <c r="D734">
        <f>IF(OR(ISBLANK(INDEX(Реестр!$B:$B, ROW())), INDEX(Реестр!$B:$B, ROW())=""), " ", IF(IFERROR(ISNUMBER(--A734),FALSE), IF(LEN(A734)=10, IF(MOD(MOD(H734,11),10)=--RIGHT(A734,1), "OK", "ОШИБКА"), IF(LEN(A734)=12, IF(AND(MOD(MOD(H734,11),10)=--MID(A734,11,1), MOD(MOD(I734,11),10)=--RIGHT(A734,1)), "OK", "ОШИБКА"), "ДЛИНА (10 или 12)")), "НЕ ЦИФРЫ"))</f>
        <v/>
      </c>
      <c r="E734">
        <f>MID(B734,1,1)*9+MID(B734,2,1)*8+MID(B734,3,1)*7+MID(B734,4,1)*6+MID(B734,5,1)*5+MID(B734,6,1)*4+MID(B734,7,1)*3+MID(B734,8,1)*2+MID(B734,9,1)</f>
        <v/>
      </c>
      <c r="F734">
        <f>IF(B734="", " ", IF(LEN(B734)&lt;&gt;11, "ДЛИНА", IF(NOT(ISNUMBER(--B734)), "НЕ ЦИФРЫ", IF(LEFT(B734,9)*1&lt;=1001998, "OK", IF(RIGHT(B734,2)*1=IF(MOD(E734,101)&gt;=100,0,MOD(E734,101)),"OK","ОШИБКА")))))</f>
        <v/>
      </c>
      <c r="G7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4">
        <f>IF(LEN(TRIM(A734))=10, --MID(A734,1,1)*2+--MID(A734,2,1)*4+--MID(A734,3,1)*10+--MID(A734,4,1)*3+--MID(A734,5,1)*5+--MID(A734,6,1)*9+--MID(A734,7,1)*4+--MID(A734,8,1)*6+--MID(A734,9,1)*8, IF(LEN(TRIM(A734))=12, --MID(A734,1,1)*7+--MID(A734,2,1)*2+--MID(A734,3,1)*4+--MID(A734,4,1)*10+--MID(A734,5,1)*3+--MID(A734,6,1)*5+--MID(A734,7,1)*9+--MID(A734,8,1)*4+--MID(A734,9,1)*6+--MID(A734,10,1)*8, ""))</f>
        <v/>
      </c>
      <c r="I734">
        <f>IF(LEN(TRIM(A734))=12, --MID(A734,1,1)*3+--MID(A734,2,1)*7+--MID(A734,3,1)*2+--MID(A734,4,1)*4+--MID(A734,5,1)*10+--MID(A734,6,1)*3+--MID(A734,7,1)*5+--MID(A734,8,1)*9+--MID(A734,9,1)*4+--MID(A734,10,1)*6+--MID(A734,11,1)*8, "")</f>
        <v/>
      </c>
    </row>
    <row r="735">
      <c r="A735">
        <f>SUBSTITUTE(SUBSTITUTE(SUBSTITUTE(SUBSTITUTE(TRIM(INDEX(Реестр!$B:$B,ROW())),CHAR(160),""),CHAR(9),""),CHAR(10),""),CHAR(13),"")</f>
        <v/>
      </c>
      <c r="B735">
        <f>SUBSTITUTE(SUBSTITUTE(SUBSTITUTE(SUBSTITUTE(SUBSTITUTE(SUBSTITUTE(SUBSTITUTE(TRIM(INDEX(Реестр!$D:$D, ROW())), "-", ""), " ", ""), CHAR(160), ""), CHAR(9), ""), CHAR(10), ""), CHAR(13), ""), CHAR(32), "")</f>
        <v/>
      </c>
      <c r="C735">
        <f>INDEX(Реестр!$H:$H, ROW())</f>
        <v/>
      </c>
      <c r="D735">
        <f>IF(OR(ISBLANK(INDEX(Реестр!$B:$B, ROW())), INDEX(Реестр!$B:$B, ROW())=""), " ", IF(IFERROR(ISNUMBER(--A735),FALSE), IF(LEN(A735)=10, IF(MOD(MOD(H735,11),10)=--RIGHT(A735,1), "OK", "ОШИБКА"), IF(LEN(A735)=12, IF(AND(MOD(MOD(H735,11),10)=--MID(A735,11,1), MOD(MOD(I735,11),10)=--RIGHT(A735,1)), "OK", "ОШИБКА"), "ДЛИНА (10 или 12)")), "НЕ ЦИФРЫ"))</f>
        <v/>
      </c>
      <c r="E735">
        <f>MID(B735,1,1)*9+MID(B735,2,1)*8+MID(B735,3,1)*7+MID(B735,4,1)*6+MID(B735,5,1)*5+MID(B735,6,1)*4+MID(B735,7,1)*3+MID(B735,8,1)*2+MID(B735,9,1)</f>
        <v/>
      </c>
      <c r="F735">
        <f>IF(B735="", " ", IF(LEN(B735)&lt;&gt;11, "ДЛИНА", IF(NOT(ISNUMBER(--B735)), "НЕ ЦИФРЫ", IF(LEFT(B735,9)*1&lt;=1001998, "OK", IF(RIGHT(B735,2)*1=IF(MOD(E735,101)&gt;=100,0,MOD(E735,101)),"OK","ОШИБКА")))))</f>
        <v/>
      </c>
      <c r="G7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5">
        <f>IF(LEN(TRIM(A735))=10, --MID(A735,1,1)*2+--MID(A735,2,1)*4+--MID(A735,3,1)*10+--MID(A735,4,1)*3+--MID(A735,5,1)*5+--MID(A735,6,1)*9+--MID(A735,7,1)*4+--MID(A735,8,1)*6+--MID(A735,9,1)*8, IF(LEN(TRIM(A735))=12, --MID(A735,1,1)*7+--MID(A735,2,1)*2+--MID(A735,3,1)*4+--MID(A735,4,1)*10+--MID(A735,5,1)*3+--MID(A735,6,1)*5+--MID(A735,7,1)*9+--MID(A735,8,1)*4+--MID(A735,9,1)*6+--MID(A735,10,1)*8, ""))</f>
        <v/>
      </c>
      <c r="I735">
        <f>IF(LEN(TRIM(A735))=12, --MID(A735,1,1)*3+--MID(A735,2,1)*7+--MID(A735,3,1)*2+--MID(A735,4,1)*4+--MID(A735,5,1)*10+--MID(A735,6,1)*3+--MID(A735,7,1)*5+--MID(A735,8,1)*9+--MID(A735,9,1)*4+--MID(A735,10,1)*6+--MID(A735,11,1)*8, "")</f>
        <v/>
      </c>
    </row>
    <row r="736">
      <c r="A736">
        <f>SUBSTITUTE(SUBSTITUTE(SUBSTITUTE(SUBSTITUTE(TRIM(INDEX(Реестр!$B:$B,ROW())),CHAR(160),""),CHAR(9),""),CHAR(10),""),CHAR(13),"")</f>
        <v/>
      </c>
      <c r="B736">
        <f>SUBSTITUTE(SUBSTITUTE(SUBSTITUTE(SUBSTITUTE(SUBSTITUTE(SUBSTITUTE(SUBSTITUTE(TRIM(INDEX(Реестр!$D:$D, ROW())), "-", ""), " ", ""), CHAR(160), ""), CHAR(9), ""), CHAR(10), ""), CHAR(13), ""), CHAR(32), "")</f>
        <v/>
      </c>
      <c r="C736">
        <f>INDEX(Реестр!$H:$H, ROW())</f>
        <v/>
      </c>
      <c r="D736">
        <f>IF(OR(ISBLANK(INDEX(Реестр!$B:$B, ROW())), INDEX(Реестр!$B:$B, ROW())=""), " ", IF(IFERROR(ISNUMBER(--A736),FALSE), IF(LEN(A736)=10, IF(MOD(MOD(H736,11),10)=--RIGHT(A736,1), "OK", "ОШИБКА"), IF(LEN(A736)=12, IF(AND(MOD(MOD(H736,11),10)=--MID(A736,11,1), MOD(MOD(I736,11),10)=--RIGHT(A736,1)), "OK", "ОШИБКА"), "ДЛИНА (10 или 12)")), "НЕ ЦИФРЫ"))</f>
        <v/>
      </c>
      <c r="E736">
        <f>MID(B736,1,1)*9+MID(B736,2,1)*8+MID(B736,3,1)*7+MID(B736,4,1)*6+MID(B736,5,1)*5+MID(B736,6,1)*4+MID(B736,7,1)*3+MID(B736,8,1)*2+MID(B736,9,1)</f>
        <v/>
      </c>
      <c r="F736">
        <f>IF(B736="", " ", IF(LEN(B736)&lt;&gt;11, "ДЛИНА", IF(NOT(ISNUMBER(--B736)), "НЕ ЦИФРЫ", IF(LEFT(B736,9)*1&lt;=1001998, "OK", IF(RIGHT(B736,2)*1=IF(MOD(E736,101)&gt;=100,0,MOD(E736,101)),"OK","ОШИБКА")))))</f>
        <v/>
      </c>
      <c r="G7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6">
        <f>IF(LEN(TRIM(A736))=10, --MID(A736,1,1)*2+--MID(A736,2,1)*4+--MID(A736,3,1)*10+--MID(A736,4,1)*3+--MID(A736,5,1)*5+--MID(A736,6,1)*9+--MID(A736,7,1)*4+--MID(A736,8,1)*6+--MID(A736,9,1)*8, IF(LEN(TRIM(A736))=12, --MID(A736,1,1)*7+--MID(A736,2,1)*2+--MID(A736,3,1)*4+--MID(A736,4,1)*10+--MID(A736,5,1)*3+--MID(A736,6,1)*5+--MID(A736,7,1)*9+--MID(A736,8,1)*4+--MID(A736,9,1)*6+--MID(A736,10,1)*8, ""))</f>
        <v/>
      </c>
      <c r="I736">
        <f>IF(LEN(TRIM(A736))=12, --MID(A736,1,1)*3+--MID(A736,2,1)*7+--MID(A736,3,1)*2+--MID(A736,4,1)*4+--MID(A736,5,1)*10+--MID(A736,6,1)*3+--MID(A736,7,1)*5+--MID(A736,8,1)*9+--MID(A736,9,1)*4+--MID(A736,10,1)*6+--MID(A736,11,1)*8, "")</f>
        <v/>
      </c>
    </row>
    <row r="737">
      <c r="A737">
        <f>SUBSTITUTE(SUBSTITUTE(SUBSTITUTE(SUBSTITUTE(TRIM(INDEX(Реестр!$B:$B,ROW())),CHAR(160),""),CHAR(9),""),CHAR(10),""),CHAR(13),"")</f>
        <v/>
      </c>
      <c r="B737">
        <f>SUBSTITUTE(SUBSTITUTE(SUBSTITUTE(SUBSTITUTE(SUBSTITUTE(SUBSTITUTE(SUBSTITUTE(TRIM(INDEX(Реестр!$D:$D, ROW())), "-", ""), " ", ""), CHAR(160), ""), CHAR(9), ""), CHAR(10), ""), CHAR(13), ""), CHAR(32), "")</f>
        <v/>
      </c>
      <c r="C737">
        <f>INDEX(Реестр!$H:$H, ROW())</f>
        <v/>
      </c>
      <c r="D737">
        <f>IF(OR(ISBLANK(INDEX(Реестр!$B:$B, ROW())), INDEX(Реестр!$B:$B, ROW())=""), " ", IF(IFERROR(ISNUMBER(--A737),FALSE), IF(LEN(A737)=10, IF(MOD(MOD(H737,11),10)=--RIGHT(A737,1), "OK", "ОШИБКА"), IF(LEN(A737)=12, IF(AND(MOD(MOD(H737,11),10)=--MID(A737,11,1), MOD(MOD(I737,11),10)=--RIGHT(A737,1)), "OK", "ОШИБКА"), "ДЛИНА (10 или 12)")), "НЕ ЦИФРЫ"))</f>
        <v/>
      </c>
      <c r="E737">
        <f>MID(B737,1,1)*9+MID(B737,2,1)*8+MID(B737,3,1)*7+MID(B737,4,1)*6+MID(B737,5,1)*5+MID(B737,6,1)*4+MID(B737,7,1)*3+MID(B737,8,1)*2+MID(B737,9,1)</f>
        <v/>
      </c>
      <c r="F737">
        <f>IF(B737="", " ", IF(LEN(B737)&lt;&gt;11, "ДЛИНА", IF(NOT(ISNUMBER(--B737)), "НЕ ЦИФРЫ", IF(LEFT(B737,9)*1&lt;=1001998, "OK", IF(RIGHT(B737,2)*1=IF(MOD(E737,101)&gt;=100,0,MOD(E737,101)),"OK","ОШИБКА")))))</f>
        <v/>
      </c>
      <c r="G7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7">
        <f>IF(LEN(TRIM(A737))=10, --MID(A737,1,1)*2+--MID(A737,2,1)*4+--MID(A737,3,1)*10+--MID(A737,4,1)*3+--MID(A737,5,1)*5+--MID(A737,6,1)*9+--MID(A737,7,1)*4+--MID(A737,8,1)*6+--MID(A737,9,1)*8, IF(LEN(TRIM(A737))=12, --MID(A737,1,1)*7+--MID(A737,2,1)*2+--MID(A737,3,1)*4+--MID(A737,4,1)*10+--MID(A737,5,1)*3+--MID(A737,6,1)*5+--MID(A737,7,1)*9+--MID(A737,8,1)*4+--MID(A737,9,1)*6+--MID(A737,10,1)*8, ""))</f>
        <v/>
      </c>
      <c r="I737">
        <f>IF(LEN(TRIM(A737))=12, --MID(A737,1,1)*3+--MID(A737,2,1)*7+--MID(A737,3,1)*2+--MID(A737,4,1)*4+--MID(A737,5,1)*10+--MID(A737,6,1)*3+--MID(A737,7,1)*5+--MID(A737,8,1)*9+--MID(A737,9,1)*4+--MID(A737,10,1)*6+--MID(A737,11,1)*8, "")</f>
        <v/>
      </c>
    </row>
    <row r="738">
      <c r="A738">
        <f>SUBSTITUTE(SUBSTITUTE(SUBSTITUTE(SUBSTITUTE(TRIM(INDEX(Реестр!$B:$B,ROW())),CHAR(160),""),CHAR(9),""),CHAR(10),""),CHAR(13),"")</f>
        <v/>
      </c>
      <c r="B738">
        <f>SUBSTITUTE(SUBSTITUTE(SUBSTITUTE(SUBSTITUTE(SUBSTITUTE(SUBSTITUTE(SUBSTITUTE(TRIM(INDEX(Реестр!$D:$D, ROW())), "-", ""), " ", ""), CHAR(160), ""), CHAR(9), ""), CHAR(10), ""), CHAR(13), ""), CHAR(32), "")</f>
        <v/>
      </c>
      <c r="C738">
        <f>INDEX(Реестр!$H:$H, ROW())</f>
        <v/>
      </c>
      <c r="D738">
        <f>IF(OR(ISBLANK(INDEX(Реестр!$B:$B, ROW())), INDEX(Реестр!$B:$B, ROW())=""), " ", IF(IFERROR(ISNUMBER(--A738),FALSE), IF(LEN(A738)=10, IF(MOD(MOD(H738,11),10)=--RIGHT(A738,1), "OK", "ОШИБКА"), IF(LEN(A738)=12, IF(AND(MOD(MOD(H738,11),10)=--MID(A738,11,1), MOD(MOD(I738,11),10)=--RIGHT(A738,1)), "OK", "ОШИБКА"), "ДЛИНА (10 или 12)")), "НЕ ЦИФРЫ"))</f>
        <v/>
      </c>
      <c r="E738">
        <f>MID(B738,1,1)*9+MID(B738,2,1)*8+MID(B738,3,1)*7+MID(B738,4,1)*6+MID(B738,5,1)*5+MID(B738,6,1)*4+MID(B738,7,1)*3+MID(B738,8,1)*2+MID(B738,9,1)</f>
        <v/>
      </c>
      <c r="F738">
        <f>IF(B738="", " ", IF(LEN(B738)&lt;&gt;11, "ДЛИНА", IF(NOT(ISNUMBER(--B738)), "НЕ ЦИФРЫ", IF(LEFT(B738,9)*1&lt;=1001998, "OK", IF(RIGHT(B738,2)*1=IF(MOD(E738,101)&gt;=100,0,MOD(E738,101)),"OK","ОШИБКА")))))</f>
        <v/>
      </c>
      <c r="G7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8">
        <f>IF(LEN(TRIM(A738))=10, --MID(A738,1,1)*2+--MID(A738,2,1)*4+--MID(A738,3,1)*10+--MID(A738,4,1)*3+--MID(A738,5,1)*5+--MID(A738,6,1)*9+--MID(A738,7,1)*4+--MID(A738,8,1)*6+--MID(A738,9,1)*8, IF(LEN(TRIM(A738))=12, --MID(A738,1,1)*7+--MID(A738,2,1)*2+--MID(A738,3,1)*4+--MID(A738,4,1)*10+--MID(A738,5,1)*3+--MID(A738,6,1)*5+--MID(A738,7,1)*9+--MID(A738,8,1)*4+--MID(A738,9,1)*6+--MID(A738,10,1)*8, ""))</f>
        <v/>
      </c>
      <c r="I738">
        <f>IF(LEN(TRIM(A738))=12, --MID(A738,1,1)*3+--MID(A738,2,1)*7+--MID(A738,3,1)*2+--MID(A738,4,1)*4+--MID(A738,5,1)*10+--MID(A738,6,1)*3+--MID(A738,7,1)*5+--MID(A738,8,1)*9+--MID(A738,9,1)*4+--MID(A738,10,1)*6+--MID(A738,11,1)*8, "")</f>
        <v/>
      </c>
    </row>
    <row r="739">
      <c r="A739">
        <f>SUBSTITUTE(SUBSTITUTE(SUBSTITUTE(SUBSTITUTE(TRIM(INDEX(Реестр!$B:$B,ROW())),CHAR(160),""),CHAR(9),""),CHAR(10),""),CHAR(13),"")</f>
        <v/>
      </c>
      <c r="B739">
        <f>SUBSTITUTE(SUBSTITUTE(SUBSTITUTE(SUBSTITUTE(SUBSTITUTE(SUBSTITUTE(SUBSTITUTE(TRIM(INDEX(Реестр!$D:$D, ROW())), "-", ""), " ", ""), CHAR(160), ""), CHAR(9), ""), CHAR(10), ""), CHAR(13), ""), CHAR(32), "")</f>
        <v/>
      </c>
      <c r="C739">
        <f>INDEX(Реестр!$H:$H, ROW())</f>
        <v/>
      </c>
      <c r="D739">
        <f>IF(OR(ISBLANK(INDEX(Реестр!$B:$B, ROW())), INDEX(Реестр!$B:$B, ROW())=""), " ", IF(IFERROR(ISNUMBER(--A739),FALSE), IF(LEN(A739)=10, IF(MOD(MOD(H739,11),10)=--RIGHT(A739,1), "OK", "ОШИБКА"), IF(LEN(A739)=12, IF(AND(MOD(MOD(H739,11),10)=--MID(A739,11,1), MOD(MOD(I739,11),10)=--RIGHT(A739,1)), "OK", "ОШИБКА"), "ДЛИНА (10 или 12)")), "НЕ ЦИФРЫ"))</f>
        <v/>
      </c>
      <c r="E739">
        <f>MID(B739,1,1)*9+MID(B739,2,1)*8+MID(B739,3,1)*7+MID(B739,4,1)*6+MID(B739,5,1)*5+MID(B739,6,1)*4+MID(B739,7,1)*3+MID(B739,8,1)*2+MID(B739,9,1)</f>
        <v/>
      </c>
      <c r="F739">
        <f>IF(B739="", " ", IF(LEN(B739)&lt;&gt;11, "ДЛИНА", IF(NOT(ISNUMBER(--B739)), "НЕ ЦИФРЫ", IF(LEFT(B739,9)*1&lt;=1001998, "OK", IF(RIGHT(B739,2)*1=IF(MOD(E739,101)&gt;=100,0,MOD(E739,101)),"OK","ОШИБКА")))))</f>
        <v/>
      </c>
      <c r="G7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39">
        <f>IF(LEN(TRIM(A739))=10, --MID(A739,1,1)*2+--MID(A739,2,1)*4+--MID(A739,3,1)*10+--MID(A739,4,1)*3+--MID(A739,5,1)*5+--MID(A739,6,1)*9+--MID(A739,7,1)*4+--MID(A739,8,1)*6+--MID(A739,9,1)*8, IF(LEN(TRIM(A739))=12, --MID(A739,1,1)*7+--MID(A739,2,1)*2+--MID(A739,3,1)*4+--MID(A739,4,1)*10+--MID(A739,5,1)*3+--MID(A739,6,1)*5+--MID(A739,7,1)*9+--MID(A739,8,1)*4+--MID(A739,9,1)*6+--MID(A739,10,1)*8, ""))</f>
        <v/>
      </c>
      <c r="I739">
        <f>IF(LEN(TRIM(A739))=12, --MID(A739,1,1)*3+--MID(A739,2,1)*7+--MID(A739,3,1)*2+--MID(A739,4,1)*4+--MID(A739,5,1)*10+--MID(A739,6,1)*3+--MID(A739,7,1)*5+--MID(A739,8,1)*9+--MID(A739,9,1)*4+--MID(A739,10,1)*6+--MID(A739,11,1)*8, "")</f>
        <v/>
      </c>
    </row>
    <row r="740">
      <c r="A740">
        <f>SUBSTITUTE(SUBSTITUTE(SUBSTITUTE(SUBSTITUTE(TRIM(INDEX(Реестр!$B:$B,ROW())),CHAR(160),""),CHAR(9),""),CHAR(10),""),CHAR(13),"")</f>
        <v/>
      </c>
      <c r="B740">
        <f>SUBSTITUTE(SUBSTITUTE(SUBSTITUTE(SUBSTITUTE(SUBSTITUTE(SUBSTITUTE(SUBSTITUTE(TRIM(INDEX(Реестр!$D:$D, ROW())), "-", ""), " ", ""), CHAR(160), ""), CHAR(9), ""), CHAR(10), ""), CHAR(13), ""), CHAR(32), "")</f>
        <v/>
      </c>
      <c r="C740">
        <f>INDEX(Реестр!$H:$H, ROW())</f>
        <v/>
      </c>
      <c r="D740">
        <f>IF(OR(ISBLANK(INDEX(Реестр!$B:$B, ROW())), INDEX(Реестр!$B:$B, ROW())=""), " ", IF(IFERROR(ISNUMBER(--A740),FALSE), IF(LEN(A740)=10, IF(MOD(MOD(H740,11),10)=--RIGHT(A740,1), "OK", "ОШИБКА"), IF(LEN(A740)=12, IF(AND(MOD(MOD(H740,11),10)=--MID(A740,11,1), MOD(MOD(I740,11),10)=--RIGHT(A740,1)), "OK", "ОШИБКА"), "ДЛИНА (10 или 12)")), "НЕ ЦИФРЫ"))</f>
        <v/>
      </c>
      <c r="E740">
        <f>MID(B740,1,1)*9+MID(B740,2,1)*8+MID(B740,3,1)*7+MID(B740,4,1)*6+MID(B740,5,1)*5+MID(B740,6,1)*4+MID(B740,7,1)*3+MID(B740,8,1)*2+MID(B740,9,1)</f>
        <v/>
      </c>
      <c r="F740">
        <f>IF(B740="", " ", IF(LEN(B740)&lt;&gt;11, "ДЛИНА", IF(NOT(ISNUMBER(--B740)), "НЕ ЦИФРЫ", IF(LEFT(B740,9)*1&lt;=1001998, "OK", IF(RIGHT(B740,2)*1=IF(MOD(E740,101)&gt;=100,0,MOD(E740,101)),"OK","ОШИБКА")))))</f>
        <v/>
      </c>
      <c r="G7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0">
        <f>IF(LEN(TRIM(A740))=10, --MID(A740,1,1)*2+--MID(A740,2,1)*4+--MID(A740,3,1)*10+--MID(A740,4,1)*3+--MID(A740,5,1)*5+--MID(A740,6,1)*9+--MID(A740,7,1)*4+--MID(A740,8,1)*6+--MID(A740,9,1)*8, IF(LEN(TRIM(A740))=12, --MID(A740,1,1)*7+--MID(A740,2,1)*2+--MID(A740,3,1)*4+--MID(A740,4,1)*10+--MID(A740,5,1)*3+--MID(A740,6,1)*5+--MID(A740,7,1)*9+--MID(A740,8,1)*4+--MID(A740,9,1)*6+--MID(A740,10,1)*8, ""))</f>
        <v/>
      </c>
      <c r="I740">
        <f>IF(LEN(TRIM(A740))=12, --MID(A740,1,1)*3+--MID(A740,2,1)*7+--MID(A740,3,1)*2+--MID(A740,4,1)*4+--MID(A740,5,1)*10+--MID(A740,6,1)*3+--MID(A740,7,1)*5+--MID(A740,8,1)*9+--MID(A740,9,1)*4+--MID(A740,10,1)*6+--MID(A740,11,1)*8, "")</f>
        <v/>
      </c>
    </row>
    <row r="741">
      <c r="A741">
        <f>SUBSTITUTE(SUBSTITUTE(SUBSTITUTE(SUBSTITUTE(TRIM(INDEX(Реестр!$B:$B,ROW())),CHAR(160),""),CHAR(9),""),CHAR(10),""),CHAR(13),"")</f>
        <v/>
      </c>
      <c r="B741">
        <f>SUBSTITUTE(SUBSTITUTE(SUBSTITUTE(SUBSTITUTE(SUBSTITUTE(SUBSTITUTE(SUBSTITUTE(TRIM(INDEX(Реестр!$D:$D, ROW())), "-", ""), " ", ""), CHAR(160), ""), CHAR(9), ""), CHAR(10), ""), CHAR(13), ""), CHAR(32), "")</f>
        <v/>
      </c>
      <c r="C741">
        <f>INDEX(Реестр!$H:$H, ROW())</f>
        <v/>
      </c>
      <c r="D741">
        <f>IF(OR(ISBLANK(INDEX(Реестр!$B:$B, ROW())), INDEX(Реестр!$B:$B, ROW())=""), " ", IF(IFERROR(ISNUMBER(--A741),FALSE), IF(LEN(A741)=10, IF(MOD(MOD(H741,11),10)=--RIGHT(A741,1), "OK", "ОШИБКА"), IF(LEN(A741)=12, IF(AND(MOD(MOD(H741,11),10)=--MID(A741,11,1), MOD(MOD(I741,11),10)=--RIGHT(A741,1)), "OK", "ОШИБКА"), "ДЛИНА (10 или 12)")), "НЕ ЦИФРЫ"))</f>
        <v/>
      </c>
      <c r="E741">
        <f>MID(B741,1,1)*9+MID(B741,2,1)*8+MID(B741,3,1)*7+MID(B741,4,1)*6+MID(B741,5,1)*5+MID(B741,6,1)*4+MID(B741,7,1)*3+MID(B741,8,1)*2+MID(B741,9,1)</f>
        <v/>
      </c>
      <c r="F741">
        <f>IF(B741="", " ", IF(LEN(B741)&lt;&gt;11, "ДЛИНА", IF(NOT(ISNUMBER(--B741)), "НЕ ЦИФРЫ", IF(LEFT(B741,9)*1&lt;=1001998, "OK", IF(RIGHT(B741,2)*1=IF(MOD(E741,101)&gt;=100,0,MOD(E741,101)),"OK","ОШИБКА")))))</f>
        <v/>
      </c>
      <c r="G7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1">
        <f>IF(LEN(TRIM(A741))=10, --MID(A741,1,1)*2+--MID(A741,2,1)*4+--MID(A741,3,1)*10+--MID(A741,4,1)*3+--MID(A741,5,1)*5+--MID(A741,6,1)*9+--MID(A741,7,1)*4+--MID(A741,8,1)*6+--MID(A741,9,1)*8, IF(LEN(TRIM(A741))=12, --MID(A741,1,1)*7+--MID(A741,2,1)*2+--MID(A741,3,1)*4+--MID(A741,4,1)*10+--MID(A741,5,1)*3+--MID(A741,6,1)*5+--MID(A741,7,1)*9+--MID(A741,8,1)*4+--MID(A741,9,1)*6+--MID(A741,10,1)*8, ""))</f>
        <v/>
      </c>
      <c r="I741">
        <f>IF(LEN(TRIM(A741))=12, --MID(A741,1,1)*3+--MID(A741,2,1)*7+--MID(A741,3,1)*2+--MID(A741,4,1)*4+--MID(A741,5,1)*10+--MID(A741,6,1)*3+--MID(A741,7,1)*5+--MID(A741,8,1)*9+--MID(A741,9,1)*4+--MID(A741,10,1)*6+--MID(A741,11,1)*8, "")</f>
        <v/>
      </c>
    </row>
    <row r="742">
      <c r="A742">
        <f>SUBSTITUTE(SUBSTITUTE(SUBSTITUTE(SUBSTITUTE(TRIM(INDEX(Реестр!$B:$B,ROW())),CHAR(160),""),CHAR(9),""),CHAR(10),""),CHAR(13),"")</f>
        <v/>
      </c>
      <c r="B742">
        <f>SUBSTITUTE(SUBSTITUTE(SUBSTITUTE(SUBSTITUTE(SUBSTITUTE(SUBSTITUTE(SUBSTITUTE(TRIM(INDEX(Реестр!$D:$D, ROW())), "-", ""), " ", ""), CHAR(160), ""), CHAR(9), ""), CHAR(10), ""), CHAR(13), ""), CHAR(32), "")</f>
        <v/>
      </c>
      <c r="C742">
        <f>INDEX(Реестр!$H:$H, ROW())</f>
        <v/>
      </c>
      <c r="D742">
        <f>IF(OR(ISBLANK(INDEX(Реестр!$B:$B, ROW())), INDEX(Реестр!$B:$B, ROW())=""), " ", IF(IFERROR(ISNUMBER(--A742),FALSE), IF(LEN(A742)=10, IF(MOD(MOD(H742,11),10)=--RIGHT(A742,1), "OK", "ОШИБКА"), IF(LEN(A742)=12, IF(AND(MOD(MOD(H742,11),10)=--MID(A742,11,1), MOD(MOD(I742,11),10)=--RIGHT(A742,1)), "OK", "ОШИБКА"), "ДЛИНА (10 или 12)")), "НЕ ЦИФРЫ"))</f>
        <v/>
      </c>
      <c r="E742">
        <f>MID(B742,1,1)*9+MID(B742,2,1)*8+MID(B742,3,1)*7+MID(B742,4,1)*6+MID(B742,5,1)*5+MID(B742,6,1)*4+MID(B742,7,1)*3+MID(B742,8,1)*2+MID(B742,9,1)</f>
        <v/>
      </c>
      <c r="F742">
        <f>IF(B742="", " ", IF(LEN(B742)&lt;&gt;11, "ДЛИНА", IF(NOT(ISNUMBER(--B742)), "НЕ ЦИФРЫ", IF(LEFT(B742,9)*1&lt;=1001998, "OK", IF(RIGHT(B742,2)*1=IF(MOD(E742,101)&gt;=100,0,MOD(E742,101)),"OK","ОШИБКА")))))</f>
        <v/>
      </c>
      <c r="G7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2">
        <f>IF(LEN(TRIM(A742))=10, --MID(A742,1,1)*2+--MID(A742,2,1)*4+--MID(A742,3,1)*10+--MID(A742,4,1)*3+--MID(A742,5,1)*5+--MID(A742,6,1)*9+--MID(A742,7,1)*4+--MID(A742,8,1)*6+--MID(A742,9,1)*8, IF(LEN(TRIM(A742))=12, --MID(A742,1,1)*7+--MID(A742,2,1)*2+--MID(A742,3,1)*4+--MID(A742,4,1)*10+--MID(A742,5,1)*3+--MID(A742,6,1)*5+--MID(A742,7,1)*9+--MID(A742,8,1)*4+--MID(A742,9,1)*6+--MID(A742,10,1)*8, ""))</f>
        <v/>
      </c>
      <c r="I742">
        <f>IF(LEN(TRIM(A742))=12, --MID(A742,1,1)*3+--MID(A742,2,1)*7+--MID(A742,3,1)*2+--MID(A742,4,1)*4+--MID(A742,5,1)*10+--MID(A742,6,1)*3+--MID(A742,7,1)*5+--MID(A742,8,1)*9+--MID(A742,9,1)*4+--MID(A742,10,1)*6+--MID(A742,11,1)*8, "")</f>
        <v/>
      </c>
    </row>
    <row r="743">
      <c r="A743">
        <f>SUBSTITUTE(SUBSTITUTE(SUBSTITUTE(SUBSTITUTE(TRIM(INDEX(Реестр!$B:$B,ROW())),CHAR(160),""),CHAR(9),""),CHAR(10),""),CHAR(13),"")</f>
        <v/>
      </c>
      <c r="B743">
        <f>SUBSTITUTE(SUBSTITUTE(SUBSTITUTE(SUBSTITUTE(SUBSTITUTE(SUBSTITUTE(SUBSTITUTE(TRIM(INDEX(Реестр!$D:$D, ROW())), "-", ""), " ", ""), CHAR(160), ""), CHAR(9), ""), CHAR(10), ""), CHAR(13), ""), CHAR(32), "")</f>
        <v/>
      </c>
      <c r="C743">
        <f>INDEX(Реестр!$H:$H, ROW())</f>
        <v/>
      </c>
      <c r="D743">
        <f>IF(OR(ISBLANK(INDEX(Реестр!$B:$B, ROW())), INDEX(Реестр!$B:$B, ROW())=""), " ", IF(IFERROR(ISNUMBER(--A743),FALSE), IF(LEN(A743)=10, IF(MOD(MOD(H743,11),10)=--RIGHT(A743,1), "OK", "ОШИБКА"), IF(LEN(A743)=12, IF(AND(MOD(MOD(H743,11),10)=--MID(A743,11,1), MOD(MOD(I743,11),10)=--RIGHT(A743,1)), "OK", "ОШИБКА"), "ДЛИНА (10 или 12)")), "НЕ ЦИФРЫ"))</f>
        <v/>
      </c>
      <c r="E743">
        <f>MID(B743,1,1)*9+MID(B743,2,1)*8+MID(B743,3,1)*7+MID(B743,4,1)*6+MID(B743,5,1)*5+MID(B743,6,1)*4+MID(B743,7,1)*3+MID(B743,8,1)*2+MID(B743,9,1)</f>
        <v/>
      </c>
      <c r="F743">
        <f>IF(B743="", " ", IF(LEN(B743)&lt;&gt;11, "ДЛИНА", IF(NOT(ISNUMBER(--B743)), "НЕ ЦИФРЫ", IF(LEFT(B743,9)*1&lt;=1001998, "OK", IF(RIGHT(B743,2)*1=IF(MOD(E743,101)&gt;=100,0,MOD(E743,101)),"OK","ОШИБКА")))))</f>
        <v/>
      </c>
      <c r="G7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3">
        <f>IF(LEN(TRIM(A743))=10, --MID(A743,1,1)*2+--MID(A743,2,1)*4+--MID(A743,3,1)*10+--MID(A743,4,1)*3+--MID(A743,5,1)*5+--MID(A743,6,1)*9+--MID(A743,7,1)*4+--MID(A743,8,1)*6+--MID(A743,9,1)*8, IF(LEN(TRIM(A743))=12, --MID(A743,1,1)*7+--MID(A743,2,1)*2+--MID(A743,3,1)*4+--MID(A743,4,1)*10+--MID(A743,5,1)*3+--MID(A743,6,1)*5+--MID(A743,7,1)*9+--MID(A743,8,1)*4+--MID(A743,9,1)*6+--MID(A743,10,1)*8, ""))</f>
        <v/>
      </c>
      <c r="I743">
        <f>IF(LEN(TRIM(A743))=12, --MID(A743,1,1)*3+--MID(A743,2,1)*7+--MID(A743,3,1)*2+--MID(A743,4,1)*4+--MID(A743,5,1)*10+--MID(A743,6,1)*3+--MID(A743,7,1)*5+--MID(A743,8,1)*9+--MID(A743,9,1)*4+--MID(A743,10,1)*6+--MID(A743,11,1)*8, "")</f>
        <v/>
      </c>
    </row>
    <row r="744">
      <c r="A744">
        <f>SUBSTITUTE(SUBSTITUTE(SUBSTITUTE(SUBSTITUTE(TRIM(INDEX(Реестр!$B:$B,ROW())),CHAR(160),""),CHAR(9),""),CHAR(10),""),CHAR(13),"")</f>
        <v/>
      </c>
      <c r="B744">
        <f>SUBSTITUTE(SUBSTITUTE(SUBSTITUTE(SUBSTITUTE(SUBSTITUTE(SUBSTITUTE(SUBSTITUTE(TRIM(INDEX(Реестр!$D:$D, ROW())), "-", ""), " ", ""), CHAR(160), ""), CHAR(9), ""), CHAR(10), ""), CHAR(13), ""), CHAR(32), "")</f>
        <v/>
      </c>
      <c r="C744">
        <f>INDEX(Реестр!$H:$H, ROW())</f>
        <v/>
      </c>
      <c r="D744">
        <f>IF(OR(ISBLANK(INDEX(Реестр!$B:$B, ROW())), INDEX(Реестр!$B:$B, ROW())=""), " ", IF(IFERROR(ISNUMBER(--A744),FALSE), IF(LEN(A744)=10, IF(MOD(MOD(H744,11),10)=--RIGHT(A744,1), "OK", "ОШИБКА"), IF(LEN(A744)=12, IF(AND(MOD(MOD(H744,11),10)=--MID(A744,11,1), MOD(MOD(I744,11),10)=--RIGHT(A744,1)), "OK", "ОШИБКА"), "ДЛИНА (10 или 12)")), "НЕ ЦИФРЫ"))</f>
        <v/>
      </c>
      <c r="E744">
        <f>MID(B744,1,1)*9+MID(B744,2,1)*8+MID(B744,3,1)*7+MID(B744,4,1)*6+MID(B744,5,1)*5+MID(B744,6,1)*4+MID(B744,7,1)*3+MID(B744,8,1)*2+MID(B744,9,1)</f>
        <v/>
      </c>
      <c r="F744">
        <f>IF(B744="", " ", IF(LEN(B744)&lt;&gt;11, "ДЛИНА", IF(NOT(ISNUMBER(--B744)), "НЕ ЦИФРЫ", IF(LEFT(B744,9)*1&lt;=1001998, "OK", IF(RIGHT(B744,2)*1=IF(MOD(E744,101)&gt;=100,0,MOD(E744,101)),"OK","ОШИБКА")))))</f>
        <v/>
      </c>
      <c r="G7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4">
        <f>IF(LEN(TRIM(A744))=10, --MID(A744,1,1)*2+--MID(A744,2,1)*4+--MID(A744,3,1)*10+--MID(A744,4,1)*3+--MID(A744,5,1)*5+--MID(A744,6,1)*9+--MID(A744,7,1)*4+--MID(A744,8,1)*6+--MID(A744,9,1)*8, IF(LEN(TRIM(A744))=12, --MID(A744,1,1)*7+--MID(A744,2,1)*2+--MID(A744,3,1)*4+--MID(A744,4,1)*10+--MID(A744,5,1)*3+--MID(A744,6,1)*5+--MID(A744,7,1)*9+--MID(A744,8,1)*4+--MID(A744,9,1)*6+--MID(A744,10,1)*8, ""))</f>
        <v/>
      </c>
      <c r="I744">
        <f>IF(LEN(TRIM(A744))=12, --MID(A744,1,1)*3+--MID(A744,2,1)*7+--MID(A744,3,1)*2+--MID(A744,4,1)*4+--MID(A744,5,1)*10+--MID(A744,6,1)*3+--MID(A744,7,1)*5+--MID(A744,8,1)*9+--MID(A744,9,1)*4+--MID(A744,10,1)*6+--MID(A744,11,1)*8, "")</f>
        <v/>
      </c>
    </row>
    <row r="745">
      <c r="A745">
        <f>SUBSTITUTE(SUBSTITUTE(SUBSTITUTE(SUBSTITUTE(TRIM(INDEX(Реестр!$B:$B,ROW())),CHAR(160),""),CHAR(9),""),CHAR(10),""),CHAR(13),"")</f>
        <v/>
      </c>
      <c r="B745">
        <f>SUBSTITUTE(SUBSTITUTE(SUBSTITUTE(SUBSTITUTE(SUBSTITUTE(SUBSTITUTE(SUBSTITUTE(TRIM(INDEX(Реестр!$D:$D, ROW())), "-", ""), " ", ""), CHAR(160), ""), CHAR(9), ""), CHAR(10), ""), CHAR(13), ""), CHAR(32), "")</f>
        <v/>
      </c>
      <c r="C745">
        <f>INDEX(Реестр!$H:$H, ROW())</f>
        <v/>
      </c>
      <c r="D745">
        <f>IF(OR(ISBLANK(INDEX(Реестр!$B:$B, ROW())), INDEX(Реестр!$B:$B, ROW())=""), " ", IF(IFERROR(ISNUMBER(--A745),FALSE), IF(LEN(A745)=10, IF(MOD(MOD(H745,11),10)=--RIGHT(A745,1), "OK", "ОШИБКА"), IF(LEN(A745)=12, IF(AND(MOD(MOD(H745,11),10)=--MID(A745,11,1), MOD(MOD(I745,11),10)=--RIGHT(A745,1)), "OK", "ОШИБКА"), "ДЛИНА (10 или 12)")), "НЕ ЦИФРЫ"))</f>
        <v/>
      </c>
      <c r="E745">
        <f>MID(B745,1,1)*9+MID(B745,2,1)*8+MID(B745,3,1)*7+MID(B745,4,1)*6+MID(B745,5,1)*5+MID(B745,6,1)*4+MID(B745,7,1)*3+MID(B745,8,1)*2+MID(B745,9,1)</f>
        <v/>
      </c>
      <c r="F745">
        <f>IF(B745="", " ", IF(LEN(B745)&lt;&gt;11, "ДЛИНА", IF(NOT(ISNUMBER(--B745)), "НЕ ЦИФРЫ", IF(LEFT(B745,9)*1&lt;=1001998, "OK", IF(RIGHT(B745,2)*1=IF(MOD(E745,101)&gt;=100,0,MOD(E745,101)),"OK","ОШИБКА")))))</f>
        <v/>
      </c>
      <c r="G7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5">
        <f>IF(LEN(TRIM(A745))=10, --MID(A745,1,1)*2+--MID(A745,2,1)*4+--MID(A745,3,1)*10+--MID(A745,4,1)*3+--MID(A745,5,1)*5+--MID(A745,6,1)*9+--MID(A745,7,1)*4+--MID(A745,8,1)*6+--MID(A745,9,1)*8, IF(LEN(TRIM(A745))=12, --MID(A745,1,1)*7+--MID(A745,2,1)*2+--MID(A745,3,1)*4+--MID(A745,4,1)*10+--MID(A745,5,1)*3+--MID(A745,6,1)*5+--MID(A745,7,1)*9+--MID(A745,8,1)*4+--MID(A745,9,1)*6+--MID(A745,10,1)*8, ""))</f>
        <v/>
      </c>
      <c r="I745">
        <f>IF(LEN(TRIM(A745))=12, --MID(A745,1,1)*3+--MID(A745,2,1)*7+--MID(A745,3,1)*2+--MID(A745,4,1)*4+--MID(A745,5,1)*10+--MID(A745,6,1)*3+--MID(A745,7,1)*5+--MID(A745,8,1)*9+--MID(A745,9,1)*4+--MID(A745,10,1)*6+--MID(A745,11,1)*8, "")</f>
        <v/>
      </c>
    </row>
    <row r="746">
      <c r="A746">
        <f>SUBSTITUTE(SUBSTITUTE(SUBSTITUTE(SUBSTITUTE(TRIM(INDEX(Реестр!$B:$B,ROW())),CHAR(160),""),CHAR(9),""),CHAR(10),""),CHAR(13),"")</f>
        <v/>
      </c>
      <c r="B746">
        <f>SUBSTITUTE(SUBSTITUTE(SUBSTITUTE(SUBSTITUTE(SUBSTITUTE(SUBSTITUTE(SUBSTITUTE(TRIM(INDEX(Реестр!$D:$D, ROW())), "-", ""), " ", ""), CHAR(160), ""), CHAR(9), ""), CHAR(10), ""), CHAR(13), ""), CHAR(32), "")</f>
        <v/>
      </c>
      <c r="C746">
        <f>INDEX(Реестр!$H:$H, ROW())</f>
        <v/>
      </c>
      <c r="D746">
        <f>IF(OR(ISBLANK(INDEX(Реестр!$B:$B, ROW())), INDEX(Реестр!$B:$B, ROW())=""), " ", IF(IFERROR(ISNUMBER(--A746),FALSE), IF(LEN(A746)=10, IF(MOD(MOD(H746,11),10)=--RIGHT(A746,1), "OK", "ОШИБКА"), IF(LEN(A746)=12, IF(AND(MOD(MOD(H746,11),10)=--MID(A746,11,1), MOD(MOD(I746,11),10)=--RIGHT(A746,1)), "OK", "ОШИБКА"), "ДЛИНА (10 или 12)")), "НЕ ЦИФРЫ"))</f>
        <v/>
      </c>
      <c r="E746">
        <f>MID(B746,1,1)*9+MID(B746,2,1)*8+MID(B746,3,1)*7+MID(B746,4,1)*6+MID(B746,5,1)*5+MID(B746,6,1)*4+MID(B746,7,1)*3+MID(B746,8,1)*2+MID(B746,9,1)</f>
        <v/>
      </c>
      <c r="F746">
        <f>IF(B746="", " ", IF(LEN(B746)&lt;&gt;11, "ДЛИНА", IF(NOT(ISNUMBER(--B746)), "НЕ ЦИФРЫ", IF(LEFT(B746,9)*1&lt;=1001998, "OK", IF(RIGHT(B746,2)*1=IF(MOD(E746,101)&gt;=100,0,MOD(E746,101)),"OK","ОШИБКА")))))</f>
        <v/>
      </c>
      <c r="G7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6">
        <f>IF(LEN(TRIM(A746))=10, --MID(A746,1,1)*2+--MID(A746,2,1)*4+--MID(A746,3,1)*10+--MID(A746,4,1)*3+--MID(A746,5,1)*5+--MID(A746,6,1)*9+--MID(A746,7,1)*4+--MID(A746,8,1)*6+--MID(A746,9,1)*8, IF(LEN(TRIM(A746))=12, --MID(A746,1,1)*7+--MID(A746,2,1)*2+--MID(A746,3,1)*4+--MID(A746,4,1)*10+--MID(A746,5,1)*3+--MID(A746,6,1)*5+--MID(A746,7,1)*9+--MID(A746,8,1)*4+--MID(A746,9,1)*6+--MID(A746,10,1)*8, ""))</f>
        <v/>
      </c>
      <c r="I746">
        <f>IF(LEN(TRIM(A746))=12, --MID(A746,1,1)*3+--MID(A746,2,1)*7+--MID(A746,3,1)*2+--MID(A746,4,1)*4+--MID(A746,5,1)*10+--MID(A746,6,1)*3+--MID(A746,7,1)*5+--MID(A746,8,1)*9+--MID(A746,9,1)*4+--MID(A746,10,1)*6+--MID(A746,11,1)*8, "")</f>
        <v/>
      </c>
    </row>
    <row r="747">
      <c r="A747">
        <f>SUBSTITUTE(SUBSTITUTE(SUBSTITUTE(SUBSTITUTE(TRIM(INDEX(Реестр!$B:$B,ROW())),CHAR(160),""),CHAR(9),""),CHAR(10),""),CHAR(13),"")</f>
        <v/>
      </c>
      <c r="B747">
        <f>SUBSTITUTE(SUBSTITUTE(SUBSTITUTE(SUBSTITUTE(SUBSTITUTE(SUBSTITUTE(SUBSTITUTE(TRIM(INDEX(Реестр!$D:$D, ROW())), "-", ""), " ", ""), CHAR(160), ""), CHAR(9), ""), CHAR(10), ""), CHAR(13), ""), CHAR(32), "")</f>
        <v/>
      </c>
      <c r="C747">
        <f>INDEX(Реестр!$H:$H, ROW())</f>
        <v/>
      </c>
      <c r="D747">
        <f>IF(OR(ISBLANK(INDEX(Реестр!$B:$B, ROW())), INDEX(Реестр!$B:$B, ROW())=""), " ", IF(IFERROR(ISNUMBER(--A747),FALSE), IF(LEN(A747)=10, IF(MOD(MOD(H747,11),10)=--RIGHT(A747,1), "OK", "ОШИБКА"), IF(LEN(A747)=12, IF(AND(MOD(MOD(H747,11),10)=--MID(A747,11,1), MOD(MOD(I747,11),10)=--RIGHT(A747,1)), "OK", "ОШИБКА"), "ДЛИНА (10 или 12)")), "НЕ ЦИФРЫ"))</f>
        <v/>
      </c>
      <c r="E747">
        <f>MID(B747,1,1)*9+MID(B747,2,1)*8+MID(B747,3,1)*7+MID(B747,4,1)*6+MID(B747,5,1)*5+MID(B747,6,1)*4+MID(B747,7,1)*3+MID(B747,8,1)*2+MID(B747,9,1)</f>
        <v/>
      </c>
      <c r="F747">
        <f>IF(B747="", " ", IF(LEN(B747)&lt;&gt;11, "ДЛИНА", IF(NOT(ISNUMBER(--B747)), "НЕ ЦИФРЫ", IF(LEFT(B747,9)*1&lt;=1001998, "OK", IF(RIGHT(B747,2)*1=IF(MOD(E747,101)&gt;=100,0,MOD(E747,101)),"OK","ОШИБКА")))))</f>
        <v/>
      </c>
      <c r="G7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7">
        <f>IF(LEN(TRIM(A747))=10, --MID(A747,1,1)*2+--MID(A747,2,1)*4+--MID(A747,3,1)*10+--MID(A747,4,1)*3+--MID(A747,5,1)*5+--MID(A747,6,1)*9+--MID(A747,7,1)*4+--MID(A747,8,1)*6+--MID(A747,9,1)*8, IF(LEN(TRIM(A747))=12, --MID(A747,1,1)*7+--MID(A747,2,1)*2+--MID(A747,3,1)*4+--MID(A747,4,1)*10+--MID(A747,5,1)*3+--MID(A747,6,1)*5+--MID(A747,7,1)*9+--MID(A747,8,1)*4+--MID(A747,9,1)*6+--MID(A747,10,1)*8, ""))</f>
        <v/>
      </c>
      <c r="I747">
        <f>IF(LEN(TRIM(A747))=12, --MID(A747,1,1)*3+--MID(A747,2,1)*7+--MID(A747,3,1)*2+--MID(A747,4,1)*4+--MID(A747,5,1)*10+--MID(A747,6,1)*3+--MID(A747,7,1)*5+--MID(A747,8,1)*9+--MID(A747,9,1)*4+--MID(A747,10,1)*6+--MID(A747,11,1)*8, "")</f>
        <v/>
      </c>
    </row>
    <row r="748">
      <c r="A748">
        <f>SUBSTITUTE(SUBSTITUTE(SUBSTITUTE(SUBSTITUTE(TRIM(INDEX(Реестр!$B:$B,ROW())),CHAR(160),""),CHAR(9),""),CHAR(10),""),CHAR(13),"")</f>
        <v/>
      </c>
      <c r="B748">
        <f>SUBSTITUTE(SUBSTITUTE(SUBSTITUTE(SUBSTITUTE(SUBSTITUTE(SUBSTITUTE(SUBSTITUTE(TRIM(INDEX(Реестр!$D:$D, ROW())), "-", ""), " ", ""), CHAR(160), ""), CHAR(9), ""), CHAR(10), ""), CHAR(13), ""), CHAR(32), "")</f>
        <v/>
      </c>
      <c r="C748">
        <f>INDEX(Реестр!$H:$H, ROW())</f>
        <v/>
      </c>
      <c r="D748">
        <f>IF(OR(ISBLANK(INDEX(Реестр!$B:$B, ROW())), INDEX(Реестр!$B:$B, ROW())=""), " ", IF(IFERROR(ISNUMBER(--A748),FALSE), IF(LEN(A748)=10, IF(MOD(MOD(H748,11),10)=--RIGHT(A748,1), "OK", "ОШИБКА"), IF(LEN(A748)=12, IF(AND(MOD(MOD(H748,11),10)=--MID(A748,11,1), MOD(MOD(I748,11),10)=--RIGHT(A748,1)), "OK", "ОШИБКА"), "ДЛИНА (10 или 12)")), "НЕ ЦИФРЫ"))</f>
        <v/>
      </c>
      <c r="E748">
        <f>MID(B748,1,1)*9+MID(B748,2,1)*8+MID(B748,3,1)*7+MID(B748,4,1)*6+MID(B748,5,1)*5+MID(B748,6,1)*4+MID(B748,7,1)*3+MID(B748,8,1)*2+MID(B748,9,1)</f>
        <v/>
      </c>
      <c r="F748">
        <f>IF(B748="", " ", IF(LEN(B748)&lt;&gt;11, "ДЛИНА", IF(NOT(ISNUMBER(--B748)), "НЕ ЦИФРЫ", IF(LEFT(B748,9)*1&lt;=1001998, "OK", IF(RIGHT(B748,2)*1=IF(MOD(E748,101)&gt;=100,0,MOD(E748,101)),"OK","ОШИБКА")))))</f>
        <v/>
      </c>
      <c r="G7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8">
        <f>IF(LEN(TRIM(A748))=10, --MID(A748,1,1)*2+--MID(A748,2,1)*4+--MID(A748,3,1)*10+--MID(A748,4,1)*3+--MID(A748,5,1)*5+--MID(A748,6,1)*9+--MID(A748,7,1)*4+--MID(A748,8,1)*6+--MID(A748,9,1)*8, IF(LEN(TRIM(A748))=12, --MID(A748,1,1)*7+--MID(A748,2,1)*2+--MID(A748,3,1)*4+--MID(A748,4,1)*10+--MID(A748,5,1)*3+--MID(A748,6,1)*5+--MID(A748,7,1)*9+--MID(A748,8,1)*4+--MID(A748,9,1)*6+--MID(A748,10,1)*8, ""))</f>
        <v/>
      </c>
      <c r="I748">
        <f>IF(LEN(TRIM(A748))=12, --MID(A748,1,1)*3+--MID(A748,2,1)*7+--MID(A748,3,1)*2+--MID(A748,4,1)*4+--MID(A748,5,1)*10+--MID(A748,6,1)*3+--MID(A748,7,1)*5+--MID(A748,8,1)*9+--MID(A748,9,1)*4+--MID(A748,10,1)*6+--MID(A748,11,1)*8, "")</f>
        <v/>
      </c>
    </row>
    <row r="749">
      <c r="A749">
        <f>SUBSTITUTE(SUBSTITUTE(SUBSTITUTE(SUBSTITUTE(TRIM(INDEX(Реестр!$B:$B,ROW())),CHAR(160),""),CHAR(9),""),CHAR(10),""),CHAR(13),"")</f>
        <v/>
      </c>
      <c r="B749">
        <f>SUBSTITUTE(SUBSTITUTE(SUBSTITUTE(SUBSTITUTE(SUBSTITUTE(SUBSTITUTE(SUBSTITUTE(TRIM(INDEX(Реестр!$D:$D, ROW())), "-", ""), " ", ""), CHAR(160), ""), CHAR(9), ""), CHAR(10), ""), CHAR(13), ""), CHAR(32), "")</f>
        <v/>
      </c>
      <c r="C749">
        <f>INDEX(Реестр!$H:$H, ROW())</f>
        <v/>
      </c>
      <c r="D749">
        <f>IF(OR(ISBLANK(INDEX(Реестр!$B:$B, ROW())), INDEX(Реестр!$B:$B, ROW())=""), " ", IF(IFERROR(ISNUMBER(--A749),FALSE), IF(LEN(A749)=10, IF(MOD(MOD(H749,11),10)=--RIGHT(A749,1), "OK", "ОШИБКА"), IF(LEN(A749)=12, IF(AND(MOD(MOD(H749,11),10)=--MID(A749,11,1), MOD(MOD(I749,11),10)=--RIGHT(A749,1)), "OK", "ОШИБКА"), "ДЛИНА (10 или 12)")), "НЕ ЦИФРЫ"))</f>
        <v/>
      </c>
      <c r="E749">
        <f>MID(B749,1,1)*9+MID(B749,2,1)*8+MID(B749,3,1)*7+MID(B749,4,1)*6+MID(B749,5,1)*5+MID(B749,6,1)*4+MID(B749,7,1)*3+MID(B749,8,1)*2+MID(B749,9,1)</f>
        <v/>
      </c>
      <c r="F749">
        <f>IF(B749="", " ", IF(LEN(B749)&lt;&gt;11, "ДЛИНА", IF(NOT(ISNUMBER(--B749)), "НЕ ЦИФРЫ", IF(LEFT(B749,9)*1&lt;=1001998, "OK", IF(RIGHT(B749,2)*1=IF(MOD(E749,101)&gt;=100,0,MOD(E749,101)),"OK","ОШИБКА")))))</f>
        <v/>
      </c>
      <c r="G7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49">
        <f>IF(LEN(TRIM(A749))=10, --MID(A749,1,1)*2+--MID(A749,2,1)*4+--MID(A749,3,1)*10+--MID(A749,4,1)*3+--MID(A749,5,1)*5+--MID(A749,6,1)*9+--MID(A749,7,1)*4+--MID(A749,8,1)*6+--MID(A749,9,1)*8, IF(LEN(TRIM(A749))=12, --MID(A749,1,1)*7+--MID(A749,2,1)*2+--MID(A749,3,1)*4+--MID(A749,4,1)*10+--MID(A749,5,1)*3+--MID(A749,6,1)*5+--MID(A749,7,1)*9+--MID(A749,8,1)*4+--MID(A749,9,1)*6+--MID(A749,10,1)*8, ""))</f>
        <v/>
      </c>
      <c r="I749">
        <f>IF(LEN(TRIM(A749))=12, --MID(A749,1,1)*3+--MID(A749,2,1)*7+--MID(A749,3,1)*2+--MID(A749,4,1)*4+--MID(A749,5,1)*10+--MID(A749,6,1)*3+--MID(A749,7,1)*5+--MID(A749,8,1)*9+--MID(A749,9,1)*4+--MID(A749,10,1)*6+--MID(A749,11,1)*8, "")</f>
        <v/>
      </c>
    </row>
    <row r="750">
      <c r="A750">
        <f>SUBSTITUTE(SUBSTITUTE(SUBSTITUTE(SUBSTITUTE(TRIM(INDEX(Реестр!$B:$B,ROW())),CHAR(160),""),CHAR(9),""),CHAR(10),""),CHAR(13),"")</f>
        <v/>
      </c>
      <c r="B750">
        <f>SUBSTITUTE(SUBSTITUTE(SUBSTITUTE(SUBSTITUTE(SUBSTITUTE(SUBSTITUTE(SUBSTITUTE(TRIM(INDEX(Реестр!$D:$D, ROW())), "-", ""), " ", ""), CHAR(160), ""), CHAR(9), ""), CHAR(10), ""), CHAR(13), ""), CHAR(32), "")</f>
        <v/>
      </c>
      <c r="C750">
        <f>INDEX(Реестр!$H:$H, ROW())</f>
        <v/>
      </c>
      <c r="D750">
        <f>IF(OR(ISBLANK(INDEX(Реестр!$B:$B, ROW())), INDEX(Реестр!$B:$B, ROW())=""), " ", IF(IFERROR(ISNUMBER(--A750),FALSE), IF(LEN(A750)=10, IF(MOD(MOD(H750,11),10)=--RIGHT(A750,1), "OK", "ОШИБКА"), IF(LEN(A750)=12, IF(AND(MOD(MOD(H750,11),10)=--MID(A750,11,1), MOD(MOD(I750,11),10)=--RIGHT(A750,1)), "OK", "ОШИБКА"), "ДЛИНА (10 или 12)")), "НЕ ЦИФРЫ"))</f>
        <v/>
      </c>
      <c r="E750">
        <f>MID(B750,1,1)*9+MID(B750,2,1)*8+MID(B750,3,1)*7+MID(B750,4,1)*6+MID(B750,5,1)*5+MID(B750,6,1)*4+MID(B750,7,1)*3+MID(B750,8,1)*2+MID(B750,9,1)</f>
        <v/>
      </c>
      <c r="F750">
        <f>IF(B750="", " ", IF(LEN(B750)&lt;&gt;11, "ДЛИНА", IF(NOT(ISNUMBER(--B750)), "НЕ ЦИФРЫ", IF(LEFT(B750,9)*1&lt;=1001998, "OK", IF(RIGHT(B750,2)*1=IF(MOD(E750,101)&gt;=100,0,MOD(E750,101)),"OK","ОШИБКА")))))</f>
        <v/>
      </c>
      <c r="G7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0">
        <f>IF(LEN(TRIM(A750))=10, --MID(A750,1,1)*2+--MID(A750,2,1)*4+--MID(A750,3,1)*10+--MID(A750,4,1)*3+--MID(A750,5,1)*5+--MID(A750,6,1)*9+--MID(A750,7,1)*4+--MID(A750,8,1)*6+--MID(A750,9,1)*8, IF(LEN(TRIM(A750))=12, --MID(A750,1,1)*7+--MID(A750,2,1)*2+--MID(A750,3,1)*4+--MID(A750,4,1)*10+--MID(A750,5,1)*3+--MID(A750,6,1)*5+--MID(A750,7,1)*9+--MID(A750,8,1)*4+--MID(A750,9,1)*6+--MID(A750,10,1)*8, ""))</f>
        <v/>
      </c>
      <c r="I750">
        <f>IF(LEN(TRIM(A750))=12, --MID(A750,1,1)*3+--MID(A750,2,1)*7+--MID(A750,3,1)*2+--MID(A750,4,1)*4+--MID(A750,5,1)*10+--MID(A750,6,1)*3+--MID(A750,7,1)*5+--MID(A750,8,1)*9+--MID(A750,9,1)*4+--MID(A750,10,1)*6+--MID(A750,11,1)*8, "")</f>
        <v/>
      </c>
    </row>
    <row r="751">
      <c r="A751">
        <f>SUBSTITUTE(SUBSTITUTE(SUBSTITUTE(SUBSTITUTE(TRIM(INDEX(Реестр!$B:$B,ROW())),CHAR(160),""),CHAR(9),""),CHAR(10),""),CHAR(13),"")</f>
        <v/>
      </c>
      <c r="B751">
        <f>SUBSTITUTE(SUBSTITUTE(SUBSTITUTE(SUBSTITUTE(SUBSTITUTE(SUBSTITUTE(SUBSTITUTE(TRIM(INDEX(Реестр!$D:$D, ROW())), "-", ""), " ", ""), CHAR(160), ""), CHAR(9), ""), CHAR(10), ""), CHAR(13), ""), CHAR(32), "")</f>
        <v/>
      </c>
      <c r="C751">
        <f>INDEX(Реестр!$H:$H, ROW())</f>
        <v/>
      </c>
      <c r="D751">
        <f>IF(OR(ISBLANK(INDEX(Реестр!$B:$B, ROW())), INDEX(Реестр!$B:$B, ROW())=""), " ", IF(IFERROR(ISNUMBER(--A751),FALSE), IF(LEN(A751)=10, IF(MOD(MOD(H751,11),10)=--RIGHT(A751,1), "OK", "ОШИБКА"), IF(LEN(A751)=12, IF(AND(MOD(MOD(H751,11),10)=--MID(A751,11,1), MOD(MOD(I751,11),10)=--RIGHT(A751,1)), "OK", "ОШИБКА"), "ДЛИНА (10 или 12)")), "НЕ ЦИФРЫ"))</f>
        <v/>
      </c>
      <c r="E751">
        <f>MID(B751,1,1)*9+MID(B751,2,1)*8+MID(B751,3,1)*7+MID(B751,4,1)*6+MID(B751,5,1)*5+MID(B751,6,1)*4+MID(B751,7,1)*3+MID(B751,8,1)*2+MID(B751,9,1)</f>
        <v/>
      </c>
      <c r="F751">
        <f>IF(B751="", " ", IF(LEN(B751)&lt;&gt;11, "ДЛИНА", IF(NOT(ISNUMBER(--B751)), "НЕ ЦИФРЫ", IF(LEFT(B751,9)*1&lt;=1001998, "OK", IF(RIGHT(B751,2)*1=IF(MOD(E751,101)&gt;=100,0,MOD(E751,101)),"OK","ОШИБКА")))))</f>
        <v/>
      </c>
      <c r="G7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1">
        <f>IF(LEN(TRIM(A751))=10, --MID(A751,1,1)*2+--MID(A751,2,1)*4+--MID(A751,3,1)*10+--MID(A751,4,1)*3+--MID(A751,5,1)*5+--MID(A751,6,1)*9+--MID(A751,7,1)*4+--MID(A751,8,1)*6+--MID(A751,9,1)*8, IF(LEN(TRIM(A751))=12, --MID(A751,1,1)*7+--MID(A751,2,1)*2+--MID(A751,3,1)*4+--MID(A751,4,1)*10+--MID(A751,5,1)*3+--MID(A751,6,1)*5+--MID(A751,7,1)*9+--MID(A751,8,1)*4+--MID(A751,9,1)*6+--MID(A751,10,1)*8, ""))</f>
        <v/>
      </c>
      <c r="I751">
        <f>IF(LEN(TRIM(A751))=12, --MID(A751,1,1)*3+--MID(A751,2,1)*7+--MID(A751,3,1)*2+--MID(A751,4,1)*4+--MID(A751,5,1)*10+--MID(A751,6,1)*3+--MID(A751,7,1)*5+--MID(A751,8,1)*9+--MID(A751,9,1)*4+--MID(A751,10,1)*6+--MID(A751,11,1)*8, "")</f>
        <v/>
      </c>
    </row>
    <row r="752">
      <c r="A752">
        <f>SUBSTITUTE(SUBSTITUTE(SUBSTITUTE(SUBSTITUTE(TRIM(INDEX(Реестр!$B:$B,ROW())),CHAR(160),""),CHAR(9),""),CHAR(10),""),CHAR(13),"")</f>
        <v/>
      </c>
      <c r="B752">
        <f>SUBSTITUTE(SUBSTITUTE(SUBSTITUTE(SUBSTITUTE(SUBSTITUTE(SUBSTITUTE(SUBSTITUTE(TRIM(INDEX(Реестр!$D:$D, ROW())), "-", ""), " ", ""), CHAR(160), ""), CHAR(9), ""), CHAR(10), ""), CHAR(13), ""), CHAR(32), "")</f>
        <v/>
      </c>
      <c r="C752">
        <f>INDEX(Реестр!$H:$H, ROW())</f>
        <v/>
      </c>
      <c r="D752">
        <f>IF(OR(ISBLANK(INDEX(Реестр!$B:$B, ROW())), INDEX(Реестр!$B:$B, ROW())=""), " ", IF(IFERROR(ISNUMBER(--A752),FALSE), IF(LEN(A752)=10, IF(MOD(MOD(H752,11),10)=--RIGHT(A752,1), "OK", "ОШИБКА"), IF(LEN(A752)=12, IF(AND(MOD(MOD(H752,11),10)=--MID(A752,11,1), MOD(MOD(I752,11),10)=--RIGHT(A752,1)), "OK", "ОШИБКА"), "ДЛИНА (10 или 12)")), "НЕ ЦИФРЫ"))</f>
        <v/>
      </c>
      <c r="E752">
        <f>MID(B752,1,1)*9+MID(B752,2,1)*8+MID(B752,3,1)*7+MID(B752,4,1)*6+MID(B752,5,1)*5+MID(B752,6,1)*4+MID(B752,7,1)*3+MID(B752,8,1)*2+MID(B752,9,1)</f>
        <v/>
      </c>
      <c r="F752">
        <f>IF(B752="", " ", IF(LEN(B752)&lt;&gt;11, "ДЛИНА", IF(NOT(ISNUMBER(--B752)), "НЕ ЦИФРЫ", IF(LEFT(B752,9)*1&lt;=1001998, "OK", IF(RIGHT(B752,2)*1=IF(MOD(E752,101)&gt;=100,0,MOD(E752,101)),"OK","ОШИБКА")))))</f>
        <v/>
      </c>
      <c r="G7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2">
        <f>IF(LEN(TRIM(A752))=10, --MID(A752,1,1)*2+--MID(A752,2,1)*4+--MID(A752,3,1)*10+--MID(A752,4,1)*3+--MID(A752,5,1)*5+--MID(A752,6,1)*9+--MID(A752,7,1)*4+--MID(A752,8,1)*6+--MID(A752,9,1)*8, IF(LEN(TRIM(A752))=12, --MID(A752,1,1)*7+--MID(A752,2,1)*2+--MID(A752,3,1)*4+--MID(A752,4,1)*10+--MID(A752,5,1)*3+--MID(A752,6,1)*5+--MID(A752,7,1)*9+--MID(A752,8,1)*4+--MID(A752,9,1)*6+--MID(A752,10,1)*8, ""))</f>
        <v/>
      </c>
      <c r="I752">
        <f>IF(LEN(TRIM(A752))=12, --MID(A752,1,1)*3+--MID(A752,2,1)*7+--MID(A752,3,1)*2+--MID(A752,4,1)*4+--MID(A752,5,1)*10+--MID(A752,6,1)*3+--MID(A752,7,1)*5+--MID(A752,8,1)*9+--MID(A752,9,1)*4+--MID(A752,10,1)*6+--MID(A752,11,1)*8, "")</f>
        <v/>
      </c>
    </row>
    <row r="753">
      <c r="A753">
        <f>SUBSTITUTE(SUBSTITUTE(SUBSTITUTE(SUBSTITUTE(TRIM(INDEX(Реестр!$B:$B,ROW())),CHAR(160),""),CHAR(9),""),CHAR(10),""),CHAR(13),"")</f>
        <v/>
      </c>
      <c r="B753">
        <f>SUBSTITUTE(SUBSTITUTE(SUBSTITUTE(SUBSTITUTE(SUBSTITUTE(SUBSTITUTE(SUBSTITUTE(TRIM(INDEX(Реестр!$D:$D, ROW())), "-", ""), " ", ""), CHAR(160), ""), CHAR(9), ""), CHAR(10), ""), CHAR(13), ""), CHAR(32), "")</f>
        <v/>
      </c>
      <c r="C753">
        <f>INDEX(Реестр!$H:$H, ROW())</f>
        <v/>
      </c>
      <c r="D753">
        <f>IF(OR(ISBLANK(INDEX(Реестр!$B:$B, ROW())), INDEX(Реестр!$B:$B, ROW())=""), " ", IF(IFERROR(ISNUMBER(--A753),FALSE), IF(LEN(A753)=10, IF(MOD(MOD(H753,11),10)=--RIGHT(A753,1), "OK", "ОШИБКА"), IF(LEN(A753)=12, IF(AND(MOD(MOD(H753,11),10)=--MID(A753,11,1), MOD(MOD(I753,11),10)=--RIGHT(A753,1)), "OK", "ОШИБКА"), "ДЛИНА (10 или 12)")), "НЕ ЦИФРЫ"))</f>
        <v/>
      </c>
      <c r="E753">
        <f>MID(B753,1,1)*9+MID(B753,2,1)*8+MID(B753,3,1)*7+MID(B753,4,1)*6+MID(B753,5,1)*5+MID(B753,6,1)*4+MID(B753,7,1)*3+MID(B753,8,1)*2+MID(B753,9,1)</f>
        <v/>
      </c>
      <c r="F753">
        <f>IF(B753="", " ", IF(LEN(B753)&lt;&gt;11, "ДЛИНА", IF(NOT(ISNUMBER(--B753)), "НЕ ЦИФРЫ", IF(LEFT(B753,9)*1&lt;=1001998, "OK", IF(RIGHT(B753,2)*1=IF(MOD(E753,101)&gt;=100,0,MOD(E753,101)),"OK","ОШИБКА")))))</f>
        <v/>
      </c>
      <c r="G7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3">
        <f>IF(LEN(TRIM(A753))=10, --MID(A753,1,1)*2+--MID(A753,2,1)*4+--MID(A753,3,1)*10+--MID(A753,4,1)*3+--MID(A753,5,1)*5+--MID(A753,6,1)*9+--MID(A753,7,1)*4+--MID(A753,8,1)*6+--MID(A753,9,1)*8, IF(LEN(TRIM(A753))=12, --MID(A753,1,1)*7+--MID(A753,2,1)*2+--MID(A753,3,1)*4+--MID(A753,4,1)*10+--MID(A753,5,1)*3+--MID(A753,6,1)*5+--MID(A753,7,1)*9+--MID(A753,8,1)*4+--MID(A753,9,1)*6+--MID(A753,10,1)*8, ""))</f>
        <v/>
      </c>
      <c r="I753">
        <f>IF(LEN(TRIM(A753))=12, --MID(A753,1,1)*3+--MID(A753,2,1)*7+--MID(A753,3,1)*2+--MID(A753,4,1)*4+--MID(A753,5,1)*10+--MID(A753,6,1)*3+--MID(A753,7,1)*5+--MID(A753,8,1)*9+--MID(A753,9,1)*4+--MID(A753,10,1)*6+--MID(A753,11,1)*8, "")</f>
        <v/>
      </c>
    </row>
    <row r="754">
      <c r="A754">
        <f>SUBSTITUTE(SUBSTITUTE(SUBSTITUTE(SUBSTITUTE(TRIM(INDEX(Реестр!$B:$B,ROW())),CHAR(160),""),CHAR(9),""),CHAR(10),""),CHAR(13),"")</f>
        <v/>
      </c>
      <c r="B754">
        <f>SUBSTITUTE(SUBSTITUTE(SUBSTITUTE(SUBSTITUTE(SUBSTITUTE(SUBSTITUTE(SUBSTITUTE(TRIM(INDEX(Реестр!$D:$D, ROW())), "-", ""), " ", ""), CHAR(160), ""), CHAR(9), ""), CHAR(10), ""), CHAR(13), ""), CHAR(32), "")</f>
        <v/>
      </c>
      <c r="C754">
        <f>INDEX(Реестр!$H:$H, ROW())</f>
        <v/>
      </c>
      <c r="D754">
        <f>IF(OR(ISBLANK(INDEX(Реестр!$B:$B, ROW())), INDEX(Реестр!$B:$B, ROW())=""), " ", IF(IFERROR(ISNUMBER(--A754),FALSE), IF(LEN(A754)=10, IF(MOD(MOD(H754,11),10)=--RIGHT(A754,1), "OK", "ОШИБКА"), IF(LEN(A754)=12, IF(AND(MOD(MOD(H754,11),10)=--MID(A754,11,1), MOD(MOD(I754,11),10)=--RIGHT(A754,1)), "OK", "ОШИБКА"), "ДЛИНА (10 или 12)")), "НЕ ЦИФРЫ"))</f>
        <v/>
      </c>
      <c r="E754">
        <f>MID(B754,1,1)*9+MID(B754,2,1)*8+MID(B754,3,1)*7+MID(B754,4,1)*6+MID(B754,5,1)*5+MID(B754,6,1)*4+MID(B754,7,1)*3+MID(B754,8,1)*2+MID(B754,9,1)</f>
        <v/>
      </c>
      <c r="F754">
        <f>IF(B754="", " ", IF(LEN(B754)&lt;&gt;11, "ДЛИНА", IF(NOT(ISNUMBER(--B754)), "НЕ ЦИФРЫ", IF(LEFT(B754,9)*1&lt;=1001998, "OK", IF(RIGHT(B754,2)*1=IF(MOD(E754,101)&gt;=100,0,MOD(E754,101)),"OK","ОШИБКА")))))</f>
        <v/>
      </c>
      <c r="G7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4">
        <f>IF(LEN(TRIM(A754))=10, --MID(A754,1,1)*2+--MID(A754,2,1)*4+--MID(A754,3,1)*10+--MID(A754,4,1)*3+--MID(A754,5,1)*5+--MID(A754,6,1)*9+--MID(A754,7,1)*4+--MID(A754,8,1)*6+--MID(A754,9,1)*8, IF(LEN(TRIM(A754))=12, --MID(A754,1,1)*7+--MID(A754,2,1)*2+--MID(A754,3,1)*4+--MID(A754,4,1)*10+--MID(A754,5,1)*3+--MID(A754,6,1)*5+--MID(A754,7,1)*9+--MID(A754,8,1)*4+--MID(A754,9,1)*6+--MID(A754,10,1)*8, ""))</f>
        <v/>
      </c>
      <c r="I754">
        <f>IF(LEN(TRIM(A754))=12, --MID(A754,1,1)*3+--MID(A754,2,1)*7+--MID(A754,3,1)*2+--MID(A754,4,1)*4+--MID(A754,5,1)*10+--MID(A754,6,1)*3+--MID(A754,7,1)*5+--MID(A754,8,1)*9+--MID(A754,9,1)*4+--MID(A754,10,1)*6+--MID(A754,11,1)*8, "")</f>
        <v/>
      </c>
    </row>
    <row r="755">
      <c r="A755">
        <f>SUBSTITUTE(SUBSTITUTE(SUBSTITUTE(SUBSTITUTE(TRIM(INDEX(Реестр!$B:$B,ROW())),CHAR(160),""),CHAR(9),""),CHAR(10),""),CHAR(13),"")</f>
        <v/>
      </c>
      <c r="B755">
        <f>SUBSTITUTE(SUBSTITUTE(SUBSTITUTE(SUBSTITUTE(SUBSTITUTE(SUBSTITUTE(SUBSTITUTE(TRIM(INDEX(Реестр!$D:$D, ROW())), "-", ""), " ", ""), CHAR(160), ""), CHAR(9), ""), CHAR(10), ""), CHAR(13), ""), CHAR(32), "")</f>
        <v/>
      </c>
      <c r="C755">
        <f>INDEX(Реестр!$H:$H, ROW())</f>
        <v/>
      </c>
      <c r="D755">
        <f>IF(OR(ISBLANK(INDEX(Реестр!$B:$B, ROW())), INDEX(Реестр!$B:$B, ROW())=""), " ", IF(IFERROR(ISNUMBER(--A755),FALSE), IF(LEN(A755)=10, IF(MOD(MOD(H755,11),10)=--RIGHT(A755,1), "OK", "ОШИБКА"), IF(LEN(A755)=12, IF(AND(MOD(MOD(H755,11),10)=--MID(A755,11,1), MOD(MOD(I755,11),10)=--RIGHT(A755,1)), "OK", "ОШИБКА"), "ДЛИНА (10 или 12)")), "НЕ ЦИФРЫ"))</f>
        <v/>
      </c>
      <c r="E755">
        <f>MID(B755,1,1)*9+MID(B755,2,1)*8+MID(B755,3,1)*7+MID(B755,4,1)*6+MID(B755,5,1)*5+MID(B755,6,1)*4+MID(B755,7,1)*3+MID(B755,8,1)*2+MID(B755,9,1)</f>
        <v/>
      </c>
      <c r="F755">
        <f>IF(B755="", " ", IF(LEN(B755)&lt;&gt;11, "ДЛИНА", IF(NOT(ISNUMBER(--B755)), "НЕ ЦИФРЫ", IF(LEFT(B755,9)*1&lt;=1001998, "OK", IF(RIGHT(B755,2)*1=IF(MOD(E755,101)&gt;=100,0,MOD(E755,101)),"OK","ОШИБКА")))))</f>
        <v/>
      </c>
      <c r="G7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5">
        <f>IF(LEN(TRIM(A755))=10, --MID(A755,1,1)*2+--MID(A755,2,1)*4+--MID(A755,3,1)*10+--MID(A755,4,1)*3+--MID(A755,5,1)*5+--MID(A755,6,1)*9+--MID(A755,7,1)*4+--MID(A755,8,1)*6+--MID(A755,9,1)*8, IF(LEN(TRIM(A755))=12, --MID(A755,1,1)*7+--MID(A755,2,1)*2+--MID(A755,3,1)*4+--MID(A755,4,1)*10+--MID(A755,5,1)*3+--MID(A755,6,1)*5+--MID(A755,7,1)*9+--MID(A755,8,1)*4+--MID(A755,9,1)*6+--MID(A755,10,1)*8, ""))</f>
        <v/>
      </c>
      <c r="I755">
        <f>IF(LEN(TRIM(A755))=12, --MID(A755,1,1)*3+--MID(A755,2,1)*7+--MID(A755,3,1)*2+--MID(A755,4,1)*4+--MID(A755,5,1)*10+--MID(A755,6,1)*3+--MID(A755,7,1)*5+--MID(A755,8,1)*9+--MID(A755,9,1)*4+--MID(A755,10,1)*6+--MID(A755,11,1)*8, "")</f>
        <v/>
      </c>
    </row>
    <row r="756">
      <c r="A756">
        <f>SUBSTITUTE(SUBSTITUTE(SUBSTITUTE(SUBSTITUTE(TRIM(INDEX(Реестр!$B:$B,ROW())),CHAR(160),""),CHAR(9),""),CHAR(10),""),CHAR(13),"")</f>
        <v/>
      </c>
      <c r="B756">
        <f>SUBSTITUTE(SUBSTITUTE(SUBSTITUTE(SUBSTITUTE(SUBSTITUTE(SUBSTITUTE(SUBSTITUTE(TRIM(INDEX(Реестр!$D:$D, ROW())), "-", ""), " ", ""), CHAR(160), ""), CHAR(9), ""), CHAR(10), ""), CHAR(13), ""), CHAR(32), "")</f>
        <v/>
      </c>
      <c r="C756">
        <f>INDEX(Реестр!$H:$H, ROW())</f>
        <v/>
      </c>
      <c r="D756">
        <f>IF(OR(ISBLANK(INDEX(Реестр!$B:$B, ROW())), INDEX(Реестр!$B:$B, ROW())=""), " ", IF(IFERROR(ISNUMBER(--A756),FALSE), IF(LEN(A756)=10, IF(MOD(MOD(H756,11),10)=--RIGHT(A756,1), "OK", "ОШИБКА"), IF(LEN(A756)=12, IF(AND(MOD(MOD(H756,11),10)=--MID(A756,11,1), MOD(MOD(I756,11),10)=--RIGHT(A756,1)), "OK", "ОШИБКА"), "ДЛИНА (10 или 12)")), "НЕ ЦИФРЫ"))</f>
        <v/>
      </c>
      <c r="E756">
        <f>MID(B756,1,1)*9+MID(B756,2,1)*8+MID(B756,3,1)*7+MID(B756,4,1)*6+MID(B756,5,1)*5+MID(B756,6,1)*4+MID(B756,7,1)*3+MID(B756,8,1)*2+MID(B756,9,1)</f>
        <v/>
      </c>
      <c r="F756">
        <f>IF(B756="", " ", IF(LEN(B756)&lt;&gt;11, "ДЛИНА", IF(NOT(ISNUMBER(--B756)), "НЕ ЦИФРЫ", IF(LEFT(B756,9)*1&lt;=1001998, "OK", IF(RIGHT(B756,2)*1=IF(MOD(E756,101)&gt;=100,0,MOD(E756,101)),"OK","ОШИБКА")))))</f>
        <v/>
      </c>
      <c r="G7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6">
        <f>IF(LEN(TRIM(A756))=10, --MID(A756,1,1)*2+--MID(A756,2,1)*4+--MID(A756,3,1)*10+--MID(A756,4,1)*3+--MID(A756,5,1)*5+--MID(A756,6,1)*9+--MID(A756,7,1)*4+--MID(A756,8,1)*6+--MID(A756,9,1)*8, IF(LEN(TRIM(A756))=12, --MID(A756,1,1)*7+--MID(A756,2,1)*2+--MID(A756,3,1)*4+--MID(A756,4,1)*10+--MID(A756,5,1)*3+--MID(A756,6,1)*5+--MID(A756,7,1)*9+--MID(A756,8,1)*4+--MID(A756,9,1)*6+--MID(A756,10,1)*8, ""))</f>
        <v/>
      </c>
      <c r="I756">
        <f>IF(LEN(TRIM(A756))=12, --MID(A756,1,1)*3+--MID(A756,2,1)*7+--MID(A756,3,1)*2+--MID(A756,4,1)*4+--MID(A756,5,1)*10+--MID(A756,6,1)*3+--MID(A756,7,1)*5+--MID(A756,8,1)*9+--MID(A756,9,1)*4+--MID(A756,10,1)*6+--MID(A756,11,1)*8, "")</f>
        <v/>
      </c>
    </row>
    <row r="757">
      <c r="A757">
        <f>SUBSTITUTE(SUBSTITUTE(SUBSTITUTE(SUBSTITUTE(TRIM(INDEX(Реестр!$B:$B,ROW())),CHAR(160),""),CHAR(9),""),CHAR(10),""),CHAR(13),"")</f>
        <v/>
      </c>
      <c r="B757">
        <f>SUBSTITUTE(SUBSTITUTE(SUBSTITUTE(SUBSTITUTE(SUBSTITUTE(SUBSTITUTE(SUBSTITUTE(TRIM(INDEX(Реестр!$D:$D, ROW())), "-", ""), " ", ""), CHAR(160), ""), CHAR(9), ""), CHAR(10), ""), CHAR(13), ""), CHAR(32), "")</f>
        <v/>
      </c>
      <c r="C757">
        <f>INDEX(Реестр!$H:$H, ROW())</f>
        <v/>
      </c>
      <c r="D757">
        <f>IF(OR(ISBLANK(INDEX(Реестр!$B:$B, ROW())), INDEX(Реестр!$B:$B, ROW())=""), " ", IF(IFERROR(ISNUMBER(--A757),FALSE), IF(LEN(A757)=10, IF(MOD(MOD(H757,11),10)=--RIGHT(A757,1), "OK", "ОШИБКА"), IF(LEN(A757)=12, IF(AND(MOD(MOD(H757,11),10)=--MID(A757,11,1), MOD(MOD(I757,11),10)=--RIGHT(A757,1)), "OK", "ОШИБКА"), "ДЛИНА (10 или 12)")), "НЕ ЦИФРЫ"))</f>
        <v/>
      </c>
      <c r="E757">
        <f>MID(B757,1,1)*9+MID(B757,2,1)*8+MID(B757,3,1)*7+MID(B757,4,1)*6+MID(B757,5,1)*5+MID(B757,6,1)*4+MID(B757,7,1)*3+MID(B757,8,1)*2+MID(B757,9,1)</f>
        <v/>
      </c>
      <c r="F757">
        <f>IF(B757="", " ", IF(LEN(B757)&lt;&gt;11, "ДЛИНА", IF(NOT(ISNUMBER(--B757)), "НЕ ЦИФРЫ", IF(LEFT(B757,9)*1&lt;=1001998, "OK", IF(RIGHT(B757,2)*1=IF(MOD(E757,101)&gt;=100,0,MOD(E757,101)),"OK","ОШИБКА")))))</f>
        <v/>
      </c>
      <c r="G7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7">
        <f>IF(LEN(TRIM(A757))=10, --MID(A757,1,1)*2+--MID(A757,2,1)*4+--MID(A757,3,1)*10+--MID(A757,4,1)*3+--MID(A757,5,1)*5+--MID(A757,6,1)*9+--MID(A757,7,1)*4+--MID(A757,8,1)*6+--MID(A757,9,1)*8, IF(LEN(TRIM(A757))=12, --MID(A757,1,1)*7+--MID(A757,2,1)*2+--MID(A757,3,1)*4+--MID(A757,4,1)*10+--MID(A757,5,1)*3+--MID(A757,6,1)*5+--MID(A757,7,1)*9+--MID(A757,8,1)*4+--MID(A757,9,1)*6+--MID(A757,10,1)*8, ""))</f>
        <v/>
      </c>
      <c r="I757">
        <f>IF(LEN(TRIM(A757))=12, --MID(A757,1,1)*3+--MID(A757,2,1)*7+--MID(A757,3,1)*2+--MID(A757,4,1)*4+--MID(A757,5,1)*10+--MID(A757,6,1)*3+--MID(A757,7,1)*5+--MID(A757,8,1)*9+--MID(A757,9,1)*4+--MID(A757,10,1)*6+--MID(A757,11,1)*8, "")</f>
        <v/>
      </c>
    </row>
    <row r="758">
      <c r="A758">
        <f>SUBSTITUTE(SUBSTITUTE(SUBSTITUTE(SUBSTITUTE(TRIM(INDEX(Реестр!$B:$B,ROW())),CHAR(160),""),CHAR(9),""),CHAR(10),""),CHAR(13),"")</f>
        <v/>
      </c>
      <c r="B758">
        <f>SUBSTITUTE(SUBSTITUTE(SUBSTITUTE(SUBSTITUTE(SUBSTITUTE(SUBSTITUTE(SUBSTITUTE(TRIM(INDEX(Реестр!$D:$D, ROW())), "-", ""), " ", ""), CHAR(160), ""), CHAR(9), ""), CHAR(10), ""), CHAR(13), ""), CHAR(32), "")</f>
        <v/>
      </c>
      <c r="C758">
        <f>INDEX(Реестр!$H:$H, ROW())</f>
        <v/>
      </c>
      <c r="D758">
        <f>IF(OR(ISBLANK(INDEX(Реестр!$B:$B, ROW())), INDEX(Реестр!$B:$B, ROW())=""), " ", IF(IFERROR(ISNUMBER(--A758),FALSE), IF(LEN(A758)=10, IF(MOD(MOD(H758,11),10)=--RIGHT(A758,1), "OK", "ОШИБКА"), IF(LEN(A758)=12, IF(AND(MOD(MOD(H758,11),10)=--MID(A758,11,1), MOD(MOD(I758,11),10)=--RIGHT(A758,1)), "OK", "ОШИБКА"), "ДЛИНА (10 или 12)")), "НЕ ЦИФРЫ"))</f>
        <v/>
      </c>
      <c r="E758">
        <f>MID(B758,1,1)*9+MID(B758,2,1)*8+MID(B758,3,1)*7+MID(B758,4,1)*6+MID(B758,5,1)*5+MID(B758,6,1)*4+MID(B758,7,1)*3+MID(B758,8,1)*2+MID(B758,9,1)</f>
        <v/>
      </c>
      <c r="F758">
        <f>IF(B758="", " ", IF(LEN(B758)&lt;&gt;11, "ДЛИНА", IF(NOT(ISNUMBER(--B758)), "НЕ ЦИФРЫ", IF(LEFT(B758,9)*1&lt;=1001998, "OK", IF(RIGHT(B758,2)*1=IF(MOD(E758,101)&gt;=100,0,MOD(E758,101)),"OK","ОШИБКА")))))</f>
        <v/>
      </c>
      <c r="G7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8">
        <f>IF(LEN(TRIM(A758))=10, --MID(A758,1,1)*2+--MID(A758,2,1)*4+--MID(A758,3,1)*10+--MID(A758,4,1)*3+--MID(A758,5,1)*5+--MID(A758,6,1)*9+--MID(A758,7,1)*4+--MID(A758,8,1)*6+--MID(A758,9,1)*8, IF(LEN(TRIM(A758))=12, --MID(A758,1,1)*7+--MID(A758,2,1)*2+--MID(A758,3,1)*4+--MID(A758,4,1)*10+--MID(A758,5,1)*3+--MID(A758,6,1)*5+--MID(A758,7,1)*9+--MID(A758,8,1)*4+--MID(A758,9,1)*6+--MID(A758,10,1)*8, ""))</f>
        <v/>
      </c>
      <c r="I758">
        <f>IF(LEN(TRIM(A758))=12, --MID(A758,1,1)*3+--MID(A758,2,1)*7+--MID(A758,3,1)*2+--MID(A758,4,1)*4+--MID(A758,5,1)*10+--MID(A758,6,1)*3+--MID(A758,7,1)*5+--MID(A758,8,1)*9+--MID(A758,9,1)*4+--MID(A758,10,1)*6+--MID(A758,11,1)*8, "")</f>
        <v/>
      </c>
    </row>
    <row r="759">
      <c r="A759">
        <f>SUBSTITUTE(SUBSTITUTE(SUBSTITUTE(SUBSTITUTE(TRIM(INDEX(Реестр!$B:$B,ROW())),CHAR(160),""),CHAR(9),""),CHAR(10),""),CHAR(13),"")</f>
        <v/>
      </c>
      <c r="B759">
        <f>SUBSTITUTE(SUBSTITUTE(SUBSTITUTE(SUBSTITUTE(SUBSTITUTE(SUBSTITUTE(SUBSTITUTE(TRIM(INDEX(Реестр!$D:$D, ROW())), "-", ""), " ", ""), CHAR(160), ""), CHAR(9), ""), CHAR(10), ""), CHAR(13), ""), CHAR(32), "")</f>
        <v/>
      </c>
      <c r="C759">
        <f>INDEX(Реестр!$H:$H, ROW())</f>
        <v/>
      </c>
      <c r="D759">
        <f>IF(OR(ISBLANK(INDEX(Реестр!$B:$B, ROW())), INDEX(Реестр!$B:$B, ROW())=""), " ", IF(IFERROR(ISNUMBER(--A759),FALSE), IF(LEN(A759)=10, IF(MOD(MOD(H759,11),10)=--RIGHT(A759,1), "OK", "ОШИБКА"), IF(LEN(A759)=12, IF(AND(MOD(MOD(H759,11),10)=--MID(A759,11,1), MOD(MOD(I759,11),10)=--RIGHT(A759,1)), "OK", "ОШИБКА"), "ДЛИНА (10 или 12)")), "НЕ ЦИФРЫ"))</f>
        <v/>
      </c>
      <c r="E759">
        <f>MID(B759,1,1)*9+MID(B759,2,1)*8+MID(B759,3,1)*7+MID(B759,4,1)*6+MID(B759,5,1)*5+MID(B759,6,1)*4+MID(B759,7,1)*3+MID(B759,8,1)*2+MID(B759,9,1)</f>
        <v/>
      </c>
      <c r="F759">
        <f>IF(B759="", " ", IF(LEN(B759)&lt;&gt;11, "ДЛИНА", IF(NOT(ISNUMBER(--B759)), "НЕ ЦИФРЫ", IF(LEFT(B759,9)*1&lt;=1001998, "OK", IF(RIGHT(B759,2)*1=IF(MOD(E759,101)&gt;=100,0,MOD(E759,101)),"OK","ОШИБКА")))))</f>
        <v/>
      </c>
      <c r="G7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59">
        <f>IF(LEN(TRIM(A759))=10, --MID(A759,1,1)*2+--MID(A759,2,1)*4+--MID(A759,3,1)*10+--MID(A759,4,1)*3+--MID(A759,5,1)*5+--MID(A759,6,1)*9+--MID(A759,7,1)*4+--MID(A759,8,1)*6+--MID(A759,9,1)*8, IF(LEN(TRIM(A759))=12, --MID(A759,1,1)*7+--MID(A759,2,1)*2+--MID(A759,3,1)*4+--MID(A759,4,1)*10+--MID(A759,5,1)*3+--MID(A759,6,1)*5+--MID(A759,7,1)*9+--MID(A759,8,1)*4+--MID(A759,9,1)*6+--MID(A759,10,1)*8, ""))</f>
        <v/>
      </c>
      <c r="I759">
        <f>IF(LEN(TRIM(A759))=12, --MID(A759,1,1)*3+--MID(A759,2,1)*7+--MID(A759,3,1)*2+--MID(A759,4,1)*4+--MID(A759,5,1)*10+--MID(A759,6,1)*3+--MID(A759,7,1)*5+--MID(A759,8,1)*9+--MID(A759,9,1)*4+--MID(A759,10,1)*6+--MID(A759,11,1)*8, "")</f>
        <v/>
      </c>
    </row>
    <row r="760">
      <c r="A760">
        <f>SUBSTITUTE(SUBSTITUTE(SUBSTITUTE(SUBSTITUTE(TRIM(INDEX(Реестр!$B:$B,ROW())),CHAR(160),""),CHAR(9),""),CHAR(10),""),CHAR(13),"")</f>
        <v/>
      </c>
      <c r="B760">
        <f>SUBSTITUTE(SUBSTITUTE(SUBSTITUTE(SUBSTITUTE(SUBSTITUTE(SUBSTITUTE(SUBSTITUTE(TRIM(INDEX(Реестр!$D:$D, ROW())), "-", ""), " ", ""), CHAR(160), ""), CHAR(9), ""), CHAR(10), ""), CHAR(13), ""), CHAR(32), "")</f>
        <v/>
      </c>
      <c r="C760">
        <f>INDEX(Реестр!$H:$H, ROW())</f>
        <v/>
      </c>
      <c r="D760">
        <f>IF(OR(ISBLANK(INDEX(Реестр!$B:$B, ROW())), INDEX(Реестр!$B:$B, ROW())=""), " ", IF(IFERROR(ISNUMBER(--A760),FALSE), IF(LEN(A760)=10, IF(MOD(MOD(H760,11),10)=--RIGHT(A760,1), "OK", "ОШИБКА"), IF(LEN(A760)=12, IF(AND(MOD(MOD(H760,11),10)=--MID(A760,11,1), MOD(MOD(I760,11),10)=--RIGHT(A760,1)), "OK", "ОШИБКА"), "ДЛИНА (10 или 12)")), "НЕ ЦИФРЫ"))</f>
        <v/>
      </c>
      <c r="E760">
        <f>MID(B760,1,1)*9+MID(B760,2,1)*8+MID(B760,3,1)*7+MID(B760,4,1)*6+MID(B760,5,1)*5+MID(B760,6,1)*4+MID(B760,7,1)*3+MID(B760,8,1)*2+MID(B760,9,1)</f>
        <v/>
      </c>
      <c r="F760">
        <f>IF(B760="", " ", IF(LEN(B760)&lt;&gt;11, "ДЛИНА", IF(NOT(ISNUMBER(--B760)), "НЕ ЦИФРЫ", IF(LEFT(B760,9)*1&lt;=1001998, "OK", IF(RIGHT(B760,2)*1=IF(MOD(E760,101)&gt;=100,0,MOD(E760,101)),"OK","ОШИБКА")))))</f>
        <v/>
      </c>
      <c r="G7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0">
        <f>IF(LEN(TRIM(A760))=10, --MID(A760,1,1)*2+--MID(A760,2,1)*4+--MID(A760,3,1)*10+--MID(A760,4,1)*3+--MID(A760,5,1)*5+--MID(A760,6,1)*9+--MID(A760,7,1)*4+--MID(A760,8,1)*6+--MID(A760,9,1)*8, IF(LEN(TRIM(A760))=12, --MID(A760,1,1)*7+--MID(A760,2,1)*2+--MID(A760,3,1)*4+--MID(A760,4,1)*10+--MID(A760,5,1)*3+--MID(A760,6,1)*5+--MID(A760,7,1)*9+--MID(A760,8,1)*4+--MID(A760,9,1)*6+--MID(A760,10,1)*8, ""))</f>
        <v/>
      </c>
      <c r="I760">
        <f>IF(LEN(TRIM(A760))=12, --MID(A760,1,1)*3+--MID(A760,2,1)*7+--MID(A760,3,1)*2+--MID(A760,4,1)*4+--MID(A760,5,1)*10+--MID(A760,6,1)*3+--MID(A760,7,1)*5+--MID(A760,8,1)*9+--MID(A760,9,1)*4+--MID(A760,10,1)*6+--MID(A760,11,1)*8, "")</f>
        <v/>
      </c>
    </row>
    <row r="761">
      <c r="A761">
        <f>SUBSTITUTE(SUBSTITUTE(SUBSTITUTE(SUBSTITUTE(TRIM(INDEX(Реестр!$B:$B,ROW())),CHAR(160),""),CHAR(9),""),CHAR(10),""),CHAR(13),"")</f>
        <v/>
      </c>
      <c r="B761">
        <f>SUBSTITUTE(SUBSTITUTE(SUBSTITUTE(SUBSTITUTE(SUBSTITUTE(SUBSTITUTE(SUBSTITUTE(TRIM(INDEX(Реестр!$D:$D, ROW())), "-", ""), " ", ""), CHAR(160), ""), CHAR(9), ""), CHAR(10), ""), CHAR(13), ""), CHAR(32), "")</f>
        <v/>
      </c>
      <c r="C761">
        <f>INDEX(Реестр!$H:$H, ROW())</f>
        <v/>
      </c>
      <c r="D761">
        <f>IF(OR(ISBLANK(INDEX(Реестр!$B:$B, ROW())), INDEX(Реестр!$B:$B, ROW())=""), " ", IF(IFERROR(ISNUMBER(--A761),FALSE), IF(LEN(A761)=10, IF(MOD(MOD(H761,11),10)=--RIGHT(A761,1), "OK", "ОШИБКА"), IF(LEN(A761)=12, IF(AND(MOD(MOD(H761,11),10)=--MID(A761,11,1), MOD(MOD(I761,11),10)=--RIGHT(A761,1)), "OK", "ОШИБКА"), "ДЛИНА (10 или 12)")), "НЕ ЦИФРЫ"))</f>
        <v/>
      </c>
      <c r="E761">
        <f>MID(B761,1,1)*9+MID(B761,2,1)*8+MID(B761,3,1)*7+MID(B761,4,1)*6+MID(B761,5,1)*5+MID(B761,6,1)*4+MID(B761,7,1)*3+MID(B761,8,1)*2+MID(B761,9,1)</f>
        <v/>
      </c>
      <c r="F761">
        <f>IF(B761="", " ", IF(LEN(B761)&lt;&gt;11, "ДЛИНА", IF(NOT(ISNUMBER(--B761)), "НЕ ЦИФРЫ", IF(LEFT(B761,9)*1&lt;=1001998, "OK", IF(RIGHT(B761,2)*1=IF(MOD(E761,101)&gt;=100,0,MOD(E761,101)),"OK","ОШИБКА")))))</f>
        <v/>
      </c>
      <c r="G7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1">
        <f>IF(LEN(TRIM(A761))=10, --MID(A761,1,1)*2+--MID(A761,2,1)*4+--MID(A761,3,1)*10+--MID(A761,4,1)*3+--MID(A761,5,1)*5+--MID(A761,6,1)*9+--MID(A761,7,1)*4+--MID(A761,8,1)*6+--MID(A761,9,1)*8, IF(LEN(TRIM(A761))=12, --MID(A761,1,1)*7+--MID(A761,2,1)*2+--MID(A761,3,1)*4+--MID(A761,4,1)*10+--MID(A761,5,1)*3+--MID(A761,6,1)*5+--MID(A761,7,1)*9+--MID(A761,8,1)*4+--MID(A761,9,1)*6+--MID(A761,10,1)*8, ""))</f>
        <v/>
      </c>
      <c r="I761">
        <f>IF(LEN(TRIM(A761))=12, --MID(A761,1,1)*3+--MID(A761,2,1)*7+--MID(A761,3,1)*2+--MID(A761,4,1)*4+--MID(A761,5,1)*10+--MID(A761,6,1)*3+--MID(A761,7,1)*5+--MID(A761,8,1)*9+--MID(A761,9,1)*4+--MID(A761,10,1)*6+--MID(A761,11,1)*8, "")</f>
        <v/>
      </c>
    </row>
    <row r="762">
      <c r="A762">
        <f>SUBSTITUTE(SUBSTITUTE(SUBSTITUTE(SUBSTITUTE(TRIM(INDEX(Реестр!$B:$B,ROW())),CHAR(160),""),CHAR(9),""),CHAR(10),""),CHAR(13),"")</f>
        <v/>
      </c>
      <c r="B762">
        <f>SUBSTITUTE(SUBSTITUTE(SUBSTITUTE(SUBSTITUTE(SUBSTITUTE(SUBSTITUTE(SUBSTITUTE(TRIM(INDEX(Реестр!$D:$D, ROW())), "-", ""), " ", ""), CHAR(160), ""), CHAR(9), ""), CHAR(10), ""), CHAR(13), ""), CHAR(32), "")</f>
        <v/>
      </c>
      <c r="C762">
        <f>INDEX(Реестр!$H:$H, ROW())</f>
        <v/>
      </c>
      <c r="D762">
        <f>IF(OR(ISBLANK(INDEX(Реестр!$B:$B, ROW())), INDEX(Реестр!$B:$B, ROW())=""), " ", IF(IFERROR(ISNUMBER(--A762),FALSE), IF(LEN(A762)=10, IF(MOD(MOD(H762,11),10)=--RIGHT(A762,1), "OK", "ОШИБКА"), IF(LEN(A762)=12, IF(AND(MOD(MOD(H762,11),10)=--MID(A762,11,1), MOD(MOD(I762,11),10)=--RIGHT(A762,1)), "OK", "ОШИБКА"), "ДЛИНА (10 или 12)")), "НЕ ЦИФРЫ"))</f>
        <v/>
      </c>
      <c r="E762">
        <f>MID(B762,1,1)*9+MID(B762,2,1)*8+MID(B762,3,1)*7+MID(B762,4,1)*6+MID(B762,5,1)*5+MID(B762,6,1)*4+MID(B762,7,1)*3+MID(B762,8,1)*2+MID(B762,9,1)</f>
        <v/>
      </c>
      <c r="F762">
        <f>IF(B762="", " ", IF(LEN(B762)&lt;&gt;11, "ДЛИНА", IF(NOT(ISNUMBER(--B762)), "НЕ ЦИФРЫ", IF(LEFT(B762,9)*1&lt;=1001998, "OK", IF(RIGHT(B762,2)*1=IF(MOD(E762,101)&gt;=100,0,MOD(E762,101)),"OK","ОШИБКА")))))</f>
        <v/>
      </c>
      <c r="G7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2">
        <f>IF(LEN(TRIM(A762))=10, --MID(A762,1,1)*2+--MID(A762,2,1)*4+--MID(A762,3,1)*10+--MID(A762,4,1)*3+--MID(A762,5,1)*5+--MID(A762,6,1)*9+--MID(A762,7,1)*4+--MID(A762,8,1)*6+--MID(A762,9,1)*8, IF(LEN(TRIM(A762))=12, --MID(A762,1,1)*7+--MID(A762,2,1)*2+--MID(A762,3,1)*4+--MID(A762,4,1)*10+--MID(A762,5,1)*3+--MID(A762,6,1)*5+--MID(A762,7,1)*9+--MID(A762,8,1)*4+--MID(A762,9,1)*6+--MID(A762,10,1)*8, ""))</f>
        <v/>
      </c>
      <c r="I762">
        <f>IF(LEN(TRIM(A762))=12, --MID(A762,1,1)*3+--MID(A762,2,1)*7+--MID(A762,3,1)*2+--MID(A762,4,1)*4+--MID(A762,5,1)*10+--MID(A762,6,1)*3+--MID(A762,7,1)*5+--MID(A762,8,1)*9+--MID(A762,9,1)*4+--MID(A762,10,1)*6+--MID(A762,11,1)*8, "")</f>
        <v/>
      </c>
    </row>
    <row r="763">
      <c r="A763">
        <f>SUBSTITUTE(SUBSTITUTE(SUBSTITUTE(SUBSTITUTE(TRIM(INDEX(Реестр!$B:$B,ROW())),CHAR(160),""),CHAR(9),""),CHAR(10),""),CHAR(13),"")</f>
        <v/>
      </c>
      <c r="B763">
        <f>SUBSTITUTE(SUBSTITUTE(SUBSTITUTE(SUBSTITUTE(SUBSTITUTE(SUBSTITUTE(SUBSTITUTE(TRIM(INDEX(Реестр!$D:$D, ROW())), "-", ""), " ", ""), CHAR(160), ""), CHAR(9), ""), CHAR(10), ""), CHAR(13), ""), CHAR(32), "")</f>
        <v/>
      </c>
      <c r="C763">
        <f>INDEX(Реестр!$H:$H, ROW())</f>
        <v/>
      </c>
      <c r="D763">
        <f>IF(OR(ISBLANK(INDEX(Реестр!$B:$B, ROW())), INDEX(Реестр!$B:$B, ROW())=""), " ", IF(IFERROR(ISNUMBER(--A763),FALSE), IF(LEN(A763)=10, IF(MOD(MOD(H763,11),10)=--RIGHT(A763,1), "OK", "ОШИБКА"), IF(LEN(A763)=12, IF(AND(MOD(MOD(H763,11),10)=--MID(A763,11,1), MOD(MOD(I763,11),10)=--RIGHT(A763,1)), "OK", "ОШИБКА"), "ДЛИНА (10 или 12)")), "НЕ ЦИФРЫ"))</f>
        <v/>
      </c>
      <c r="E763">
        <f>MID(B763,1,1)*9+MID(B763,2,1)*8+MID(B763,3,1)*7+MID(B763,4,1)*6+MID(B763,5,1)*5+MID(B763,6,1)*4+MID(B763,7,1)*3+MID(B763,8,1)*2+MID(B763,9,1)</f>
        <v/>
      </c>
      <c r="F763">
        <f>IF(B763="", " ", IF(LEN(B763)&lt;&gt;11, "ДЛИНА", IF(NOT(ISNUMBER(--B763)), "НЕ ЦИФРЫ", IF(LEFT(B763,9)*1&lt;=1001998, "OK", IF(RIGHT(B763,2)*1=IF(MOD(E763,101)&gt;=100,0,MOD(E763,101)),"OK","ОШИБКА")))))</f>
        <v/>
      </c>
      <c r="G7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3">
        <f>IF(LEN(TRIM(A763))=10, --MID(A763,1,1)*2+--MID(A763,2,1)*4+--MID(A763,3,1)*10+--MID(A763,4,1)*3+--MID(A763,5,1)*5+--MID(A763,6,1)*9+--MID(A763,7,1)*4+--MID(A763,8,1)*6+--MID(A763,9,1)*8, IF(LEN(TRIM(A763))=12, --MID(A763,1,1)*7+--MID(A763,2,1)*2+--MID(A763,3,1)*4+--MID(A763,4,1)*10+--MID(A763,5,1)*3+--MID(A763,6,1)*5+--MID(A763,7,1)*9+--MID(A763,8,1)*4+--MID(A763,9,1)*6+--MID(A763,10,1)*8, ""))</f>
        <v/>
      </c>
      <c r="I763">
        <f>IF(LEN(TRIM(A763))=12, --MID(A763,1,1)*3+--MID(A763,2,1)*7+--MID(A763,3,1)*2+--MID(A763,4,1)*4+--MID(A763,5,1)*10+--MID(A763,6,1)*3+--MID(A763,7,1)*5+--MID(A763,8,1)*9+--MID(A763,9,1)*4+--MID(A763,10,1)*6+--MID(A763,11,1)*8, "")</f>
        <v/>
      </c>
    </row>
    <row r="764">
      <c r="A764">
        <f>SUBSTITUTE(SUBSTITUTE(SUBSTITUTE(SUBSTITUTE(TRIM(INDEX(Реестр!$B:$B,ROW())),CHAR(160),""),CHAR(9),""),CHAR(10),""),CHAR(13),"")</f>
        <v/>
      </c>
      <c r="B764">
        <f>SUBSTITUTE(SUBSTITUTE(SUBSTITUTE(SUBSTITUTE(SUBSTITUTE(SUBSTITUTE(SUBSTITUTE(TRIM(INDEX(Реестр!$D:$D, ROW())), "-", ""), " ", ""), CHAR(160), ""), CHAR(9), ""), CHAR(10), ""), CHAR(13), ""), CHAR(32), "")</f>
        <v/>
      </c>
      <c r="C764">
        <f>INDEX(Реестр!$H:$H, ROW())</f>
        <v/>
      </c>
      <c r="D764">
        <f>IF(OR(ISBLANK(INDEX(Реестр!$B:$B, ROW())), INDEX(Реестр!$B:$B, ROW())=""), " ", IF(IFERROR(ISNUMBER(--A764),FALSE), IF(LEN(A764)=10, IF(MOD(MOD(H764,11),10)=--RIGHT(A764,1), "OK", "ОШИБКА"), IF(LEN(A764)=12, IF(AND(MOD(MOD(H764,11),10)=--MID(A764,11,1), MOD(MOD(I764,11),10)=--RIGHT(A764,1)), "OK", "ОШИБКА"), "ДЛИНА (10 или 12)")), "НЕ ЦИФРЫ"))</f>
        <v/>
      </c>
      <c r="E764">
        <f>MID(B764,1,1)*9+MID(B764,2,1)*8+MID(B764,3,1)*7+MID(B764,4,1)*6+MID(B764,5,1)*5+MID(B764,6,1)*4+MID(B764,7,1)*3+MID(B764,8,1)*2+MID(B764,9,1)</f>
        <v/>
      </c>
      <c r="F764">
        <f>IF(B764="", " ", IF(LEN(B764)&lt;&gt;11, "ДЛИНА", IF(NOT(ISNUMBER(--B764)), "НЕ ЦИФРЫ", IF(LEFT(B764,9)*1&lt;=1001998, "OK", IF(RIGHT(B764,2)*1=IF(MOD(E764,101)&gt;=100,0,MOD(E764,101)),"OK","ОШИБКА")))))</f>
        <v/>
      </c>
      <c r="G7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4">
        <f>IF(LEN(TRIM(A764))=10, --MID(A764,1,1)*2+--MID(A764,2,1)*4+--MID(A764,3,1)*10+--MID(A764,4,1)*3+--MID(A764,5,1)*5+--MID(A764,6,1)*9+--MID(A764,7,1)*4+--MID(A764,8,1)*6+--MID(A764,9,1)*8, IF(LEN(TRIM(A764))=12, --MID(A764,1,1)*7+--MID(A764,2,1)*2+--MID(A764,3,1)*4+--MID(A764,4,1)*10+--MID(A764,5,1)*3+--MID(A764,6,1)*5+--MID(A764,7,1)*9+--MID(A764,8,1)*4+--MID(A764,9,1)*6+--MID(A764,10,1)*8, ""))</f>
        <v/>
      </c>
      <c r="I764">
        <f>IF(LEN(TRIM(A764))=12, --MID(A764,1,1)*3+--MID(A764,2,1)*7+--MID(A764,3,1)*2+--MID(A764,4,1)*4+--MID(A764,5,1)*10+--MID(A764,6,1)*3+--MID(A764,7,1)*5+--MID(A764,8,1)*9+--MID(A764,9,1)*4+--MID(A764,10,1)*6+--MID(A764,11,1)*8, "")</f>
        <v/>
      </c>
    </row>
    <row r="765">
      <c r="A765">
        <f>SUBSTITUTE(SUBSTITUTE(SUBSTITUTE(SUBSTITUTE(TRIM(INDEX(Реестр!$B:$B,ROW())),CHAR(160),""),CHAR(9),""),CHAR(10),""),CHAR(13),"")</f>
        <v/>
      </c>
      <c r="B765">
        <f>SUBSTITUTE(SUBSTITUTE(SUBSTITUTE(SUBSTITUTE(SUBSTITUTE(SUBSTITUTE(SUBSTITUTE(TRIM(INDEX(Реестр!$D:$D, ROW())), "-", ""), " ", ""), CHAR(160), ""), CHAR(9), ""), CHAR(10), ""), CHAR(13), ""), CHAR(32), "")</f>
        <v/>
      </c>
      <c r="C765">
        <f>INDEX(Реестр!$H:$H, ROW())</f>
        <v/>
      </c>
      <c r="D765">
        <f>IF(OR(ISBLANK(INDEX(Реестр!$B:$B, ROW())), INDEX(Реестр!$B:$B, ROW())=""), " ", IF(IFERROR(ISNUMBER(--A765),FALSE), IF(LEN(A765)=10, IF(MOD(MOD(H765,11),10)=--RIGHT(A765,1), "OK", "ОШИБКА"), IF(LEN(A765)=12, IF(AND(MOD(MOD(H765,11),10)=--MID(A765,11,1), MOD(MOD(I765,11),10)=--RIGHT(A765,1)), "OK", "ОШИБКА"), "ДЛИНА (10 или 12)")), "НЕ ЦИФРЫ"))</f>
        <v/>
      </c>
      <c r="E765">
        <f>MID(B765,1,1)*9+MID(B765,2,1)*8+MID(B765,3,1)*7+MID(B765,4,1)*6+MID(B765,5,1)*5+MID(B765,6,1)*4+MID(B765,7,1)*3+MID(B765,8,1)*2+MID(B765,9,1)</f>
        <v/>
      </c>
      <c r="F765">
        <f>IF(B765="", " ", IF(LEN(B765)&lt;&gt;11, "ДЛИНА", IF(NOT(ISNUMBER(--B765)), "НЕ ЦИФРЫ", IF(LEFT(B765,9)*1&lt;=1001998, "OK", IF(RIGHT(B765,2)*1=IF(MOD(E765,101)&gt;=100,0,MOD(E765,101)),"OK","ОШИБКА")))))</f>
        <v/>
      </c>
      <c r="G7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5">
        <f>IF(LEN(TRIM(A765))=10, --MID(A765,1,1)*2+--MID(A765,2,1)*4+--MID(A765,3,1)*10+--MID(A765,4,1)*3+--MID(A765,5,1)*5+--MID(A765,6,1)*9+--MID(A765,7,1)*4+--MID(A765,8,1)*6+--MID(A765,9,1)*8, IF(LEN(TRIM(A765))=12, --MID(A765,1,1)*7+--MID(A765,2,1)*2+--MID(A765,3,1)*4+--MID(A765,4,1)*10+--MID(A765,5,1)*3+--MID(A765,6,1)*5+--MID(A765,7,1)*9+--MID(A765,8,1)*4+--MID(A765,9,1)*6+--MID(A765,10,1)*8, ""))</f>
        <v/>
      </c>
      <c r="I765">
        <f>IF(LEN(TRIM(A765))=12, --MID(A765,1,1)*3+--MID(A765,2,1)*7+--MID(A765,3,1)*2+--MID(A765,4,1)*4+--MID(A765,5,1)*10+--MID(A765,6,1)*3+--MID(A765,7,1)*5+--MID(A765,8,1)*9+--MID(A765,9,1)*4+--MID(A765,10,1)*6+--MID(A765,11,1)*8, "")</f>
        <v/>
      </c>
    </row>
    <row r="766">
      <c r="A766">
        <f>SUBSTITUTE(SUBSTITUTE(SUBSTITUTE(SUBSTITUTE(TRIM(INDEX(Реестр!$B:$B,ROW())),CHAR(160),""),CHAR(9),""),CHAR(10),""),CHAR(13),"")</f>
        <v/>
      </c>
      <c r="B766">
        <f>SUBSTITUTE(SUBSTITUTE(SUBSTITUTE(SUBSTITUTE(SUBSTITUTE(SUBSTITUTE(SUBSTITUTE(TRIM(INDEX(Реестр!$D:$D, ROW())), "-", ""), " ", ""), CHAR(160), ""), CHAR(9), ""), CHAR(10), ""), CHAR(13), ""), CHAR(32), "")</f>
        <v/>
      </c>
      <c r="C766">
        <f>INDEX(Реестр!$H:$H, ROW())</f>
        <v/>
      </c>
      <c r="D766">
        <f>IF(OR(ISBLANK(INDEX(Реестр!$B:$B, ROW())), INDEX(Реестр!$B:$B, ROW())=""), " ", IF(IFERROR(ISNUMBER(--A766),FALSE), IF(LEN(A766)=10, IF(MOD(MOD(H766,11),10)=--RIGHT(A766,1), "OK", "ОШИБКА"), IF(LEN(A766)=12, IF(AND(MOD(MOD(H766,11),10)=--MID(A766,11,1), MOD(MOD(I766,11),10)=--RIGHT(A766,1)), "OK", "ОШИБКА"), "ДЛИНА (10 или 12)")), "НЕ ЦИФРЫ"))</f>
        <v/>
      </c>
      <c r="E766">
        <f>MID(B766,1,1)*9+MID(B766,2,1)*8+MID(B766,3,1)*7+MID(B766,4,1)*6+MID(B766,5,1)*5+MID(B766,6,1)*4+MID(B766,7,1)*3+MID(B766,8,1)*2+MID(B766,9,1)</f>
        <v/>
      </c>
      <c r="F766">
        <f>IF(B766="", " ", IF(LEN(B766)&lt;&gt;11, "ДЛИНА", IF(NOT(ISNUMBER(--B766)), "НЕ ЦИФРЫ", IF(LEFT(B766,9)*1&lt;=1001998, "OK", IF(RIGHT(B766,2)*1=IF(MOD(E766,101)&gt;=100,0,MOD(E766,101)),"OK","ОШИБКА")))))</f>
        <v/>
      </c>
      <c r="G7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6">
        <f>IF(LEN(TRIM(A766))=10, --MID(A766,1,1)*2+--MID(A766,2,1)*4+--MID(A766,3,1)*10+--MID(A766,4,1)*3+--MID(A766,5,1)*5+--MID(A766,6,1)*9+--MID(A766,7,1)*4+--MID(A766,8,1)*6+--MID(A766,9,1)*8, IF(LEN(TRIM(A766))=12, --MID(A766,1,1)*7+--MID(A766,2,1)*2+--MID(A766,3,1)*4+--MID(A766,4,1)*10+--MID(A766,5,1)*3+--MID(A766,6,1)*5+--MID(A766,7,1)*9+--MID(A766,8,1)*4+--MID(A766,9,1)*6+--MID(A766,10,1)*8, ""))</f>
        <v/>
      </c>
      <c r="I766">
        <f>IF(LEN(TRIM(A766))=12, --MID(A766,1,1)*3+--MID(A766,2,1)*7+--MID(A766,3,1)*2+--MID(A766,4,1)*4+--MID(A766,5,1)*10+--MID(A766,6,1)*3+--MID(A766,7,1)*5+--MID(A766,8,1)*9+--MID(A766,9,1)*4+--MID(A766,10,1)*6+--MID(A766,11,1)*8, "")</f>
        <v/>
      </c>
    </row>
    <row r="767">
      <c r="A767">
        <f>SUBSTITUTE(SUBSTITUTE(SUBSTITUTE(SUBSTITUTE(TRIM(INDEX(Реестр!$B:$B,ROW())),CHAR(160),""),CHAR(9),""),CHAR(10),""),CHAR(13),"")</f>
        <v/>
      </c>
      <c r="B767">
        <f>SUBSTITUTE(SUBSTITUTE(SUBSTITUTE(SUBSTITUTE(SUBSTITUTE(SUBSTITUTE(SUBSTITUTE(TRIM(INDEX(Реестр!$D:$D, ROW())), "-", ""), " ", ""), CHAR(160), ""), CHAR(9), ""), CHAR(10), ""), CHAR(13), ""), CHAR(32), "")</f>
        <v/>
      </c>
      <c r="C767">
        <f>INDEX(Реестр!$H:$H, ROW())</f>
        <v/>
      </c>
      <c r="D767">
        <f>IF(OR(ISBLANK(INDEX(Реестр!$B:$B, ROW())), INDEX(Реестр!$B:$B, ROW())=""), " ", IF(IFERROR(ISNUMBER(--A767),FALSE), IF(LEN(A767)=10, IF(MOD(MOD(H767,11),10)=--RIGHT(A767,1), "OK", "ОШИБКА"), IF(LEN(A767)=12, IF(AND(MOD(MOD(H767,11),10)=--MID(A767,11,1), MOD(MOD(I767,11),10)=--RIGHT(A767,1)), "OK", "ОШИБКА"), "ДЛИНА (10 или 12)")), "НЕ ЦИФРЫ"))</f>
        <v/>
      </c>
      <c r="E767">
        <f>MID(B767,1,1)*9+MID(B767,2,1)*8+MID(B767,3,1)*7+MID(B767,4,1)*6+MID(B767,5,1)*5+MID(B767,6,1)*4+MID(B767,7,1)*3+MID(B767,8,1)*2+MID(B767,9,1)</f>
        <v/>
      </c>
      <c r="F767">
        <f>IF(B767="", " ", IF(LEN(B767)&lt;&gt;11, "ДЛИНА", IF(NOT(ISNUMBER(--B767)), "НЕ ЦИФРЫ", IF(LEFT(B767,9)*1&lt;=1001998, "OK", IF(RIGHT(B767,2)*1=IF(MOD(E767,101)&gt;=100,0,MOD(E767,101)),"OK","ОШИБКА")))))</f>
        <v/>
      </c>
      <c r="G7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7">
        <f>IF(LEN(TRIM(A767))=10, --MID(A767,1,1)*2+--MID(A767,2,1)*4+--MID(A767,3,1)*10+--MID(A767,4,1)*3+--MID(A767,5,1)*5+--MID(A767,6,1)*9+--MID(A767,7,1)*4+--MID(A767,8,1)*6+--MID(A767,9,1)*8, IF(LEN(TRIM(A767))=12, --MID(A767,1,1)*7+--MID(A767,2,1)*2+--MID(A767,3,1)*4+--MID(A767,4,1)*10+--MID(A767,5,1)*3+--MID(A767,6,1)*5+--MID(A767,7,1)*9+--MID(A767,8,1)*4+--MID(A767,9,1)*6+--MID(A767,10,1)*8, ""))</f>
        <v/>
      </c>
      <c r="I767">
        <f>IF(LEN(TRIM(A767))=12, --MID(A767,1,1)*3+--MID(A767,2,1)*7+--MID(A767,3,1)*2+--MID(A767,4,1)*4+--MID(A767,5,1)*10+--MID(A767,6,1)*3+--MID(A767,7,1)*5+--MID(A767,8,1)*9+--MID(A767,9,1)*4+--MID(A767,10,1)*6+--MID(A767,11,1)*8, "")</f>
        <v/>
      </c>
    </row>
    <row r="768">
      <c r="A768">
        <f>SUBSTITUTE(SUBSTITUTE(SUBSTITUTE(SUBSTITUTE(TRIM(INDEX(Реестр!$B:$B,ROW())),CHAR(160),""),CHAR(9),""),CHAR(10),""),CHAR(13),"")</f>
        <v/>
      </c>
      <c r="B768">
        <f>SUBSTITUTE(SUBSTITUTE(SUBSTITUTE(SUBSTITUTE(SUBSTITUTE(SUBSTITUTE(SUBSTITUTE(TRIM(INDEX(Реестр!$D:$D, ROW())), "-", ""), " ", ""), CHAR(160), ""), CHAR(9), ""), CHAR(10), ""), CHAR(13), ""), CHAR(32), "")</f>
        <v/>
      </c>
      <c r="C768">
        <f>INDEX(Реестр!$H:$H, ROW())</f>
        <v/>
      </c>
      <c r="D768">
        <f>IF(OR(ISBLANK(INDEX(Реестр!$B:$B, ROW())), INDEX(Реестр!$B:$B, ROW())=""), " ", IF(IFERROR(ISNUMBER(--A768),FALSE), IF(LEN(A768)=10, IF(MOD(MOD(H768,11),10)=--RIGHT(A768,1), "OK", "ОШИБКА"), IF(LEN(A768)=12, IF(AND(MOD(MOD(H768,11),10)=--MID(A768,11,1), MOD(MOD(I768,11),10)=--RIGHT(A768,1)), "OK", "ОШИБКА"), "ДЛИНА (10 или 12)")), "НЕ ЦИФРЫ"))</f>
        <v/>
      </c>
      <c r="E768">
        <f>MID(B768,1,1)*9+MID(B768,2,1)*8+MID(B768,3,1)*7+MID(B768,4,1)*6+MID(B768,5,1)*5+MID(B768,6,1)*4+MID(B768,7,1)*3+MID(B768,8,1)*2+MID(B768,9,1)</f>
        <v/>
      </c>
      <c r="F768">
        <f>IF(B768="", " ", IF(LEN(B768)&lt;&gt;11, "ДЛИНА", IF(NOT(ISNUMBER(--B768)), "НЕ ЦИФРЫ", IF(LEFT(B768,9)*1&lt;=1001998, "OK", IF(RIGHT(B768,2)*1=IF(MOD(E768,101)&gt;=100,0,MOD(E768,101)),"OK","ОШИБКА")))))</f>
        <v/>
      </c>
      <c r="G7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8">
        <f>IF(LEN(TRIM(A768))=10, --MID(A768,1,1)*2+--MID(A768,2,1)*4+--MID(A768,3,1)*10+--MID(A768,4,1)*3+--MID(A768,5,1)*5+--MID(A768,6,1)*9+--MID(A768,7,1)*4+--MID(A768,8,1)*6+--MID(A768,9,1)*8, IF(LEN(TRIM(A768))=12, --MID(A768,1,1)*7+--MID(A768,2,1)*2+--MID(A768,3,1)*4+--MID(A768,4,1)*10+--MID(A768,5,1)*3+--MID(A768,6,1)*5+--MID(A768,7,1)*9+--MID(A768,8,1)*4+--MID(A768,9,1)*6+--MID(A768,10,1)*8, ""))</f>
        <v/>
      </c>
      <c r="I768">
        <f>IF(LEN(TRIM(A768))=12, --MID(A768,1,1)*3+--MID(A768,2,1)*7+--MID(A768,3,1)*2+--MID(A768,4,1)*4+--MID(A768,5,1)*10+--MID(A768,6,1)*3+--MID(A768,7,1)*5+--MID(A768,8,1)*9+--MID(A768,9,1)*4+--MID(A768,10,1)*6+--MID(A768,11,1)*8, "")</f>
        <v/>
      </c>
    </row>
    <row r="769">
      <c r="A769">
        <f>SUBSTITUTE(SUBSTITUTE(SUBSTITUTE(SUBSTITUTE(TRIM(INDEX(Реестр!$B:$B,ROW())),CHAR(160),""),CHAR(9),""),CHAR(10),""),CHAR(13),"")</f>
        <v/>
      </c>
      <c r="B769">
        <f>SUBSTITUTE(SUBSTITUTE(SUBSTITUTE(SUBSTITUTE(SUBSTITUTE(SUBSTITUTE(SUBSTITUTE(TRIM(INDEX(Реестр!$D:$D, ROW())), "-", ""), " ", ""), CHAR(160), ""), CHAR(9), ""), CHAR(10), ""), CHAR(13), ""), CHAR(32), "")</f>
        <v/>
      </c>
      <c r="C769">
        <f>INDEX(Реестр!$H:$H, ROW())</f>
        <v/>
      </c>
      <c r="D769">
        <f>IF(OR(ISBLANK(INDEX(Реестр!$B:$B, ROW())), INDEX(Реестр!$B:$B, ROW())=""), " ", IF(IFERROR(ISNUMBER(--A769),FALSE), IF(LEN(A769)=10, IF(MOD(MOD(H769,11),10)=--RIGHT(A769,1), "OK", "ОШИБКА"), IF(LEN(A769)=12, IF(AND(MOD(MOD(H769,11),10)=--MID(A769,11,1), MOD(MOD(I769,11),10)=--RIGHT(A769,1)), "OK", "ОШИБКА"), "ДЛИНА (10 или 12)")), "НЕ ЦИФРЫ"))</f>
        <v/>
      </c>
      <c r="E769">
        <f>MID(B769,1,1)*9+MID(B769,2,1)*8+MID(B769,3,1)*7+MID(B769,4,1)*6+MID(B769,5,1)*5+MID(B769,6,1)*4+MID(B769,7,1)*3+MID(B769,8,1)*2+MID(B769,9,1)</f>
        <v/>
      </c>
      <c r="F769">
        <f>IF(B769="", " ", IF(LEN(B769)&lt;&gt;11, "ДЛИНА", IF(NOT(ISNUMBER(--B769)), "НЕ ЦИФРЫ", IF(LEFT(B769,9)*1&lt;=1001998, "OK", IF(RIGHT(B769,2)*1=IF(MOD(E769,101)&gt;=100,0,MOD(E769,101)),"OK","ОШИБКА")))))</f>
        <v/>
      </c>
      <c r="G7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69">
        <f>IF(LEN(TRIM(A769))=10, --MID(A769,1,1)*2+--MID(A769,2,1)*4+--MID(A769,3,1)*10+--MID(A769,4,1)*3+--MID(A769,5,1)*5+--MID(A769,6,1)*9+--MID(A769,7,1)*4+--MID(A769,8,1)*6+--MID(A769,9,1)*8, IF(LEN(TRIM(A769))=12, --MID(A769,1,1)*7+--MID(A769,2,1)*2+--MID(A769,3,1)*4+--MID(A769,4,1)*10+--MID(A769,5,1)*3+--MID(A769,6,1)*5+--MID(A769,7,1)*9+--MID(A769,8,1)*4+--MID(A769,9,1)*6+--MID(A769,10,1)*8, ""))</f>
        <v/>
      </c>
      <c r="I769">
        <f>IF(LEN(TRIM(A769))=12, --MID(A769,1,1)*3+--MID(A769,2,1)*7+--MID(A769,3,1)*2+--MID(A769,4,1)*4+--MID(A769,5,1)*10+--MID(A769,6,1)*3+--MID(A769,7,1)*5+--MID(A769,8,1)*9+--MID(A769,9,1)*4+--MID(A769,10,1)*6+--MID(A769,11,1)*8, "")</f>
        <v/>
      </c>
    </row>
    <row r="770">
      <c r="A770">
        <f>SUBSTITUTE(SUBSTITUTE(SUBSTITUTE(SUBSTITUTE(TRIM(INDEX(Реестр!$B:$B,ROW())),CHAR(160),""),CHAR(9),""),CHAR(10),""),CHAR(13),"")</f>
        <v/>
      </c>
      <c r="B770">
        <f>SUBSTITUTE(SUBSTITUTE(SUBSTITUTE(SUBSTITUTE(SUBSTITUTE(SUBSTITUTE(SUBSTITUTE(TRIM(INDEX(Реестр!$D:$D, ROW())), "-", ""), " ", ""), CHAR(160), ""), CHAR(9), ""), CHAR(10), ""), CHAR(13), ""), CHAR(32), "")</f>
        <v/>
      </c>
      <c r="C770">
        <f>INDEX(Реестр!$H:$H, ROW())</f>
        <v/>
      </c>
      <c r="D770">
        <f>IF(OR(ISBLANK(INDEX(Реестр!$B:$B, ROW())), INDEX(Реестр!$B:$B, ROW())=""), " ", IF(IFERROR(ISNUMBER(--A770),FALSE), IF(LEN(A770)=10, IF(MOD(MOD(H770,11),10)=--RIGHT(A770,1), "OK", "ОШИБКА"), IF(LEN(A770)=12, IF(AND(MOD(MOD(H770,11),10)=--MID(A770,11,1), MOD(MOD(I770,11),10)=--RIGHT(A770,1)), "OK", "ОШИБКА"), "ДЛИНА (10 или 12)")), "НЕ ЦИФРЫ"))</f>
        <v/>
      </c>
      <c r="E770">
        <f>MID(B770,1,1)*9+MID(B770,2,1)*8+MID(B770,3,1)*7+MID(B770,4,1)*6+MID(B770,5,1)*5+MID(B770,6,1)*4+MID(B770,7,1)*3+MID(B770,8,1)*2+MID(B770,9,1)</f>
        <v/>
      </c>
      <c r="F770">
        <f>IF(B770="", " ", IF(LEN(B770)&lt;&gt;11, "ДЛИНА", IF(NOT(ISNUMBER(--B770)), "НЕ ЦИФРЫ", IF(LEFT(B770,9)*1&lt;=1001998, "OK", IF(RIGHT(B770,2)*1=IF(MOD(E770,101)&gt;=100,0,MOD(E770,101)),"OK","ОШИБКА")))))</f>
        <v/>
      </c>
      <c r="G7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0">
        <f>IF(LEN(TRIM(A770))=10, --MID(A770,1,1)*2+--MID(A770,2,1)*4+--MID(A770,3,1)*10+--MID(A770,4,1)*3+--MID(A770,5,1)*5+--MID(A770,6,1)*9+--MID(A770,7,1)*4+--MID(A770,8,1)*6+--MID(A770,9,1)*8, IF(LEN(TRIM(A770))=12, --MID(A770,1,1)*7+--MID(A770,2,1)*2+--MID(A770,3,1)*4+--MID(A770,4,1)*10+--MID(A770,5,1)*3+--MID(A770,6,1)*5+--MID(A770,7,1)*9+--MID(A770,8,1)*4+--MID(A770,9,1)*6+--MID(A770,10,1)*8, ""))</f>
        <v/>
      </c>
      <c r="I770">
        <f>IF(LEN(TRIM(A770))=12, --MID(A770,1,1)*3+--MID(A770,2,1)*7+--MID(A770,3,1)*2+--MID(A770,4,1)*4+--MID(A770,5,1)*10+--MID(A770,6,1)*3+--MID(A770,7,1)*5+--MID(A770,8,1)*9+--MID(A770,9,1)*4+--MID(A770,10,1)*6+--MID(A770,11,1)*8, "")</f>
        <v/>
      </c>
    </row>
    <row r="771">
      <c r="A771">
        <f>SUBSTITUTE(SUBSTITUTE(SUBSTITUTE(SUBSTITUTE(TRIM(INDEX(Реестр!$B:$B,ROW())),CHAR(160),""),CHAR(9),""),CHAR(10),""),CHAR(13),"")</f>
        <v/>
      </c>
      <c r="B771">
        <f>SUBSTITUTE(SUBSTITUTE(SUBSTITUTE(SUBSTITUTE(SUBSTITUTE(SUBSTITUTE(SUBSTITUTE(TRIM(INDEX(Реестр!$D:$D, ROW())), "-", ""), " ", ""), CHAR(160), ""), CHAR(9), ""), CHAR(10), ""), CHAR(13), ""), CHAR(32), "")</f>
        <v/>
      </c>
      <c r="C771">
        <f>INDEX(Реестр!$H:$H, ROW())</f>
        <v/>
      </c>
      <c r="D771">
        <f>IF(OR(ISBLANK(INDEX(Реестр!$B:$B, ROW())), INDEX(Реестр!$B:$B, ROW())=""), " ", IF(IFERROR(ISNUMBER(--A771),FALSE), IF(LEN(A771)=10, IF(MOD(MOD(H771,11),10)=--RIGHT(A771,1), "OK", "ОШИБКА"), IF(LEN(A771)=12, IF(AND(MOD(MOD(H771,11),10)=--MID(A771,11,1), MOD(MOD(I771,11),10)=--RIGHT(A771,1)), "OK", "ОШИБКА"), "ДЛИНА (10 или 12)")), "НЕ ЦИФРЫ"))</f>
        <v/>
      </c>
      <c r="E771">
        <f>MID(B771,1,1)*9+MID(B771,2,1)*8+MID(B771,3,1)*7+MID(B771,4,1)*6+MID(B771,5,1)*5+MID(B771,6,1)*4+MID(B771,7,1)*3+MID(B771,8,1)*2+MID(B771,9,1)</f>
        <v/>
      </c>
      <c r="F771">
        <f>IF(B771="", " ", IF(LEN(B771)&lt;&gt;11, "ДЛИНА", IF(NOT(ISNUMBER(--B771)), "НЕ ЦИФРЫ", IF(LEFT(B771,9)*1&lt;=1001998, "OK", IF(RIGHT(B771,2)*1=IF(MOD(E771,101)&gt;=100,0,MOD(E771,101)),"OK","ОШИБКА")))))</f>
        <v/>
      </c>
      <c r="G7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1">
        <f>IF(LEN(TRIM(A771))=10, --MID(A771,1,1)*2+--MID(A771,2,1)*4+--MID(A771,3,1)*10+--MID(A771,4,1)*3+--MID(A771,5,1)*5+--MID(A771,6,1)*9+--MID(A771,7,1)*4+--MID(A771,8,1)*6+--MID(A771,9,1)*8, IF(LEN(TRIM(A771))=12, --MID(A771,1,1)*7+--MID(A771,2,1)*2+--MID(A771,3,1)*4+--MID(A771,4,1)*10+--MID(A771,5,1)*3+--MID(A771,6,1)*5+--MID(A771,7,1)*9+--MID(A771,8,1)*4+--MID(A771,9,1)*6+--MID(A771,10,1)*8, ""))</f>
        <v/>
      </c>
      <c r="I771">
        <f>IF(LEN(TRIM(A771))=12, --MID(A771,1,1)*3+--MID(A771,2,1)*7+--MID(A771,3,1)*2+--MID(A771,4,1)*4+--MID(A771,5,1)*10+--MID(A771,6,1)*3+--MID(A771,7,1)*5+--MID(A771,8,1)*9+--MID(A771,9,1)*4+--MID(A771,10,1)*6+--MID(A771,11,1)*8, "")</f>
        <v/>
      </c>
    </row>
    <row r="772">
      <c r="A772">
        <f>SUBSTITUTE(SUBSTITUTE(SUBSTITUTE(SUBSTITUTE(TRIM(INDEX(Реестр!$B:$B,ROW())),CHAR(160),""),CHAR(9),""),CHAR(10),""),CHAR(13),"")</f>
        <v/>
      </c>
      <c r="B772">
        <f>SUBSTITUTE(SUBSTITUTE(SUBSTITUTE(SUBSTITUTE(SUBSTITUTE(SUBSTITUTE(SUBSTITUTE(TRIM(INDEX(Реестр!$D:$D, ROW())), "-", ""), " ", ""), CHAR(160), ""), CHAR(9), ""), CHAR(10), ""), CHAR(13), ""), CHAR(32), "")</f>
        <v/>
      </c>
      <c r="C772">
        <f>INDEX(Реестр!$H:$H, ROW())</f>
        <v/>
      </c>
      <c r="D772">
        <f>IF(OR(ISBLANK(INDEX(Реестр!$B:$B, ROW())), INDEX(Реестр!$B:$B, ROW())=""), " ", IF(IFERROR(ISNUMBER(--A772),FALSE), IF(LEN(A772)=10, IF(MOD(MOD(H772,11),10)=--RIGHT(A772,1), "OK", "ОШИБКА"), IF(LEN(A772)=12, IF(AND(MOD(MOD(H772,11),10)=--MID(A772,11,1), MOD(MOD(I772,11),10)=--RIGHT(A772,1)), "OK", "ОШИБКА"), "ДЛИНА (10 или 12)")), "НЕ ЦИФРЫ"))</f>
        <v/>
      </c>
      <c r="E772">
        <f>MID(B772,1,1)*9+MID(B772,2,1)*8+MID(B772,3,1)*7+MID(B772,4,1)*6+MID(B772,5,1)*5+MID(B772,6,1)*4+MID(B772,7,1)*3+MID(B772,8,1)*2+MID(B772,9,1)</f>
        <v/>
      </c>
      <c r="F772">
        <f>IF(B772="", " ", IF(LEN(B772)&lt;&gt;11, "ДЛИНА", IF(NOT(ISNUMBER(--B772)), "НЕ ЦИФРЫ", IF(LEFT(B772,9)*1&lt;=1001998, "OK", IF(RIGHT(B772,2)*1=IF(MOD(E772,101)&gt;=100,0,MOD(E772,101)),"OK","ОШИБКА")))))</f>
        <v/>
      </c>
      <c r="G7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2">
        <f>IF(LEN(TRIM(A772))=10, --MID(A772,1,1)*2+--MID(A772,2,1)*4+--MID(A772,3,1)*10+--MID(A772,4,1)*3+--MID(A772,5,1)*5+--MID(A772,6,1)*9+--MID(A772,7,1)*4+--MID(A772,8,1)*6+--MID(A772,9,1)*8, IF(LEN(TRIM(A772))=12, --MID(A772,1,1)*7+--MID(A772,2,1)*2+--MID(A772,3,1)*4+--MID(A772,4,1)*10+--MID(A772,5,1)*3+--MID(A772,6,1)*5+--MID(A772,7,1)*9+--MID(A772,8,1)*4+--MID(A772,9,1)*6+--MID(A772,10,1)*8, ""))</f>
        <v/>
      </c>
      <c r="I772">
        <f>IF(LEN(TRIM(A772))=12, --MID(A772,1,1)*3+--MID(A772,2,1)*7+--MID(A772,3,1)*2+--MID(A772,4,1)*4+--MID(A772,5,1)*10+--MID(A772,6,1)*3+--MID(A772,7,1)*5+--MID(A772,8,1)*9+--MID(A772,9,1)*4+--MID(A772,10,1)*6+--MID(A772,11,1)*8, "")</f>
        <v/>
      </c>
    </row>
    <row r="773">
      <c r="A773">
        <f>SUBSTITUTE(SUBSTITUTE(SUBSTITUTE(SUBSTITUTE(TRIM(INDEX(Реестр!$B:$B,ROW())),CHAR(160),""),CHAR(9),""),CHAR(10),""),CHAR(13),"")</f>
        <v/>
      </c>
      <c r="B773">
        <f>SUBSTITUTE(SUBSTITUTE(SUBSTITUTE(SUBSTITUTE(SUBSTITUTE(SUBSTITUTE(SUBSTITUTE(TRIM(INDEX(Реестр!$D:$D, ROW())), "-", ""), " ", ""), CHAR(160), ""), CHAR(9), ""), CHAR(10), ""), CHAR(13), ""), CHAR(32), "")</f>
        <v/>
      </c>
      <c r="C773">
        <f>INDEX(Реестр!$H:$H, ROW())</f>
        <v/>
      </c>
      <c r="D773">
        <f>IF(OR(ISBLANK(INDEX(Реестр!$B:$B, ROW())), INDEX(Реестр!$B:$B, ROW())=""), " ", IF(IFERROR(ISNUMBER(--A773),FALSE), IF(LEN(A773)=10, IF(MOD(MOD(H773,11),10)=--RIGHT(A773,1), "OK", "ОШИБКА"), IF(LEN(A773)=12, IF(AND(MOD(MOD(H773,11),10)=--MID(A773,11,1), MOD(MOD(I773,11),10)=--RIGHT(A773,1)), "OK", "ОШИБКА"), "ДЛИНА (10 или 12)")), "НЕ ЦИФРЫ"))</f>
        <v/>
      </c>
      <c r="E773">
        <f>MID(B773,1,1)*9+MID(B773,2,1)*8+MID(B773,3,1)*7+MID(B773,4,1)*6+MID(B773,5,1)*5+MID(B773,6,1)*4+MID(B773,7,1)*3+MID(B773,8,1)*2+MID(B773,9,1)</f>
        <v/>
      </c>
      <c r="F773">
        <f>IF(B773="", " ", IF(LEN(B773)&lt;&gt;11, "ДЛИНА", IF(NOT(ISNUMBER(--B773)), "НЕ ЦИФРЫ", IF(LEFT(B773,9)*1&lt;=1001998, "OK", IF(RIGHT(B773,2)*1=IF(MOD(E773,101)&gt;=100,0,MOD(E773,101)),"OK","ОШИБКА")))))</f>
        <v/>
      </c>
      <c r="G7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3">
        <f>IF(LEN(TRIM(A773))=10, --MID(A773,1,1)*2+--MID(A773,2,1)*4+--MID(A773,3,1)*10+--MID(A773,4,1)*3+--MID(A773,5,1)*5+--MID(A773,6,1)*9+--MID(A773,7,1)*4+--MID(A773,8,1)*6+--MID(A773,9,1)*8, IF(LEN(TRIM(A773))=12, --MID(A773,1,1)*7+--MID(A773,2,1)*2+--MID(A773,3,1)*4+--MID(A773,4,1)*10+--MID(A773,5,1)*3+--MID(A773,6,1)*5+--MID(A773,7,1)*9+--MID(A773,8,1)*4+--MID(A773,9,1)*6+--MID(A773,10,1)*8, ""))</f>
        <v/>
      </c>
      <c r="I773">
        <f>IF(LEN(TRIM(A773))=12, --MID(A773,1,1)*3+--MID(A773,2,1)*7+--MID(A773,3,1)*2+--MID(A773,4,1)*4+--MID(A773,5,1)*10+--MID(A773,6,1)*3+--MID(A773,7,1)*5+--MID(A773,8,1)*9+--MID(A773,9,1)*4+--MID(A773,10,1)*6+--MID(A773,11,1)*8, "")</f>
        <v/>
      </c>
    </row>
    <row r="774">
      <c r="A774">
        <f>SUBSTITUTE(SUBSTITUTE(SUBSTITUTE(SUBSTITUTE(TRIM(INDEX(Реестр!$B:$B,ROW())),CHAR(160),""),CHAR(9),""),CHAR(10),""),CHAR(13),"")</f>
        <v/>
      </c>
      <c r="B774">
        <f>SUBSTITUTE(SUBSTITUTE(SUBSTITUTE(SUBSTITUTE(SUBSTITUTE(SUBSTITUTE(SUBSTITUTE(TRIM(INDEX(Реестр!$D:$D, ROW())), "-", ""), " ", ""), CHAR(160), ""), CHAR(9), ""), CHAR(10), ""), CHAR(13), ""), CHAR(32), "")</f>
        <v/>
      </c>
      <c r="C774">
        <f>INDEX(Реестр!$H:$H, ROW())</f>
        <v/>
      </c>
      <c r="D774">
        <f>IF(OR(ISBLANK(INDEX(Реестр!$B:$B, ROW())), INDEX(Реестр!$B:$B, ROW())=""), " ", IF(IFERROR(ISNUMBER(--A774),FALSE), IF(LEN(A774)=10, IF(MOD(MOD(H774,11),10)=--RIGHT(A774,1), "OK", "ОШИБКА"), IF(LEN(A774)=12, IF(AND(MOD(MOD(H774,11),10)=--MID(A774,11,1), MOD(MOD(I774,11),10)=--RIGHT(A774,1)), "OK", "ОШИБКА"), "ДЛИНА (10 или 12)")), "НЕ ЦИФРЫ"))</f>
        <v/>
      </c>
      <c r="E774">
        <f>MID(B774,1,1)*9+MID(B774,2,1)*8+MID(B774,3,1)*7+MID(B774,4,1)*6+MID(B774,5,1)*5+MID(B774,6,1)*4+MID(B774,7,1)*3+MID(B774,8,1)*2+MID(B774,9,1)</f>
        <v/>
      </c>
      <c r="F774">
        <f>IF(B774="", " ", IF(LEN(B774)&lt;&gt;11, "ДЛИНА", IF(NOT(ISNUMBER(--B774)), "НЕ ЦИФРЫ", IF(LEFT(B774,9)*1&lt;=1001998, "OK", IF(RIGHT(B774,2)*1=IF(MOD(E774,101)&gt;=100,0,MOD(E774,101)),"OK","ОШИБКА")))))</f>
        <v/>
      </c>
      <c r="G7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4">
        <f>IF(LEN(TRIM(A774))=10, --MID(A774,1,1)*2+--MID(A774,2,1)*4+--MID(A774,3,1)*10+--MID(A774,4,1)*3+--MID(A774,5,1)*5+--MID(A774,6,1)*9+--MID(A774,7,1)*4+--MID(A774,8,1)*6+--MID(A774,9,1)*8, IF(LEN(TRIM(A774))=12, --MID(A774,1,1)*7+--MID(A774,2,1)*2+--MID(A774,3,1)*4+--MID(A774,4,1)*10+--MID(A774,5,1)*3+--MID(A774,6,1)*5+--MID(A774,7,1)*9+--MID(A774,8,1)*4+--MID(A774,9,1)*6+--MID(A774,10,1)*8, ""))</f>
        <v/>
      </c>
      <c r="I774">
        <f>IF(LEN(TRIM(A774))=12, --MID(A774,1,1)*3+--MID(A774,2,1)*7+--MID(A774,3,1)*2+--MID(A774,4,1)*4+--MID(A774,5,1)*10+--MID(A774,6,1)*3+--MID(A774,7,1)*5+--MID(A774,8,1)*9+--MID(A774,9,1)*4+--MID(A774,10,1)*6+--MID(A774,11,1)*8, "")</f>
        <v/>
      </c>
    </row>
    <row r="775">
      <c r="A775">
        <f>SUBSTITUTE(SUBSTITUTE(SUBSTITUTE(SUBSTITUTE(TRIM(INDEX(Реестр!$B:$B,ROW())),CHAR(160),""),CHAR(9),""),CHAR(10),""),CHAR(13),"")</f>
        <v/>
      </c>
      <c r="B775">
        <f>SUBSTITUTE(SUBSTITUTE(SUBSTITUTE(SUBSTITUTE(SUBSTITUTE(SUBSTITUTE(SUBSTITUTE(TRIM(INDEX(Реестр!$D:$D, ROW())), "-", ""), " ", ""), CHAR(160), ""), CHAR(9), ""), CHAR(10), ""), CHAR(13), ""), CHAR(32), "")</f>
        <v/>
      </c>
      <c r="C775">
        <f>INDEX(Реестр!$H:$H, ROW())</f>
        <v/>
      </c>
      <c r="D775">
        <f>IF(OR(ISBLANK(INDEX(Реестр!$B:$B, ROW())), INDEX(Реестр!$B:$B, ROW())=""), " ", IF(IFERROR(ISNUMBER(--A775),FALSE), IF(LEN(A775)=10, IF(MOD(MOD(H775,11),10)=--RIGHT(A775,1), "OK", "ОШИБКА"), IF(LEN(A775)=12, IF(AND(MOD(MOD(H775,11),10)=--MID(A775,11,1), MOD(MOD(I775,11),10)=--RIGHT(A775,1)), "OK", "ОШИБКА"), "ДЛИНА (10 или 12)")), "НЕ ЦИФРЫ"))</f>
        <v/>
      </c>
      <c r="E775">
        <f>MID(B775,1,1)*9+MID(B775,2,1)*8+MID(B775,3,1)*7+MID(B775,4,1)*6+MID(B775,5,1)*5+MID(B775,6,1)*4+MID(B775,7,1)*3+MID(B775,8,1)*2+MID(B775,9,1)</f>
        <v/>
      </c>
      <c r="F775">
        <f>IF(B775="", " ", IF(LEN(B775)&lt;&gt;11, "ДЛИНА", IF(NOT(ISNUMBER(--B775)), "НЕ ЦИФРЫ", IF(LEFT(B775,9)*1&lt;=1001998, "OK", IF(RIGHT(B775,2)*1=IF(MOD(E775,101)&gt;=100,0,MOD(E775,101)),"OK","ОШИБКА")))))</f>
        <v/>
      </c>
      <c r="G7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5">
        <f>IF(LEN(TRIM(A775))=10, --MID(A775,1,1)*2+--MID(A775,2,1)*4+--MID(A775,3,1)*10+--MID(A775,4,1)*3+--MID(A775,5,1)*5+--MID(A775,6,1)*9+--MID(A775,7,1)*4+--MID(A775,8,1)*6+--MID(A775,9,1)*8, IF(LEN(TRIM(A775))=12, --MID(A775,1,1)*7+--MID(A775,2,1)*2+--MID(A775,3,1)*4+--MID(A775,4,1)*10+--MID(A775,5,1)*3+--MID(A775,6,1)*5+--MID(A775,7,1)*9+--MID(A775,8,1)*4+--MID(A775,9,1)*6+--MID(A775,10,1)*8, ""))</f>
        <v/>
      </c>
      <c r="I775">
        <f>IF(LEN(TRIM(A775))=12, --MID(A775,1,1)*3+--MID(A775,2,1)*7+--MID(A775,3,1)*2+--MID(A775,4,1)*4+--MID(A775,5,1)*10+--MID(A775,6,1)*3+--MID(A775,7,1)*5+--MID(A775,8,1)*9+--MID(A775,9,1)*4+--MID(A775,10,1)*6+--MID(A775,11,1)*8, "")</f>
        <v/>
      </c>
    </row>
    <row r="776">
      <c r="A776">
        <f>SUBSTITUTE(SUBSTITUTE(SUBSTITUTE(SUBSTITUTE(TRIM(INDEX(Реестр!$B:$B,ROW())),CHAR(160),""),CHAR(9),""),CHAR(10),""),CHAR(13),"")</f>
        <v/>
      </c>
      <c r="B776">
        <f>SUBSTITUTE(SUBSTITUTE(SUBSTITUTE(SUBSTITUTE(SUBSTITUTE(SUBSTITUTE(SUBSTITUTE(TRIM(INDEX(Реестр!$D:$D, ROW())), "-", ""), " ", ""), CHAR(160), ""), CHAR(9), ""), CHAR(10), ""), CHAR(13), ""), CHAR(32), "")</f>
        <v/>
      </c>
      <c r="C776">
        <f>INDEX(Реестр!$H:$H, ROW())</f>
        <v/>
      </c>
      <c r="D776">
        <f>IF(OR(ISBLANK(INDEX(Реестр!$B:$B, ROW())), INDEX(Реестр!$B:$B, ROW())=""), " ", IF(IFERROR(ISNUMBER(--A776),FALSE), IF(LEN(A776)=10, IF(MOD(MOD(H776,11),10)=--RIGHT(A776,1), "OK", "ОШИБКА"), IF(LEN(A776)=12, IF(AND(MOD(MOD(H776,11),10)=--MID(A776,11,1), MOD(MOD(I776,11),10)=--RIGHT(A776,1)), "OK", "ОШИБКА"), "ДЛИНА (10 или 12)")), "НЕ ЦИФРЫ"))</f>
        <v/>
      </c>
      <c r="E776">
        <f>MID(B776,1,1)*9+MID(B776,2,1)*8+MID(B776,3,1)*7+MID(B776,4,1)*6+MID(B776,5,1)*5+MID(B776,6,1)*4+MID(B776,7,1)*3+MID(B776,8,1)*2+MID(B776,9,1)</f>
        <v/>
      </c>
      <c r="F776">
        <f>IF(B776="", " ", IF(LEN(B776)&lt;&gt;11, "ДЛИНА", IF(NOT(ISNUMBER(--B776)), "НЕ ЦИФРЫ", IF(LEFT(B776,9)*1&lt;=1001998, "OK", IF(RIGHT(B776,2)*1=IF(MOD(E776,101)&gt;=100,0,MOD(E776,101)),"OK","ОШИБКА")))))</f>
        <v/>
      </c>
      <c r="G7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6">
        <f>IF(LEN(TRIM(A776))=10, --MID(A776,1,1)*2+--MID(A776,2,1)*4+--MID(A776,3,1)*10+--MID(A776,4,1)*3+--MID(A776,5,1)*5+--MID(A776,6,1)*9+--MID(A776,7,1)*4+--MID(A776,8,1)*6+--MID(A776,9,1)*8, IF(LEN(TRIM(A776))=12, --MID(A776,1,1)*7+--MID(A776,2,1)*2+--MID(A776,3,1)*4+--MID(A776,4,1)*10+--MID(A776,5,1)*3+--MID(A776,6,1)*5+--MID(A776,7,1)*9+--MID(A776,8,1)*4+--MID(A776,9,1)*6+--MID(A776,10,1)*8, ""))</f>
        <v/>
      </c>
      <c r="I776">
        <f>IF(LEN(TRIM(A776))=12, --MID(A776,1,1)*3+--MID(A776,2,1)*7+--MID(A776,3,1)*2+--MID(A776,4,1)*4+--MID(A776,5,1)*10+--MID(A776,6,1)*3+--MID(A776,7,1)*5+--MID(A776,8,1)*9+--MID(A776,9,1)*4+--MID(A776,10,1)*6+--MID(A776,11,1)*8, "")</f>
        <v/>
      </c>
    </row>
    <row r="777">
      <c r="A777">
        <f>SUBSTITUTE(SUBSTITUTE(SUBSTITUTE(SUBSTITUTE(TRIM(INDEX(Реестр!$B:$B,ROW())),CHAR(160),""),CHAR(9),""),CHAR(10),""),CHAR(13),"")</f>
        <v/>
      </c>
      <c r="B777">
        <f>SUBSTITUTE(SUBSTITUTE(SUBSTITUTE(SUBSTITUTE(SUBSTITUTE(SUBSTITUTE(SUBSTITUTE(TRIM(INDEX(Реестр!$D:$D, ROW())), "-", ""), " ", ""), CHAR(160), ""), CHAR(9), ""), CHAR(10), ""), CHAR(13), ""), CHAR(32), "")</f>
        <v/>
      </c>
      <c r="C777">
        <f>INDEX(Реестр!$H:$H, ROW())</f>
        <v/>
      </c>
      <c r="D777">
        <f>IF(OR(ISBLANK(INDEX(Реестр!$B:$B, ROW())), INDEX(Реестр!$B:$B, ROW())=""), " ", IF(IFERROR(ISNUMBER(--A777),FALSE), IF(LEN(A777)=10, IF(MOD(MOD(H777,11),10)=--RIGHT(A777,1), "OK", "ОШИБКА"), IF(LEN(A777)=12, IF(AND(MOD(MOD(H777,11),10)=--MID(A777,11,1), MOD(MOD(I777,11),10)=--RIGHT(A777,1)), "OK", "ОШИБКА"), "ДЛИНА (10 или 12)")), "НЕ ЦИФРЫ"))</f>
        <v/>
      </c>
      <c r="E777">
        <f>MID(B777,1,1)*9+MID(B777,2,1)*8+MID(B777,3,1)*7+MID(B777,4,1)*6+MID(B777,5,1)*5+MID(B777,6,1)*4+MID(B777,7,1)*3+MID(B777,8,1)*2+MID(B777,9,1)</f>
        <v/>
      </c>
      <c r="F777">
        <f>IF(B777="", " ", IF(LEN(B777)&lt;&gt;11, "ДЛИНА", IF(NOT(ISNUMBER(--B777)), "НЕ ЦИФРЫ", IF(LEFT(B777,9)*1&lt;=1001998, "OK", IF(RIGHT(B777,2)*1=IF(MOD(E777,101)&gt;=100,0,MOD(E777,101)),"OK","ОШИБКА")))))</f>
        <v/>
      </c>
      <c r="G7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7">
        <f>IF(LEN(TRIM(A777))=10, --MID(A777,1,1)*2+--MID(A777,2,1)*4+--MID(A777,3,1)*10+--MID(A777,4,1)*3+--MID(A777,5,1)*5+--MID(A777,6,1)*9+--MID(A777,7,1)*4+--MID(A777,8,1)*6+--MID(A777,9,1)*8, IF(LEN(TRIM(A777))=12, --MID(A777,1,1)*7+--MID(A777,2,1)*2+--MID(A777,3,1)*4+--MID(A777,4,1)*10+--MID(A777,5,1)*3+--MID(A777,6,1)*5+--MID(A777,7,1)*9+--MID(A777,8,1)*4+--MID(A777,9,1)*6+--MID(A777,10,1)*8, ""))</f>
        <v/>
      </c>
      <c r="I777">
        <f>IF(LEN(TRIM(A777))=12, --MID(A777,1,1)*3+--MID(A777,2,1)*7+--MID(A777,3,1)*2+--MID(A777,4,1)*4+--MID(A777,5,1)*10+--MID(A777,6,1)*3+--MID(A777,7,1)*5+--MID(A777,8,1)*9+--MID(A777,9,1)*4+--MID(A777,10,1)*6+--MID(A777,11,1)*8, "")</f>
        <v/>
      </c>
    </row>
    <row r="778">
      <c r="A778">
        <f>SUBSTITUTE(SUBSTITUTE(SUBSTITUTE(SUBSTITUTE(TRIM(INDEX(Реестр!$B:$B,ROW())),CHAR(160),""),CHAR(9),""),CHAR(10),""),CHAR(13),"")</f>
        <v/>
      </c>
      <c r="B778">
        <f>SUBSTITUTE(SUBSTITUTE(SUBSTITUTE(SUBSTITUTE(SUBSTITUTE(SUBSTITUTE(SUBSTITUTE(TRIM(INDEX(Реестр!$D:$D, ROW())), "-", ""), " ", ""), CHAR(160), ""), CHAR(9), ""), CHAR(10), ""), CHAR(13), ""), CHAR(32), "")</f>
        <v/>
      </c>
      <c r="C778">
        <f>INDEX(Реестр!$H:$H, ROW())</f>
        <v/>
      </c>
      <c r="D778">
        <f>IF(OR(ISBLANK(INDEX(Реестр!$B:$B, ROW())), INDEX(Реестр!$B:$B, ROW())=""), " ", IF(IFERROR(ISNUMBER(--A778),FALSE), IF(LEN(A778)=10, IF(MOD(MOD(H778,11),10)=--RIGHT(A778,1), "OK", "ОШИБКА"), IF(LEN(A778)=12, IF(AND(MOD(MOD(H778,11),10)=--MID(A778,11,1), MOD(MOD(I778,11),10)=--RIGHT(A778,1)), "OK", "ОШИБКА"), "ДЛИНА (10 или 12)")), "НЕ ЦИФРЫ"))</f>
        <v/>
      </c>
      <c r="E778">
        <f>MID(B778,1,1)*9+MID(B778,2,1)*8+MID(B778,3,1)*7+MID(B778,4,1)*6+MID(B778,5,1)*5+MID(B778,6,1)*4+MID(B778,7,1)*3+MID(B778,8,1)*2+MID(B778,9,1)</f>
        <v/>
      </c>
      <c r="F778">
        <f>IF(B778="", " ", IF(LEN(B778)&lt;&gt;11, "ДЛИНА", IF(NOT(ISNUMBER(--B778)), "НЕ ЦИФРЫ", IF(LEFT(B778,9)*1&lt;=1001998, "OK", IF(RIGHT(B778,2)*1=IF(MOD(E778,101)&gt;=100,0,MOD(E778,101)),"OK","ОШИБКА")))))</f>
        <v/>
      </c>
      <c r="G7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8">
        <f>IF(LEN(TRIM(A778))=10, --MID(A778,1,1)*2+--MID(A778,2,1)*4+--MID(A778,3,1)*10+--MID(A778,4,1)*3+--MID(A778,5,1)*5+--MID(A778,6,1)*9+--MID(A778,7,1)*4+--MID(A778,8,1)*6+--MID(A778,9,1)*8, IF(LEN(TRIM(A778))=12, --MID(A778,1,1)*7+--MID(A778,2,1)*2+--MID(A778,3,1)*4+--MID(A778,4,1)*10+--MID(A778,5,1)*3+--MID(A778,6,1)*5+--MID(A778,7,1)*9+--MID(A778,8,1)*4+--MID(A778,9,1)*6+--MID(A778,10,1)*8, ""))</f>
        <v/>
      </c>
      <c r="I778">
        <f>IF(LEN(TRIM(A778))=12, --MID(A778,1,1)*3+--MID(A778,2,1)*7+--MID(A778,3,1)*2+--MID(A778,4,1)*4+--MID(A778,5,1)*10+--MID(A778,6,1)*3+--MID(A778,7,1)*5+--MID(A778,8,1)*9+--MID(A778,9,1)*4+--MID(A778,10,1)*6+--MID(A778,11,1)*8, "")</f>
        <v/>
      </c>
    </row>
    <row r="779">
      <c r="A779">
        <f>SUBSTITUTE(SUBSTITUTE(SUBSTITUTE(SUBSTITUTE(TRIM(INDEX(Реестр!$B:$B,ROW())),CHAR(160),""),CHAR(9),""),CHAR(10),""),CHAR(13),"")</f>
        <v/>
      </c>
      <c r="B779">
        <f>SUBSTITUTE(SUBSTITUTE(SUBSTITUTE(SUBSTITUTE(SUBSTITUTE(SUBSTITUTE(SUBSTITUTE(TRIM(INDEX(Реестр!$D:$D, ROW())), "-", ""), " ", ""), CHAR(160), ""), CHAR(9), ""), CHAR(10), ""), CHAR(13), ""), CHAR(32), "")</f>
        <v/>
      </c>
      <c r="C779">
        <f>INDEX(Реестр!$H:$H, ROW())</f>
        <v/>
      </c>
      <c r="D779">
        <f>IF(OR(ISBLANK(INDEX(Реестр!$B:$B, ROW())), INDEX(Реестр!$B:$B, ROW())=""), " ", IF(IFERROR(ISNUMBER(--A779),FALSE), IF(LEN(A779)=10, IF(MOD(MOD(H779,11),10)=--RIGHT(A779,1), "OK", "ОШИБКА"), IF(LEN(A779)=12, IF(AND(MOD(MOD(H779,11),10)=--MID(A779,11,1), MOD(MOD(I779,11),10)=--RIGHT(A779,1)), "OK", "ОШИБКА"), "ДЛИНА (10 или 12)")), "НЕ ЦИФРЫ"))</f>
        <v/>
      </c>
      <c r="E779">
        <f>MID(B779,1,1)*9+MID(B779,2,1)*8+MID(B779,3,1)*7+MID(B779,4,1)*6+MID(B779,5,1)*5+MID(B779,6,1)*4+MID(B779,7,1)*3+MID(B779,8,1)*2+MID(B779,9,1)</f>
        <v/>
      </c>
      <c r="F779">
        <f>IF(B779="", " ", IF(LEN(B779)&lt;&gt;11, "ДЛИНА", IF(NOT(ISNUMBER(--B779)), "НЕ ЦИФРЫ", IF(LEFT(B779,9)*1&lt;=1001998, "OK", IF(RIGHT(B779,2)*1=IF(MOD(E779,101)&gt;=100,0,MOD(E779,101)),"OK","ОШИБКА")))))</f>
        <v/>
      </c>
      <c r="G7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79">
        <f>IF(LEN(TRIM(A779))=10, --MID(A779,1,1)*2+--MID(A779,2,1)*4+--MID(A779,3,1)*10+--MID(A779,4,1)*3+--MID(A779,5,1)*5+--MID(A779,6,1)*9+--MID(A779,7,1)*4+--MID(A779,8,1)*6+--MID(A779,9,1)*8, IF(LEN(TRIM(A779))=12, --MID(A779,1,1)*7+--MID(A779,2,1)*2+--MID(A779,3,1)*4+--MID(A779,4,1)*10+--MID(A779,5,1)*3+--MID(A779,6,1)*5+--MID(A779,7,1)*9+--MID(A779,8,1)*4+--MID(A779,9,1)*6+--MID(A779,10,1)*8, ""))</f>
        <v/>
      </c>
      <c r="I779">
        <f>IF(LEN(TRIM(A779))=12, --MID(A779,1,1)*3+--MID(A779,2,1)*7+--MID(A779,3,1)*2+--MID(A779,4,1)*4+--MID(A779,5,1)*10+--MID(A779,6,1)*3+--MID(A779,7,1)*5+--MID(A779,8,1)*9+--MID(A779,9,1)*4+--MID(A779,10,1)*6+--MID(A779,11,1)*8, "")</f>
        <v/>
      </c>
    </row>
    <row r="780">
      <c r="A780">
        <f>SUBSTITUTE(SUBSTITUTE(SUBSTITUTE(SUBSTITUTE(TRIM(INDEX(Реестр!$B:$B,ROW())),CHAR(160),""),CHAR(9),""),CHAR(10),""),CHAR(13),"")</f>
        <v/>
      </c>
      <c r="B780">
        <f>SUBSTITUTE(SUBSTITUTE(SUBSTITUTE(SUBSTITUTE(SUBSTITUTE(SUBSTITUTE(SUBSTITUTE(TRIM(INDEX(Реестр!$D:$D, ROW())), "-", ""), " ", ""), CHAR(160), ""), CHAR(9), ""), CHAR(10), ""), CHAR(13), ""), CHAR(32), "")</f>
        <v/>
      </c>
      <c r="C780">
        <f>INDEX(Реестр!$H:$H, ROW())</f>
        <v/>
      </c>
      <c r="D780">
        <f>IF(OR(ISBLANK(INDEX(Реестр!$B:$B, ROW())), INDEX(Реестр!$B:$B, ROW())=""), " ", IF(IFERROR(ISNUMBER(--A780),FALSE), IF(LEN(A780)=10, IF(MOD(MOD(H780,11),10)=--RIGHT(A780,1), "OK", "ОШИБКА"), IF(LEN(A780)=12, IF(AND(MOD(MOD(H780,11),10)=--MID(A780,11,1), MOD(MOD(I780,11),10)=--RIGHT(A780,1)), "OK", "ОШИБКА"), "ДЛИНА (10 или 12)")), "НЕ ЦИФРЫ"))</f>
        <v/>
      </c>
      <c r="E780">
        <f>MID(B780,1,1)*9+MID(B780,2,1)*8+MID(B780,3,1)*7+MID(B780,4,1)*6+MID(B780,5,1)*5+MID(B780,6,1)*4+MID(B780,7,1)*3+MID(B780,8,1)*2+MID(B780,9,1)</f>
        <v/>
      </c>
      <c r="F780">
        <f>IF(B780="", " ", IF(LEN(B780)&lt;&gt;11, "ДЛИНА", IF(NOT(ISNUMBER(--B780)), "НЕ ЦИФРЫ", IF(LEFT(B780,9)*1&lt;=1001998, "OK", IF(RIGHT(B780,2)*1=IF(MOD(E780,101)&gt;=100,0,MOD(E780,101)),"OK","ОШИБКА")))))</f>
        <v/>
      </c>
      <c r="G7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0">
        <f>IF(LEN(TRIM(A780))=10, --MID(A780,1,1)*2+--MID(A780,2,1)*4+--MID(A780,3,1)*10+--MID(A780,4,1)*3+--MID(A780,5,1)*5+--MID(A780,6,1)*9+--MID(A780,7,1)*4+--MID(A780,8,1)*6+--MID(A780,9,1)*8, IF(LEN(TRIM(A780))=12, --MID(A780,1,1)*7+--MID(A780,2,1)*2+--MID(A780,3,1)*4+--MID(A780,4,1)*10+--MID(A780,5,1)*3+--MID(A780,6,1)*5+--MID(A780,7,1)*9+--MID(A780,8,1)*4+--MID(A780,9,1)*6+--MID(A780,10,1)*8, ""))</f>
        <v/>
      </c>
      <c r="I780">
        <f>IF(LEN(TRIM(A780))=12, --MID(A780,1,1)*3+--MID(A780,2,1)*7+--MID(A780,3,1)*2+--MID(A780,4,1)*4+--MID(A780,5,1)*10+--MID(A780,6,1)*3+--MID(A780,7,1)*5+--MID(A780,8,1)*9+--MID(A780,9,1)*4+--MID(A780,10,1)*6+--MID(A780,11,1)*8, "")</f>
        <v/>
      </c>
    </row>
    <row r="781">
      <c r="A781">
        <f>SUBSTITUTE(SUBSTITUTE(SUBSTITUTE(SUBSTITUTE(TRIM(INDEX(Реестр!$B:$B,ROW())),CHAR(160),""),CHAR(9),""),CHAR(10),""),CHAR(13),"")</f>
        <v/>
      </c>
      <c r="B781">
        <f>SUBSTITUTE(SUBSTITUTE(SUBSTITUTE(SUBSTITUTE(SUBSTITUTE(SUBSTITUTE(SUBSTITUTE(TRIM(INDEX(Реестр!$D:$D, ROW())), "-", ""), " ", ""), CHAR(160), ""), CHAR(9), ""), CHAR(10), ""), CHAR(13), ""), CHAR(32), "")</f>
        <v/>
      </c>
      <c r="C781">
        <f>INDEX(Реестр!$H:$H, ROW())</f>
        <v/>
      </c>
      <c r="D781">
        <f>IF(OR(ISBLANK(INDEX(Реестр!$B:$B, ROW())), INDEX(Реестр!$B:$B, ROW())=""), " ", IF(IFERROR(ISNUMBER(--A781),FALSE), IF(LEN(A781)=10, IF(MOD(MOD(H781,11),10)=--RIGHT(A781,1), "OK", "ОШИБКА"), IF(LEN(A781)=12, IF(AND(MOD(MOD(H781,11),10)=--MID(A781,11,1), MOD(MOD(I781,11),10)=--RIGHT(A781,1)), "OK", "ОШИБКА"), "ДЛИНА (10 или 12)")), "НЕ ЦИФРЫ"))</f>
        <v/>
      </c>
      <c r="E781">
        <f>MID(B781,1,1)*9+MID(B781,2,1)*8+MID(B781,3,1)*7+MID(B781,4,1)*6+MID(B781,5,1)*5+MID(B781,6,1)*4+MID(B781,7,1)*3+MID(B781,8,1)*2+MID(B781,9,1)</f>
        <v/>
      </c>
      <c r="F781">
        <f>IF(B781="", " ", IF(LEN(B781)&lt;&gt;11, "ДЛИНА", IF(NOT(ISNUMBER(--B781)), "НЕ ЦИФРЫ", IF(LEFT(B781,9)*1&lt;=1001998, "OK", IF(RIGHT(B781,2)*1=IF(MOD(E781,101)&gt;=100,0,MOD(E781,101)),"OK","ОШИБКА")))))</f>
        <v/>
      </c>
      <c r="G7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1">
        <f>IF(LEN(TRIM(A781))=10, --MID(A781,1,1)*2+--MID(A781,2,1)*4+--MID(A781,3,1)*10+--MID(A781,4,1)*3+--MID(A781,5,1)*5+--MID(A781,6,1)*9+--MID(A781,7,1)*4+--MID(A781,8,1)*6+--MID(A781,9,1)*8, IF(LEN(TRIM(A781))=12, --MID(A781,1,1)*7+--MID(A781,2,1)*2+--MID(A781,3,1)*4+--MID(A781,4,1)*10+--MID(A781,5,1)*3+--MID(A781,6,1)*5+--MID(A781,7,1)*9+--MID(A781,8,1)*4+--MID(A781,9,1)*6+--MID(A781,10,1)*8, ""))</f>
        <v/>
      </c>
      <c r="I781">
        <f>IF(LEN(TRIM(A781))=12, --MID(A781,1,1)*3+--MID(A781,2,1)*7+--MID(A781,3,1)*2+--MID(A781,4,1)*4+--MID(A781,5,1)*10+--MID(A781,6,1)*3+--MID(A781,7,1)*5+--MID(A781,8,1)*9+--MID(A781,9,1)*4+--MID(A781,10,1)*6+--MID(A781,11,1)*8, "")</f>
        <v/>
      </c>
    </row>
    <row r="782">
      <c r="A782">
        <f>SUBSTITUTE(SUBSTITUTE(SUBSTITUTE(SUBSTITUTE(TRIM(INDEX(Реестр!$B:$B,ROW())),CHAR(160),""),CHAR(9),""),CHAR(10),""),CHAR(13),"")</f>
        <v/>
      </c>
      <c r="B782">
        <f>SUBSTITUTE(SUBSTITUTE(SUBSTITUTE(SUBSTITUTE(SUBSTITUTE(SUBSTITUTE(SUBSTITUTE(TRIM(INDEX(Реестр!$D:$D, ROW())), "-", ""), " ", ""), CHAR(160), ""), CHAR(9), ""), CHAR(10), ""), CHAR(13), ""), CHAR(32), "")</f>
        <v/>
      </c>
      <c r="C782">
        <f>INDEX(Реестр!$H:$H, ROW())</f>
        <v/>
      </c>
      <c r="D782">
        <f>IF(OR(ISBLANK(INDEX(Реестр!$B:$B, ROW())), INDEX(Реестр!$B:$B, ROW())=""), " ", IF(IFERROR(ISNUMBER(--A782),FALSE), IF(LEN(A782)=10, IF(MOD(MOD(H782,11),10)=--RIGHT(A782,1), "OK", "ОШИБКА"), IF(LEN(A782)=12, IF(AND(MOD(MOD(H782,11),10)=--MID(A782,11,1), MOD(MOD(I782,11),10)=--RIGHT(A782,1)), "OK", "ОШИБКА"), "ДЛИНА (10 или 12)")), "НЕ ЦИФРЫ"))</f>
        <v/>
      </c>
      <c r="E782">
        <f>MID(B782,1,1)*9+MID(B782,2,1)*8+MID(B782,3,1)*7+MID(B782,4,1)*6+MID(B782,5,1)*5+MID(B782,6,1)*4+MID(B782,7,1)*3+MID(B782,8,1)*2+MID(B782,9,1)</f>
        <v/>
      </c>
      <c r="F782">
        <f>IF(B782="", " ", IF(LEN(B782)&lt;&gt;11, "ДЛИНА", IF(NOT(ISNUMBER(--B782)), "НЕ ЦИФРЫ", IF(LEFT(B782,9)*1&lt;=1001998, "OK", IF(RIGHT(B782,2)*1=IF(MOD(E782,101)&gt;=100,0,MOD(E782,101)),"OK","ОШИБКА")))))</f>
        <v/>
      </c>
      <c r="G7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2">
        <f>IF(LEN(TRIM(A782))=10, --MID(A782,1,1)*2+--MID(A782,2,1)*4+--MID(A782,3,1)*10+--MID(A782,4,1)*3+--MID(A782,5,1)*5+--MID(A782,6,1)*9+--MID(A782,7,1)*4+--MID(A782,8,1)*6+--MID(A782,9,1)*8, IF(LEN(TRIM(A782))=12, --MID(A782,1,1)*7+--MID(A782,2,1)*2+--MID(A782,3,1)*4+--MID(A782,4,1)*10+--MID(A782,5,1)*3+--MID(A782,6,1)*5+--MID(A782,7,1)*9+--MID(A782,8,1)*4+--MID(A782,9,1)*6+--MID(A782,10,1)*8, ""))</f>
        <v/>
      </c>
      <c r="I782">
        <f>IF(LEN(TRIM(A782))=12, --MID(A782,1,1)*3+--MID(A782,2,1)*7+--MID(A782,3,1)*2+--MID(A782,4,1)*4+--MID(A782,5,1)*10+--MID(A782,6,1)*3+--MID(A782,7,1)*5+--MID(A782,8,1)*9+--MID(A782,9,1)*4+--MID(A782,10,1)*6+--MID(A782,11,1)*8, "")</f>
        <v/>
      </c>
    </row>
    <row r="783">
      <c r="A783">
        <f>SUBSTITUTE(SUBSTITUTE(SUBSTITUTE(SUBSTITUTE(TRIM(INDEX(Реестр!$B:$B,ROW())),CHAR(160),""),CHAR(9),""),CHAR(10),""),CHAR(13),"")</f>
        <v/>
      </c>
      <c r="B783">
        <f>SUBSTITUTE(SUBSTITUTE(SUBSTITUTE(SUBSTITUTE(SUBSTITUTE(SUBSTITUTE(SUBSTITUTE(TRIM(INDEX(Реестр!$D:$D, ROW())), "-", ""), " ", ""), CHAR(160), ""), CHAR(9), ""), CHAR(10), ""), CHAR(13), ""), CHAR(32), "")</f>
        <v/>
      </c>
      <c r="C783">
        <f>INDEX(Реестр!$H:$H, ROW())</f>
        <v/>
      </c>
      <c r="D783">
        <f>IF(OR(ISBLANK(INDEX(Реестр!$B:$B, ROW())), INDEX(Реестр!$B:$B, ROW())=""), " ", IF(IFERROR(ISNUMBER(--A783),FALSE), IF(LEN(A783)=10, IF(MOD(MOD(H783,11),10)=--RIGHT(A783,1), "OK", "ОШИБКА"), IF(LEN(A783)=12, IF(AND(MOD(MOD(H783,11),10)=--MID(A783,11,1), MOD(MOD(I783,11),10)=--RIGHT(A783,1)), "OK", "ОШИБКА"), "ДЛИНА (10 или 12)")), "НЕ ЦИФРЫ"))</f>
        <v/>
      </c>
      <c r="E783">
        <f>MID(B783,1,1)*9+MID(B783,2,1)*8+MID(B783,3,1)*7+MID(B783,4,1)*6+MID(B783,5,1)*5+MID(B783,6,1)*4+MID(B783,7,1)*3+MID(B783,8,1)*2+MID(B783,9,1)</f>
        <v/>
      </c>
      <c r="F783">
        <f>IF(B783="", " ", IF(LEN(B783)&lt;&gt;11, "ДЛИНА", IF(NOT(ISNUMBER(--B783)), "НЕ ЦИФРЫ", IF(LEFT(B783,9)*1&lt;=1001998, "OK", IF(RIGHT(B783,2)*1=IF(MOD(E783,101)&gt;=100,0,MOD(E783,101)),"OK","ОШИБКА")))))</f>
        <v/>
      </c>
      <c r="G7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3">
        <f>IF(LEN(TRIM(A783))=10, --MID(A783,1,1)*2+--MID(A783,2,1)*4+--MID(A783,3,1)*10+--MID(A783,4,1)*3+--MID(A783,5,1)*5+--MID(A783,6,1)*9+--MID(A783,7,1)*4+--MID(A783,8,1)*6+--MID(A783,9,1)*8, IF(LEN(TRIM(A783))=12, --MID(A783,1,1)*7+--MID(A783,2,1)*2+--MID(A783,3,1)*4+--MID(A783,4,1)*10+--MID(A783,5,1)*3+--MID(A783,6,1)*5+--MID(A783,7,1)*9+--MID(A783,8,1)*4+--MID(A783,9,1)*6+--MID(A783,10,1)*8, ""))</f>
        <v/>
      </c>
      <c r="I783">
        <f>IF(LEN(TRIM(A783))=12, --MID(A783,1,1)*3+--MID(A783,2,1)*7+--MID(A783,3,1)*2+--MID(A783,4,1)*4+--MID(A783,5,1)*10+--MID(A783,6,1)*3+--MID(A783,7,1)*5+--MID(A783,8,1)*9+--MID(A783,9,1)*4+--MID(A783,10,1)*6+--MID(A783,11,1)*8, "")</f>
        <v/>
      </c>
    </row>
    <row r="784">
      <c r="A784">
        <f>SUBSTITUTE(SUBSTITUTE(SUBSTITUTE(SUBSTITUTE(TRIM(INDEX(Реестр!$B:$B,ROW())),CHAR(160),""),CHAR(9),""),CHAR(10),""),CHAR(13),"")</f>
        <v/>
      </c>
      <c r="B784">
        <f>SUBSTITUTE(SUBSTITUTE(SUBSTITUTE(SUBSTITUTE(SUBSTITUTE(SUBSTITUTE(SUBSTITUTE(TRIM(INDEX(Реестр!$D:$D, ROW())), "-", ""), " ", ""), CHAR(160), ""), CHAR(9), ""), CHAR(10), ""), CHAR(13), ""), CHAR(32), "")</f>
        <v/>
      </c>
      <c r="C784">
        <f>INDEX(Реестр!$H:$H, ROW())</f>
        <v/>
      </c>
      <c r="D784">
        <f>IF(OR(ISBLANK(INDEX(Реестр!$B:$B, ROW())), INDEX(Реестр!$B:$B, ROW())=""), " ", IF(IFERROR(ISNUMBER(--A784),FALSE), IF(LEN(A784)=10, IF(MOD(MOD(H784,11),10)=--RIGHT(A784,1), "OK", "ОШИБКА"), IF(LEN(A784)=12, IF(AND(MOD(MOD(H784,11),10)=--MID(A784,11,1), MOD(MOD(I784,11),10)=--RIGHT(A784,1)), "OK", "ОШИБКА"), "ДЛИНА (10 или 12)")), "НЕ ЦИФРЫ"))</f>
        <v/>
      </c>
      <c r="E784">
        <f>MID(B784,1,1)*9+MID(B784,2,1)*8+MID(B784,3,1)*7+MID(B784,4,1)*6+MID(B784,5,1)*5+MID(B784,6,1)*4+MID(B784,7,1)*3+MID(B784,8,1)*2+MID(B784,9,1)</f>
        <v/>
      </c>
      <c r="F784">
        <f>IF(B784="", " ", IF(LEN(B784)&lt;&gt;11, "ДЛИНА", IF(NOT(ISNUMBER(--B784)), "НЕ ЦИФРЫ", IF(LEFT(B784,9)*1&lt;=1001998, "OK", IF(RIGHT(B784,2)*1=IF(MOD(E784,101)&gt;=100,0,MOD(E784,101)),"OK","ОШИБКА")))))</f>
        <v/>
      </c>
      <c r="G7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4">
        <f>IF(LEN(TRIM(A784))=10, --MID(A784,1,1)*2+--MID(A784,2,1)*4+--MID(A784,3,1)*10+--MID(A784,4,1)*3+--MID(A784,5,1)*5+--MID(A784,6,1)*9+--MID(A784,7,1)*4+--MID(A784,8,1)*6+--MID(A784,9,1)*8, IF(LEN(TRIM(A784))=12, --MID(A784,1,1)*7+--MID(A784,2,1)*2+--MID(A784,3,1)*4+--MID(A784,4,1)*10+--MID(A784,5,1)*3+--MID(A784,6,1)*5+--MID(A784,7,1)*9+--MID(A784,8,1)*4+--MID(A784,9,1)*6+--MID(A784,10,1)*8, ""))</f>
        <v/>
      </c>
      <c r="I784">
        <f>IF(LEN(TRIM(A784))=12, --MID(A784,1,1)*3+--MID(A784,2,1)*7+--MID(A784,3,1)*2+--MID(A784,4,1)*4+--MID(A784,5,1)*10+--MID(A784,6,1)*3+--MID(A784,7,1)*5+--MID(A784,8,1)*9+--MID(A784,9,1)*4+--MID(A784,10,1)*6+--MID(A784,11,1)*8, "")</f>
        <v/>
      </c>
    </row>
    <row r="785">
      <c r="A785">
        <f>SUBSTITUTE(SUBSTITUTE(SUBSTITUTE(SUBSTITUTE(TRIM(INDEX(Реестр!$B:$B,ROW())),CHAR(160),""),CHAR(9),""),CHAR(10),""),CHAR(13),"")</f>
        <v/>
      </c>
      <c r="B785">
        <f>SUBSTITUTE(SUBSTITUTE(SUBSTITUTE(SUBSTITUTE(SUBSTITUTE(SUBSTITUTE(SUBSTITUTE(TRIM(INDEX(Реестр!$D:$D, ROW())), "-", ""), " ", ""), CHAR(160), ""), CHAR(9), ""), CHAR(10), ""), CHAR(13), ""), CHAR(32), "")</f>
        <v/>
      </c>
      <c r="C785">
        <f>INDEX(Реестр!$H:$H, ROW())</f>
        <v/>
      </c>
      <c r="D785">
        <f>IF(OR(ISBLANK(INDEX(Реестр!$B:$B, ROW())), INDEX(Реестр!$B:$B, ROW())=""), " ", IF(IFERROR(ISNUMBER(--A785),FALSE), IF(LEN(A785)=10, IF(MOD(MOD(H785,11),10)=--RIGHT(A785,1), "OK", "ОШИБКА"), IF(LEN(A785)=12, IF(AND(MOD(MOD(H785,11),10)=--MID(A785,11,1), MOD(MOD(I785,11),10)=--RIGHT(A785,1)), "OK", "ОШИБКА"), "ДЛИНА (10 или 12)")), "НЕ ЦИФРЫ"))</f>
        <v/>
      </c>
      <c r="E785">
        <f>MID(B785,1,1)*9+MID(B785,2,1)*8+MID(B785,3,1)*7+MID(B785,4,1)*6+MID(B785,5,1)*5+MID(B785,6,1)*4+MID(B785,7,1)*3+MID(B785,8,1)*2+MID(B785,9,1)</f>
        <v/>
      </c>
      <c r="F785">
        <f>IF(B785="", " ", IF(LEN(B785)&lt;&gt;11, "ДЛИНА", IF(NOT(ISNUMBER(--B785)), "НЕ ЦИФРЫ", IF(LEFT(B785,9)*1&lt;=1001998, "OK", IF(RIGHT(B785,2)*1=IF(MOD(E785,101)&gt;=100,0,MOD(E785,101)),"OK","ОШИБКА")))))</f>
        <v/>
      </c>
      <c r="G7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5">
        <f>IF(LEN(TRIM(A785))=10, --MID(A785,1,1)*2+--MID(A785,2,1)*4+--MID(A785,3,1)*10+--MID(A785,4,1)*3+--MID(A785,5,1)*5+--MID(A785,6,1)*9+--MID(A785,7,1)*4+--MID(A785,8,1)*6+--MID(A785,9,1)*8, IF(LEN(TRIM(A785))=12, --MID(A785,1,1)*7+--MID(A785,2,1)*2+--MID(A785,3,1)*4+--MID(A785,4,1)*10+--MID(A785,5,1)*3+--MID(A785,6,1)*5+--MID(A785,7,1)*9+--MID(A785,8,1)*4+--MID(A785,9,1)*6+--MID(A785,10,1)*8, ""))</f>
        <v/>
      </c>
      <c r="I785">
        <f>IF(LEN(TRIM(A785))=12, --MID(A785,1,1)*3+--MID(A785,2,1)*7+--MID(A785,3,1)*2+--MID(A785,4,1)*4+--MID(A785,5,1)*10+--MID(A785,6,1)*3+--MID(A785,7,1)*5+--MID(A785,8,1)*9+--MID(A785,9,1)*4+--MID(A785,10,1)*6+--MID(A785,11,1)*8, "")</f>
        <v/>
      </c>
    </row>
    <row r="786">
      <c r="A786">
        <f>SUBSTITUTE(SUBSTITUTE(SUBSTITUTE(SUBSTITUTE(TRIM(INDEX(Реестр!$B:$B,ROW())),CHAR(160),""),CHAR(9),""),CHAR(10),""),CHAR(13),"")</f>
        <v/>
      </c>
      <c r="B786">
        <f>SUBSTITUTE(SUBSTITUTE(SUBSTITUTE(SUBSTITUTE(SUBSTITUTE(SUBSTITUTE(SUBSTITUTE(TRIM(INDEX(Реестр!$D:$D, ROW())), "-", ""), " ", ""), CHAR(160), ""), CHAR(9), ""), CHAR(10), ""), CHAR(13), ""), CHAR(32), "")</f>
        <v/>
      </c>
      <c r="C786">
        <f>INDEX(Реестр!$H:$H, ROW())</f>
        <v/>
      </c>
      <c r="D786">
        <f>IF(OR(ISBLANK(INDEX(Реестр!$B:$B, ROW())), INDEX(Реестр!$B:$B, ROW())=""), " ", IF(IFERROR(ISNUMBER(--A786),FALSE), IF(LEN(A786)=10, IF(MOD(MOD(H786,11),10)=--RIGHT(A786,1), "OK", "ОШИБКА"), IF(LEN(A786)=12, IF(AND(MOD(MOD(H786,11),10)=--MID(A786,11,1), MOD(MOD(I786,11),10)=--RIGHT(A786,1)), "OK", "ОШИБКА"), "ДЛИНА (10 или 12)")), "НЕ ЦИФРЫ"))</f>
        <v/>
      </c>
      <c r="E786">
        <f>MID(B786,1,1)*9+MID(B786,2,1)*8+MID(B786,3,1)*7+MID(B786,4,1)*6+MID(B786,5,1)*5+MID(B786,6,1)*4+MID(B786,7,1)*3+MID(B786,8,1)*2+MID(B786,9,1)</f>
        <v/>
      </c>
      <c r="F786">
        <f>IF(B786="", " ", IF(LEN(B786)&lt;&gt;11, "ДЛИНА", IF(NOT(ISNUMBER(--B786)), "НЕ ЦИФРЫ", IF(LEFT(B786,9)*1&lt;=1001998, "OK", IF(RIGHT(B786,2)*1=IF(MOD(E786,101)&gt;=100,0,MOD(E786,101)),"OK","ОШИБКА")))))</f>
        <v/>
      </c>
      <c r="G7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6">
        <f>IF(LEN(TRIM(A786))=10, --MID(A786,1,1)*2+--MID(A786,2,1)*4+--MID(A786,3,1)*10+--MID(A786,4,1)*3+--MID(A786,5,1)*5+--MID(A786,6,1)*9+--MID(A786,7,1)*4+--MID(A786,8,1)*6+--MID(A786,9,1)*8, IF(LEN(TRIM(A786))=12, --MID(A786,1,1)*7+--MID(A786,2,1)*2+--MID(A786,3,1)*4+--MID(A786,4,1)*10+--MID(A786,5,1)*3+--MID(A786,6,1)*5+--MID(A786,7,1)*9+--MID(A786,8,1)*4+--MID(A786,9,1)*6+--MID(A786,10,1)*8, ""))</f>
        <v/>
      </c>
      <c r="I786">
        <f>IF(LEN(TRIM(A786))=12, --MID(A786,1,1)*3+--MID(A786,2,1)*7+--MID(A786,3,1)*2+--MID(A786,4,1)*4+--MID(A786,5,1)*10+--MID(A786,6,1)*3+--MID(A786,7,1)*5+--MID(A786,8,1)*9+--MID(A786,9,1)*4+--MID(A786,10,1)*6+--MID(A786,11,1)*8, "")</f>
        <v/>
      </c>
    </row>
    <row r="787">
      <c r="A787">
        <f>SUBSTITUTE(SUBSTITUTE(SUBSTITUTE(SUBSTITUTE(TRIM(INDEX(Реестр!$B:$B,ROW())),CHAR(160),""),CHAR(9),""),CHAR(10),""),CHAR(13),"")</f>
        <v/>
      </c>
      <c r="B787">
        <f>SUBSTITUTE(SUBSTITUTE(SUBSTITUTE(SUBSTITUTE(SUBSTITUTE(SUBSTITUTE(SUBSTITUTE(TRIM(INDEX(Реестр!$D:$D, ROW())), "-", ""), " ", ""), CHAR(160), ""), CHAR(9), ""), CHAR(10), ""), CHAR(13), ""), CHAR(32), "")</f>
        <v/>
      </c>
      <c r="C787">
        <f>INDEX(Реестр!$H:$H, ROW())</f>
        <v/>
      </c>
      <c r="D787">
        <f>IF(OR(ISBLANK(INDEX(Реестр!$B:$B, ROW())), INDEX(Реестр!$B:$B, ROW())=""), " ", IF(IFERROR(ISNUMBER(--A787),FALSE), IF(LEN(A787)=10, IF(MOD(MOD(H787,11),10)=--RIGHT(A787,1), "OK", "ОШИБКА"), IF(LEN(A787)=12, IF(AND(MOD(MOD(H787,11),10)=--MID(A787,11,1), MOD(MOD(I787,11),10)=--RIGHT(A787,1)), "OK", "ОШИБКА"), "ДЛИНА (10 или 12)")), "НЕ ЦИФРЫ"))</f>
        <v/>
      </c>
      <c r="E787">
        <f>MID(B787,1,1)*9+MID(B787,2,1)*8+MID(B787,3,1)*7+MID(B787,4,1)*6+MID(B787,5,1)*5+MID(B787,6,1)*4+MID(B787,7,1)*3+MID(B787,8,1)*2+MID(B787,9,1)</f>
        <v/>
      </c>
      <c r="F787">
        <f>IF(B787="", " ", IF(LEN(B787)&lt;&gt;11, "ДЛИНА", IF(NOT(ISNUMBER(--B787)), "НЕ ЦИФРЫ", IF(LEFT(B787,9)*1&lt;=1001998, "OK", IF(RIGHT(B787,2)*1=IF(MOD(E787,101)&gt;=100,0,MOD(E787,101)),"OK","ОШИБКА")))))</f>
        <v/>
      </c>
      <c r="G7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7">
        <f>IF(LEN(TRIM(A787))=10, --MID(A787,1,1)*2+--MID(A787,2,1)*4+--MID(A787,3,1)*10+--MID(A787,4,1)*3+--MID(A787,5,1)*5+--MID(A787,6,1)*9+--MID(A787,7,1)*4+--MID(A787,8,1)*6+--MID(A787,9,1)*8, IF(LEN(TRIM(A787))=12, --MID(A787,1,1)*7+--MID(A787,2,1)*2+--MID(A787,3,1)*4+--MID(A787,4,1)*10+--MID(A787,5,1)*3+--MID(A787,6,1)*5+--MID(A787,7,1)*9+--MID(A787,8,1)*4+--MID(A787,9,1)*6+--MID(A787,10,1)*8, ""))</f>
        <v/>
      </c>
      <c r="I787">
        <f>IF(LEN(TRIM(A787))=12, --MID(A787,1,1)*3+--MID(A787,2,1)*7+--MID(A787,3,1)*2+--MID(A787,4,1)*4+--MID(A787,5,1)*10+--MID(A787,6,1)*3+--MID(A787,7,1)*5+--MID(A787,8,1)*9+--MID(A787,9,1)*4+--MID(A787,10,1)*6+--MID(A787,11,1)*8, "")</f>
        <v/>
      </c>
    </row>
    <row r="788">
      <c r="A788">
        <f>SUBSTITUTE(SUBSTITUTE(SUBSTITUTE(SUBSTITUTE(TRIM(INDEX(Реестр!$B:$B,ROW())),CHAR(160),""),CHAR(9),""),CHAR(10),""),CHAR(13),"")</f>
        <v/>
      </c>
      <c r="B788">
        <f>SUBSTITUTE(SUBSTITUTE(SUBSTITUTE(SUBSTITUTE(SUBSTITUTE(SUBSTITUTE(SUBSTITUTE(TRIM(INDEX(Реестр!$D:$D, ROW())), "-", ""), " ", ""), CHAR(160), ""), CHAR(9), ""), CHAR(10), ""), CHAR(13), ""), CHAR(32), "")</f>
        <v/>
      </c>
      <c r="C788">
        <f>INDEX(Реестр!$H:$H, ROW())</f>
        <v/>
      </c>
      <c r="D788">
        <f>IF(OR(ISBLANK(INDEX(Реестр!$B:$B, ROW())), INDEX(Реестр!$B:$B, ROW())=""), " ", IF(IFERROR(ISNUMBER(--A788),FALSE), IF(LEN(A788)=10, IF(MOD(MOD(H788,11),10)=--RIGHT(A788,1), "OK", "ОШИБКА"), IF(LEN(A788)=12, IF(AND(MOD(MOD(H788,11),10)=--MID(A788,11,1), MOD(MOD(I788,11),10)=--RIGHT(A788,1)), "OK", "ОШИБКА"), "ДЛИНА (10 или 12)")), "НЕ ЦИФРЫ"))</f>
        <v/>
      </c>
      <c r="E788">
        <f>MID(B788,1,1)*9+MID(B788,2,1)*8+MID(B788,3,1)*7+MID(B788,4,1)*6+MID(B788,5,1)*5+MID(B788,6,1)*4+MID(B788,7,1)*3+MID(B788,8,1)*2+MID(B788,9,1)</f>
        <v/>
      </c>
      <c r="F788">
        <f>IF(B788="", " ", IF(LEN(B788)&lt;&gt;11, "ДЛИНА", IF(NOT(ISNUMBER(--B788)), "НЕ ЦИФРЫ", IF(LEFT(B788,9)*1&lt;=1001998, "OK", IF(RIGHT(B788,2)*1=IF(MOD(E788,101)&gt;=100,0,MOD(E788,101)),"OK","ОШИБКА")))))</f>
        <v/>
      </c>
      <c r="G7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8">
        <f>IF(LEN(TRIM(A788))=10, --MID(A788,1,1)*2+--MID(A788,2,1)*4+--MID(A788,3,1)*10+--MID(A788,4,1)*3+--MID(A788,5,1)*5+--MID(A788,6,1)*9+--MID(A788,7,1)*4+--MID(A788,8,1)*6+--MID(A788,9,1)*8, IF(LEN(TRIM(A788))=12, --MID(A788,1,1)*7+--MID(A788,2,1)*2+--MID(A788,3,1)*4+--MID(A788,4,1)*10+--MID(A788,5,1)*3+--MID(A788,6,1)*5+--MID(A788,7,1)*9+--MID(A788,8,1)*4+--MID(A788,9,1)*6+--MID(A788,10,1)*8, ""))</f>
        <v/>
      </c>
      <c r="I788">
        <f>IF(LEN(TRIM(A788))=12, --MID(A788,1,1)*3+--MID(A788,2,1)*7+--MID(A788,3,1)*2+--MID(A788,4,1)*4+--MID(A788,5,1)*10+--MID(A788,6,1)*3+--MID(A788,7,1)*5+--MID(A788,8,1)*9+--MID(A788,9,1)*4+--MID(A788,10,1)*6+--MID(A788,11,1)*8, "")</f>
        <v/>
      </c>
    </row>
    <row r="789">
      <c r="A789">
        <f>SUBSTITUTE(SUBSTITUTE(SUBSTITUTE(SUBSTITUTE(TRIM(INDEX(Реестр!$B:$B,ROW())),CHAR(160),""),CHAR(9),""),CHAR(10),""),CHAR(13),"")</f>
        <v/>
      </c>
      <c r="B789">
        <f>SUBSTITUTE(SUBSTITUTE(SUBSTITUTE(SUBSTITUTE(SUBSTITUTE(SUBSTITUTE(SUBSTITUTE(TRIM(INDEX(Реестр!$D:$D, ROW())), "-", ""), " ", ""), CHAR(160), ""), CHAR(9), ""), CHAR(10), ""), CHAR(13), ""), CHAR(32), "")</f>
        <v/>
      </c>
      <c r="C789">
        <f>INDEX(Реестр!$H:$H, ROW())</f>
        <v/>
      </c>
      <c r="D789">
        <f>IF(OR(ISBLANK(INDEX(Реестр!$B:$B, ROW())), INDEX(Реестр!$B:$B, ROW())=""), " ", IF(IFERROR(ISNUMBER(--A789),FALSE), IF(LEN(A789)=10, IF(MOD(MOD(H789,11),10)=--RIGHT(A789,1), "OK", "ОШИБКА"), IF(LEN(A789)=12, IF(AND(MOD(MOD(H789,11),10)=--MID(A789,11,1), MOD(MOD(I789,11),10)=--RIGHT(A789,1)), "OK", "ОШИБКА"), "ДЛИНА (10 или 12)")), "НЕ ЦИФРЫ"))</f>
        <v/>
      </c>
      <c r="E789">
        <f>MID(B789,1,1)*9+MID(B789,2,1)*8+MID(B789,3,1)*7+MID(B789,4,1)*6+MID(B789,5,1)*5+MID(B789,6,1)*4+MID(B789,7,1)*3+MID(B789,8,1)*2+MID(B789,9,1)</f>
        <v/>
      </c>
      <c r="F789">
        <f>IF(B789="", " ", IF(LEN(B789)&lt;&gt;11, "ДЛИНА", IF(NOT(ISNUMBER(--B789)), "НЕ ЦИФРЫ", IF(LEFT(B789,9)*1&lt;=1001998, "OK", IF(RIGHT(B789,2)*1=IF(MOD(E789,101)&gt;=100,0,MOD(E789,101)),"OK","ОШИБКА")))))</f>
        <v/>
      </c>
      <c r="G7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89">
        <f>IF(LEN(TRIM(A789))=10, --MID(A789,1,1)*2+--MID(A789,2,1)*4+--MID(A789,3,1)*10+--MID(A789,4,1)*3+--MID(A789,5,1)*5+--MID(A789,6,1)*9+--MID(A789,7,1)*4+--MID(A789,8,1)*6+--MID(A789,9,1)*8, IF(LEN(TRIM(A789))=12, --MID(A789,1,1)*7+--MID(A789,2,1)*2+--MID(A789,3,1)*4+--MID(A789,4,1)*10+--MID(A789,5,1)*3+--MID(A789,6,1)*5+--MID(A789,7,1)*9+--MID(A789,8,1)*4+--MID(A789,9,1)*6+--MID(A789,10,1)*8, ""))</f>
        <v/>
      </c>
      <c r="I789">
        <f>IF(LEN(TRIM(A789))=12, --MID(A789,1,1)*3+--MID(A789,2,1)*7+--MID(A789,3,1)*2+--MID(A789,4,1)*4+--MID(A789,5,1)*10+--MID(A789,6,1)*3+--MID(A789,7,1)*5+--MID(A789,8,1)*9+--MID(A789,9,1)*4+--MID(A789,10,1)*6+--MID(A789,11,1)*8, "")</f>
        <v/>
      </c>
    </row>
    <row r="790">
      <c r="A790">
        <f>SUBSTITUTE(SUBSTITUTE(SUBSTITUTE(SUBSTITUTE(TRIM(INDEX(Реестр!$B:$B,ROW())),CHAR(160),""),CHAR(9),""),CHAR(10),""),CHAR(13),"")</f>
        <v/>
      </c>
      <c r="B790">
        <f>SUBSTITUTE(SUBSTITUTE(SUBSTITUTE(SUBSTITUTE(SUBSTITUTE(SUBSTITUTE(SUBSTITUTE(TRIM(INDEX(Реестр!$D:$D, ROW())), "-", ""), " ", ""), CHAR(160), ""), CHAR(9), ""), CHAR(10), ""), CHAR(13), ""), CHAR(32), "")</f>
        <v/>
      </c>
      <c r="C790">
        <f>INDEX(Реестр!$H:$H, ROW())</f>
        <v/>
      </c>
      <c r="D790">
        <f>IF(OR(ISBLANK(INDEX(Реестр!$B:$B, ROW())), INDEX(Реестр!$B:$B, ROW())=""), " ", IF(IFERROR(ISNUMBER(--A790),FALSE), IF(LEN(A790)=10, IF(MOD(MOD(H790,11),10)=--RIGHT(A790,1), "OK", "ОШИБКА"), IF(LEN(A790)=12, IF(AND(MOD(MOD(H790,11),10)=--MID(A790,11,1), MOD(MOD(I790,11),10)=--RIGHT(A790,1)), "OK", "ОШИБКА"), "ДЛИНА (10 или 12)")), "НЕ ЦИФРЫ"))</f>
        <v/>
      </c>
      <c r="E790">
        <f>MID(B790,1,1)*9+MID(B790,2,1)*8+MID(B790,3,1)*7+MID(B790,4,1)*6+MID(B790,5,1)*5+MID(B790,6,1)*4+MID(B790,7,1)*3+MID(B790,8,1)*2+MID(B790,9,1)</f>
        <v/>
      </c>
      <c r="F790">
        <f>IF(B790="", " ", IF(LEN(B790)&lt;&gt;11, "ДЛИНА", IF(NOT(ISNUMBER(--B790)), "НЕ ЦИФРЫ", IF(LEFT(B790,9)*1&lt;=1001998, "OK", IF(RIGHT(B790,2)*1=IF(MOD(E790,101)&gt;=100,0,MOD(E790,101)),"OK","ОШИБКА")))))</f>
        <v/>
      </c>
      <c r="G7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0">
        <f>IF(LEN(TRIM(A790))=10, --MID(A790,1,1)*2+--MID(A790,2,1)*4+--MID(A790,3,1)*10+--MID(A790,4,1)*3+--MID(A790,5,1)*5+--MID(A790,6,1)*9+--MID(A790,7,1)*4+--MID(A790,8,1)*6+--MID(A790,9,1)*8, IF(LEN(TRIM(A790))=12, --MID(A790,1,1)*7+--MID(A790,2,1)*2+--MID(A790,3,1)*4+--MID(A790,4,1)*10+--MID(A790,5,1)*3+--MID(A790,6,1)*5+--MID(A790,7,1)*9+--MID(A790,8,1)*4+--MID(A790,9,1)*6+--MID(A790,10,1)*8, ""))</f>
        <v/>
      </c>
      <c r="I790">
        <f>IF(LEN(TRIM(A790))=12, --MID(A790,1,1)*3+--MID(A790,2,1)*7+--MID(A790,3,1)*2+--MID(A790,4,1)*4+--MID(A790,5,1)*10+--MID(A790,6,1)*3+--MID(A790,7,1)*5+--MID(A790,8,1)*9+--MID(A790,9,1)*4+--MID(A790,10,1)*6+--MID(A790,11,1)*8, "")</f>
        <v/>
      </c>
    </row>
    <row r="791">
      <c r="A791">
        <f>SUBSTITUTE(SUBSTITUTE(SUBSTITUTE(SUBSTITUTE(TRIM(INDEX(Реестр!$B:$B,ROW())),CHAR(160),""),CHAR(9),""),CHAR(10),""),CHAR(13),"")</f>
        <v/>
      </c>
      <c r="B791">
        <f>SUBSTITUTE(SUBSTITUTE(SUBSTITUTE(SUBSTITUTE(SUBSTITUTE(SUBSTITUTE(SUBSTITUTE(TRIM(INDEX(Реестр!$D:$D, ROW())), "-", ""), " ", ""), CHAR(160), ""), CHAR(9), ""), CHAR(10), ""), CHAR(13), ""), CHAR(32), "")</f>
        <v/>
      </c>
      <c r="C791">
        <f>INDEX(Реестр!$H:$H, ROW())</f>
        <v/>
      </c>
      <c r="D791">
        <f>IF(OR(ISBLANK(INDEX(Реестр!$B:$B, ROW())), INDEX(Реестр!$B:$B, ROW())=""), " ", IF(IFERROR(ISNUMBER(--A791),FALSE), IF(LEN(A791)=10, IF(MOD(MOD(H791,11),10)=--RIGHT(A791,1), "OK", "ОШИБКА"), IF(LEN(A791)=12, IF(AND(MOD(MOD(H791,11),10)=--MID(A791,11,1), MOD(MOD(I791,11),10)=--RIGHT(A791,1)), "OK", "ОШИБКА"), "ДЛИНА (10 или 12)")), "НЕ ЦИФРЫ"))</f>
        <v/>
      </c>
      <c r="E791">
        <f>MID(B791,1,1)*9+MID(B791,2,1)*8+MID(B791,3,1)*7+MID(B791,4,1)*6+MID(B791,5,1)*5+MID(B791,6,1)*4+MID(B791,7,1)*3+MID(B791,8,1)*2+MID(B791,9,1)</f>
        <v/>
      </c>
      <c r="F791">
        <f>IF(B791="", " ", IF(LEN(B791)&lt;&gt;11, "ДЛИНА", IF(NOT(ISNUMBER(--B791)), "НЕ ЦИФРЫ", IF(LEFT(B791,9)*1&lt;=1001998, "OK", IF(RIGHT(B791,2)*1=IF(MOD(E791,101)&gt;=100,0,MOD(E791,101)),"OK","ОШИБКА")))))</f>
        <v/>
      </c>
      <c r="G7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1">
        <f>IF(LEN(TRIM(A791))=10, --MID(A791,1,1)*2+--MID(A791,2,1)*4+--MID(A791,3,1)*10+--MID(A791,4,1)*3+--MID(A791,5,1)*5+--MID(A791,6,1)*9+--MID(A791,7,1)*4+--MID(A791,8,1)*6+--MID(A791,9,1)*8, IF(LEN(TRIM(A791))=12, --MID(A791,1,1)*7+--MID(A791,2,1)*2+--MID(A791,3,1)*4+--MID(A791,4,1)*10+--MID(A791,5,1)*3+--MID(A791,6,1)*5+--MID(A791,7,1)*9+--MID(A791,8,1)*4+--MID(A791,9,1)*6+--MID(A791,10,1)*8, ""))</f>
        <v/>
      </c>
      <c r="I791">
        <f>IF(LEN(TRIM(A791))=12, --MID(A791,1,1)*3+--MID(A791,2,1)*7+--MID(A791,3,1)*2+--MID(A791,4,1)*4+--MID(A791,5,1)*10+--MID(A791,6,1)*3+--MID(A791,7,1)*5+--MID(A791,8,1)*9+--MID(A791,9,1)*4+--MID(A791,10,1)*6+--MID(A791,11,1)*8, "")</f>
        <v/>
      </c>
    </row>
    <row r="792">
      <c r="A792">
        <f>SUBSTITUTE(SUBSTITUTE(SUBSTITUTE(SUBSTITUTE(TRIM(INDEX(Реестр!$B:$B,ROW())),CHAR(160),""),CHAR(9),""),CHAR(10),""),CHAR(13),"")</f>
        <v/>
      </c>
      <c r="B792">
        <f>SUBSTITUTE(SUBSTITUTE(SUBSTITUTE(SUBSTITUTE(SUBSTITUTE(SUBSTITUTE(SUBSTITUTE(TRIM(INDEX(Реестр!$D:$D, ROW())), "-", ""), " ", ""), CHAR(160), ""), CHAR(9), ""), CHAR(10), ""), CHAR(13), ""), CHAR(32), "")</f>
        <v/>
      </c>
      <c r="C792">
        <f>INDEX(Реестр!$H:$H, ROW())</f>
        <v/>
      </c>
      <c r="D792">
        <f>IF(OR(ISBLANK(INDEX(Реестр!$B:$B, ROW())), INDEX(Реестр!$B:$B, ROW())=""), " ", IF(IFERROR(ISNUMBER(--A792),FALSE), IF(LEN(A792)=10, IF(MOD(MOD(H792,11),10)=--RIGHT(A792,1), "OK", "ОШИБКА"), IF(LEN(A792)=12, IF(AND(MOD(MOD(H792,11),10)=--MID(A792,11,1), MOD(MOD(I792,11),10)=--RIGHT(A792,1)), "OK", "ОШИБКА"), "ДЛИНА (10 или 12)")), "НЕ ЦИФРЫ"))</f>
        <v/>
      </c>
      <c r="E792">
        <f>MID(B792,1,1)*9+MID(B792,2,1)*8+MID(B792,3,1)*7+MID(B792,4,1)*6+MID(B792,5,1)*5+MID(B792,6,1)*4+MID(B792,7,1)*3+MID(B792,8,1)*2+MID(B792,9,1)</f>
        <v/>
      </c>
      <c r="F792">
        <f>IF(B792="", " ", IF(LEN(B792)&lt;&gt;11, "ДЛИНА", IF(NOT(ISNUMBER(--B792)), "НЕ ЦИФРЫ", IF(LEFT(B792,9)*1&lt;=1001998, "OK", IF(RIGHT(B792,2)*1=IF(MOD(E792,101)&gt;=100,0,MOD(E792,101)),"OK","ОШИБКА")))))</f>
        <v/>
      </c>
      <c r="G7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2">
        <f>IF(LEN(TRIM(A792))=10, --MID(A792,1,1)*2+--MID(A792,2,1)*4+--MID(A792,3,1)*10+--MID(A792,4,1)*3+--MID(A792,5,1)*5+--MID(A792,6,1)*9+--MID(A792,7,1)*4+--MID(A792,8,1)*6+--MID(A792,9,1)*8, IF(LEN(TRIM(A792))=12, --MID(A792,1,1)*7+--MID(A792,2,1)*2+--MID(A792,3,1)*4+--MID(A792,4,1)*10+--MID(A792,5,1)*3+--MID(A792,6,1)*5+--MID(A792,7,1)*9+--MID(A792,8,1)*4+--MID(A792,9,1)*6+--MID(A792,10,1)*8, ""))</f>
        <v/>
      </c>
      <c r="I792">
        <f>IF(LEN(TRIM(A792))=12, --MID(A792,1,1)*3+--MID(A792,2,1)*7+--MID(A792,3,1)*2+--MID(A792,4,1)*4+--MID(A792,5,1)*10+--MID(A792,6,1)*3+--MID(A792,7,1)*5+--MID(A792,8,1)*9+--MID(A792,9,1)*4+--MID(A792,10,1)*6+--MID(A792,11,1)*8, "")</f>
        <v/>
      </c>
    </row>
    <row r="793">
      <c r="A793">
        <f>SUBSTITUTE(SUBSTITUTE(SUBSTITUTE(SUBSTITUTE(TRIM(INDEX(Реестр!$B:$B,ROW())),CHAR(160),""),CHAR(9),""),CHAR(10),""),CHAR(13),"")</f>
        <v/>
      </c>
      <c r="B793">
        <f>SUBSTITUTE(SUBSTITUTE(SUBSTITUTE(SUBSTITUTE(SUBSTITUTE(SUBSTITUTE(SUBSTITUTE(TRIM(INDEX(Реестр!$D:$D, ROW())), "-", ""), " ", ""), CHAR(160), ""), CHAR(9), ""), CHAR(10), ""), CHAR(13), ""), CHAR(32), "")</f>
        <v/>
      </c>
      <c r="C793">
        <f>INDEX(Реестр!$H:$H, ROW())</f>
        <v/>
      </c>
      <c r="D793">
        <f>IF(OR(ISBLANK(INDEX(Реестр!$B:$B, ROW())), INDEX(Реестр!$B:$B, ROW())=""), " ", IF(IFERROR(ISNUMBER(--A793),FALSE), IF(LEN(A793)=10, IF(MOD(MOD(H793,11),10)=--RIGHT(A793,1), "OK", "ОШИБКА"), IF(LEN(A793)=12, IF(AND(MOD(MOD(H793,11),10)=--MID(A793,11,1), MOD(MOD(I793,11),10)=--RIGHT(A793,1)), "OK", "ОШИБКА"), "ДЛИНА (10 или 12)")), "НЕ ЦИФРЫ"))</f>
        <v/>
      </c>
      <c r="E793">
        <f>MID(B793,1,1)*9+MID(B793,2,1)*8+MID(B793,3,1)*7+MID(B793,4,1)*6+MID(B793,5,1)*5+MID(B793,6,1)*4+MID(B793,7,1)*3+MID(B793,8,1)*2+MID(B793,9,1)</f>
        <v/>
      </c>
      <c r="F793">
        <f>IF(B793="", " ", IF(LEN(B793)&lt;&gt;11, "ДЛИНА", IF(NOT(ISNUMBER(--B793)), "НЕ ЦИФРЫ", IF(LEFT(B793,9)*1&lt;=1001998, "OK", IF(RIGHT(B793,2)*1=IF(MOD(E793,101)&gt;=100,0,MOD(E793,101)),"OK","ОШИБКА")))))</f>
        <v/>
      </c>
      <c r="G7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3">
        <f>IF(LEN(TRIM(A793))=10, --MID(A793,1,1)*2+--MID(A793,2,1)*4+--MID(A793,3,1)*10+--MID(A793,4,1)*3+--MID(A793,5,1)*5+--MID(A793,6,1)*9+--MID(A793,7,1)*4+--MID(A793,8,1)*6+--MID(A793,9,1)*8, IF(LEN(TRIM(A793))=12, --MID(A793,1,1)*7+--MID(A793,2,1)*2+--MID(A793,3,1)*4+--MID(A793,4,1)*10+--MID(A793,5,1)*3+--MID(A793,6,1)*5+--MID(A793,7,1)*9+--MID(A793,8,1)*4+--MID(A793,9,1)*6+--MID(A793,10,1)*8, ""))</f>
        <v/>
      </c>
      <c r="I793">
        <f>IF(LEN(TRIM(A793))=12, --MID(A793,1,1)*3+--MID(A793,2,1)*7+--MID(A793,3,1)*2+--MID(A793,4,1)*4+--MID(A793,5,1)*10+--MID(A793,6,1)*3+--MID(A793,7,1)*5+--MID(A793,8,1)*9+--MID(A793,9,1)*4+--MID(A793,10,1)*6+--MID(A793,11,1)*8, "")</f>
        <v/>
      </c>
    </row>
    <row r="794">
      <c r="A794">
        <f>SUBSTITUTE(SUBSTITUTE(SUBSTITUTE(SUBSTITUTE(TRIM(INDEX(Реестр!$B:$B,ROW())),CHAR(160),""),CHAR(9),""),CHAR(10),""),CHAR(13),"")</f>
        <v/>
      </c>
      <c r="B794">
        <f>SUBSTITUTE(SUBSTITUTE(SUBSTITUTE(SUBSTITUTE(SUBSTITUTE(SUBSTITUTE(SUBSTITUTE(TRIM(INDEX(Реестр!$D:$D, ROW())), "-", ""), " ", ""), CHAR(160), ""), CHAR(9), ""), CHAR(10), ""), CHAR(13), ""), CHAR(32), "")</f>
        <v/>
      </c>
      <c r="C794">
        <f>INDEX(Реестр!$H:$H, ROW())</f>
        <v/>
      </c>
      <c r="D794">
        <f>IF(OR(ISBLANK(INDEX(Реестр!$B:$B, ROW())), INDEX(Реестр!$B:$B, ROW())=""), " ", IF(IFERROR(ISNUMBER(--A794),FALSE), IF(LEN(A794)=10, IF(MOD(MOD(H794,11),10)=--RIGHT(A794,1), "OK", "ОШИБКА"), IF(LEN(A794)=12, IF(AND(MOD(MOD(H794,11),10)=--MID(A794,11,1), MOD(MOD(I794,11),10)=--RIGHT(A794,1)), "OK", "ОШИБКА"), "ДЛИНА (10 или 12)")), "НЕ ЦИФРЫ"))</f>
        <v/>
      </c>
      <c r="E794">
        <f>MID(B794,1,1)*9+MID(B794,2,1)*8+MID(B794,3,1)*7+MID(B794,4,1)*6+MID(B794,5,1)*5+MID(B794,6,1)*4+MID(B794,7,1)*3+MID(B794,8,1)*2+MID(B794,9,1)</f>
        <v/>
      </c>
      <c r="F794">
        <f>IF(B794="", " ", IF(LEN(B794)&lt;&gt;11, "ДЛИНА", IF(NOT(ISNUMBER(--B794)), "НЕ ЦИФРЫ", IF(LEFT(B794,9)*1&lt;=1001998, "OK", IF(RIGHT(B794,2)*1=IF(MOD(E794,101)&gt;=100,0,MOD(E794,101)),"OK","ОШИБКА")))))</f>
        <v/>
      </c>
      <c r="G7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4">
        <f>IF(LEN(TRIM(A794))=10, --MID(A794,1,1)*2+--MID(A794,2,1)*4+--MID(A794,3,1)*10+--MID(A794,4,1)*3+--MID(A794,5,1)*5+--MID(A794,6,1)*9+--MID(A794,7,1)*4+--MID(A794,8,1)*6+--MID(A794,9,1)*8, IF(LEN(TRIM(A794))=12, --MID(A794,1,1)*7+--MID(A794,2,1)*2+--MID(A794,3,1)*4+--MID(A794,4,1)*10+--MID(A794,5,1)*3+--MID(A794,6,1)*5+--MID(A794,7,1)*9+--MID(A794,8,1)*4+--MID(A794,9,1)*6+--MID(A794,10,1)*8, ""))</f>
        <v/>
      </c>
      <c r="I794">
        <f>IF(LEN(TRIM(A794))=12, --MID(A794,1,1)*3+--MID(A794,2,1)*7+--MID(A794,3,1)*2+--MID(A794,4,1)*4+--MID(A794,5,1)*10+--MID(A794,6,1)*3+--MID(A794,7,1)*5+--MID(A794,8,1)*9+--MID(A794,9,1)*4+--MID(A794,10,1)*6+--MID(A794,11,1)*8, "")</f>
        <v/>
      </c>
    </row>
    <row r="795">
      <c r="A795">
        <f>SUBSTITUTE(SUBSTITUTE(SUBSTITUTE(SUBSTITUTE(TRIM(INDEX(Реестр!$B:$B,ROW())),CHAR(160),""),CHAR(9),""),CHAR(10),""),CHAR(13),"")</f>
        <v/>
      </c>
      <c r="B795">
        <f>SUBSTITUTE(SUBSTITUTE(SUBSTITUTE(SUBSTITUTE(SUBSTITUTE(SUBSTITUTE(SUBSTITUTE(TRIM(INDEX(Реестр!$D:$D, ROW())), "-", ""), " ", ""), CHAR(160), ""), CHAR(9), ""), CHAR(10), ""), CHAR(13), ""), CHAR(32), "")</f>
        <v/>
      </c>
      <c r="C795">
        <f>INDEX(Реестр!$H:$H, ROW())</f>
        <v/>
      </c>
      <c r="D795">
        <f>IF(OR(ISBLANK(INDEX(Реестр!$B:$B, ROW())), INDEX(Реестр!$B:$B, ROW())=""), " ", IF(IFERROR(ISNUMBER(--A795),FALSE), IF(LEN(A795)=10, IF(MOD(MOD(H795,11),10)=--RIGHT(A795,1), "OK", "ОШИБКА"), IF(LEN(A795)=12, IF(AND(MOD(MOD(H795,11),10)=--MID(A795,11,1), MOD(MOD(I795,11),10)=--RIGHT(A795,1)), "OK", "ОШИБКА"), "ДЛИНА (10 или 12)")), "НЕ ЦИФРЫ"))</f>
        <v/>
      </c>
      <c r="E795">
        <f>MID(B795,1,1)*9+MID(B795,2,1)*8+MID(B795,3,1)*7+MID(B795,4,1)*6+MID(B795,5,1)*5+MID(B795,6,1)*4+MID(B795,7,1)*3+MID(B795,8,1)*2+MID(B795,9,1)</f>
        <v/>
      </c>
      <c r="F795">
        <f>IF(B795="", " ", IF(LEN(B795)&lt;&gt;11, "ДЛИНА", IF(NOT(ISNUMBER(--B795)), "НЕ ЦИФРЫ", IF(LEFT(B795,9)*1&lt;=1001998, "OK", IF(RIGHT(B795,2)*1=IF(MOD(E795,101)&gt;=100,0,MOD(E795,101)),"OK","ОШИБКА")))))</f>
        <v/>
      </c>
      <c r="G7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5">
        <f>IF(LEN(TRIM(A795))=10, --MID(A795,1,1)*2+--MID(A795,2,1)*4+--MID(A795,3,1)*10+--MID(A795,4,1)*3+--MID(A795,5,1)*5+--MID(A795,6,1)*9+--MID(A795,7,1)*4+--MID(A795,8,1)*6+--MID(A795,9,1)*8, IF(LEN(TRIM(A795))=12, --MID(A795,1,1)*7+--MID(A795,2,1)*2+--MID(A795,3,1)*4+--MID(A795,4,1)*10+--MID(A795,5,1)*3+--MID(A795,6,1)*5+--MID(A795,7,1)*9+--MID(A795,8,1)*4+--MID(A795,9,1)*6+--MID(A795,10,1)*8, ""))</f>
        <v/>
      </c>
      <c r="I795">
        <f>IF(LEN(TRIM(A795))=12, --MID(A795,1,1)*3+--MID(A795,2,1)*7+--MID(A795,3,1)*2+--MID(A795,4,1)*4+--MID(A795,5,1)*10+--MID(A795,6,1)*3+--MID(A795,7,1)*5+--MID(A795,8,1)*9+--MID(A795,9,1)*4+--MID(A795,10,1)*6+--MID(A795,11,1)*8, "")</f>
        <v/>
      </c>
    </row>
    <row r="796">
      <c r="A796">
        <f>SUBSTITUTE(SUBSTITUTE(SUBSTITUTE(SUBSTITUTE(TRIM(INDEX(Реестр!$B:$B,ROW())),CHAR(160),""),CHAR(9),""),CHAR(10),""),CHAR(13),"")</f>
        <v/>
      </c>
      <c r="B796">
        <f>SUBSTITUTE(SUBSTITUTE(SUBSTITUTE(SUBSTITUTE(SUBSTITUTE(SUBSTITUTE(SUBSTITUTE(TRIM(INDEX(Реестр!$D:$D, ROW())), "-", ""), " ", ""), CHAR(160), ""), CHAR(9), ""), CHAR(10), ""), CHAR(13), ""), CHAR(32), "")</f>
        <v/>
      </c>
      <c r="C796">
        <f>INDEX(Реестр!$H:$H, ROW())</f>
        <v/>
      </c>
      <c r="D796">
        <f>IF(OR(ISBLANK(INDEX(Реестр!$B:$B, ROW())), INDEX(Реестр!$B:$B, ROW())=""), " ", IF(IFERROR(ISNUMBER(--A796),FALSE), IF(LEN(A796)=10, IF(MOD(MOD(H796,11),10)=--RIGHT(A796,1), "OK", "ОШИБКА"), IF(LEN(A796)=12, IF(AND(MOD(MOD(H796,11),10)=--MID(A796,11,1), MOD(MOD(I796,11),10)=--RIGHT(A796,1)), "OK", "ОШИБКА"), "ДЛИНА (10 или 12)")), "НЕ ЦИФРЫ"))</f>
        <v/>
      </c>
      <c r="E796">
        <f>MID(B796,1,1)*9+MID(B796,2,1)*8+MID(B796,3,1)*7+MID(B796,4,1)*6+MID(B796,5,1)*5+MID(B796,6,1)*4+MID(B796,7,1)*3+MID(B796,8,1)*2+MID(B796,9,1)</f>
        <v/>
      </c>
      <c r="F796">
        <f>IF(B796="", " ", IF(LEN(B796)&lt;&gt;11, "ДЛИНА", IF(NOT(ISNUMBER(--B796)), "НЕ ЦИФРЫ", IF(LEFT(B796,9)*1&lt;=1001998, "OK", IF(RIGHT(B796,2)*1=IF(MOD(E796,101)&gt;=100,0,MOD(E796,101)),"OK","ОШИБКА")))))</f>
        <v/>
      </c>
      <c r="G7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6">
        <f>IF(LEN(TRIM(A796))=10, --MID(A796,1,1)*2+--MID(A796,2,1)*4+--MID(A796,3,1)*10+--MID(A796,4,1)*3+--MID(A796,5,1)*5+--MID(A796,6,1)*9+--MID(A796,7,1)*4+--MID(A796,8,1)*6+--MID(A796,9,1)*8, IF(LEN(TRIM(A796))=12, --MID(A796,1,1)*7+--MID(A796,2,1)*2+--MID(A796,3,1)*4+--MID(A796,4,1)*10+--MID(A796,5,1)*3+--MID(A796,6,1)*5+--MID(A796,7,1)*9+--MID(A796,8,1)*4+--MID(A796,9,1)*6+--MID(A796,10,1)*8, ""))</f>
        <v/>
      </c>
      <c r="I796">
        <f>IF(LEN(TRIM(A796))=12, --MID(A796,1,1)*3+--MID(A796,2,1)*7+--MID(A796,3,1)*2+--MID(A796,4,1)*4+--MID(A796,5,1)*10+--MID(A796,6,1)*3+--MID(A796,7,1)*5+--MID(A796,8,1)*9+--MID(A796,9,1)*4+--MID(A796,10,1)*6+--MID(A796,11,1)*8, "")</f>
        <v/>
      </c>
    </row>
    <row r="797">
      <c r="A797">
        <f>SUBSTITUTE(SUBSTITUTE(SUBSTITUTE(SUBSTITUTE(TRIM(INDEX(Реестр!$B:$B,ROW())),CHAR(160),""),CHAR(9),""),CHAR(10),""),CHAR(13),"")</f>
        <v/>
      </c>
      <c r="B797">
        <f>SUBSTITUTE(SUBSTITUTE(SUBSTITUTE(SUBSTITUTE(SUBSTITUTE(SUBSTITUTE(SUBSTITUTE(TRIM(INDEX(Реестр!$D:$D, ROW())), "-", ""), " ", ""), CHAR(160), ""), CHAR(9), ""), CHAR(10), ""), CHAR(13), ""), CHAR(32), "")</f>
        <v/>
      </c>
      <c r="C797">
        <f>INDEX(Реестр!$H:$H, ROW())</f>
        <v/>
      </c>
      <c r="D797">
        <f>IF(OR(ISBLANK(INDEX(Реестр!$B:$B, ROW())), INDEX(Реестр!$B:$B, ROW())=""), " ", IF(IFERROR(ISNUMBER(--A797),FALSE), IF(LEN(A797)=10, IF(MOD(MOD(H797,11),10)=--RIGHT(A797,1), "OK", "ОШИБКА"), IF(LEN(A797)=12, IF(AND(MOD(MOD(H797,11),10)=--MID(A797,11,1), MOD(MOD(I797,11),10)=--RIGHT(A797,1)), "OK", "ОШИБКА"), "ДЛИНА (10 или 12)")), "НЕ ЦИФРЫ"))</f>
        <v/>
      </c>
      <c r="E797">
        <f>MID(B797,1,1)*9+MID(B797,2,1)*8+MID(B797,3,1)*7+MID(B797,4,1)*6+MID(B797,5,1)*5+MID(B797,6,1)*4+MID(B797,7,1)*3+MID(B797,8,1)*2+MID(B797,9,1)</f>
        <v/>
      </c>
      <c r="F797">
        <f>IF(B797="", " ", IF(LEN(B797)&lt;&gt;11, "ДЛИНА", IF(NOT(ISNUMBER(--B797)), "НЕ ЦИФРЫ", IF(LEFT(B797,9)*1&lt;=1001998, "OK", IF(RIGHT(B797,2)*1=IF(MOD(E797,101)&gt;=100,0,MOD(E797,101)),"OK","ОШИБКА")))))</f>
        <v/>
      </c>
      <c r="G7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7">
        <f>IF(LEN(TRIM(A797))=10, --MID(A797,1,1)*2+--MID(A797,2,1)*4+--MID(A797,3,1)*10+--MID(A797,4,1)*3+--MID(A797,5,1)*5+--MID(A797,6,1)*9+--MID(A797,7,1)*4+--MID(A797,8,1)*6+--MID(A797,9,1)*8, IF(LEN(TRIM(A797))=12, --MID(A797,1,1)*7+--MID(A797,2,1)*2+--MID(A797,3,1)*4+--MID(A797,4,1)*10+--MID(A797,5,1)*3+--MID(A797,6,1)*5+--MID(A797,7,1)*9+--MID(A797,8,1)*4+--MID(A797,9,1)*6+--MID(A797,10,1)*8, ""))</f>
        <v/>
      </c>
      <c r="I797">
        <f>IF(LEN(TRIM(A797))=12, --MID(A797,1,1)*3+--MID(A797,2,1)*7+--MID(A797,3,1)*2+--MID(A797,4,1)*4+--MID(A797,5,1)*10+--MID(A797,6,1)*3+--MID(A797,7,1)*5+--MID(A797,8,1)*9+--MID(A797,9,1)*4+--MID(A797,10,1)*6+--MID(A797,11,1)*8, "")</f>
        <v/>
      </c>
    </row>
    <row r="798">
      <c r="A798">
        <f>SUBSTITUTE(SUBSTITUTE(SUBSTITUTE(SUBSTITUTE(TRIM(INDEX(Реестр!$B:$B,ROW())),CHAR(160),""),CHAR(9),""),CHAR(10),""),CHAR(13),"")</f>
        <v/>
      </c>
      <c r="B798">
        <f>SUBSTITUTE(SUBSTITUTE(SUBSTITUTE(SUBSTITUTE(SUBSTITUTE(SUBSTITUTE(SUBSTITUTE(TRIM(INDEX(Реестр!$D:$D, ROW())), "-", ""), " ", ""), CHAR(160), ""), CHAR(9), ""), CHAR(10), ""), CHAR(13), ""), CHAR(32), "")</f>
        <v/>
      </c>
      <c r="C798">
        <f>INDEX(Реестр!$H:$H, ROW())</f>
        <v/>
      </c>
      <c r="D798">
        <f>IF(OR(ISBLANK(INDEX(Реестр!$B:$B, ROW())), INDEX(Реестр!$B:$B, ROW())=""), " ", IF(IFERROR(ISNUMBER(--A798),FALSE), IF(LEN(A798)=10, IF(MOD(MOD(H798,11),10)=--RIGHT(A798,1), "OK", "ОШИБКА"), IF(LEN(A798)=12, IF(AND(MOD(MOD(H798,11),10)=--MID(A798,11,1), MOD(MOD(I798,11),10)=--RIGHT(A798,1)), "OK", "ОШИБКА"), "ДЛИНА (10 или 12)")), "НЕ ЦИФРЫ"))</f>
        <v/>
      </c>
      <c r="E798">
        <f>MID(B798,1,1)*9+MID(B798,2,1)*8+MID(B798,3,1)*7+MID(B798,4,1)*6+MID(B798,5,1)*5+MID(B798,6,1)*4+MID(B798,7,1)*3+MID(B798,8,1)*2+MID(B798,9,1)</f>
        <v/>
      </c>
      <c r="F798">
        <f>IF(B798="", " ", IF(LEN(B798)&lt;&gt;11, "ДЛИНА", IF(NOT(ISNUMBER(--B798)), "НЕ ЦИФРЫ", IF(LEFT(B798,9)*1&lt;=1001998, "OK", IF(RIGHT(B798,2)*1=IF(MOD(E798,101)&gt;=100,0,MOD(E798,101)),"OK","ОШИБКА")))))</f>
        <v/>
      </c>
      <c r="G7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8">
        <f>IF(LEN(TRIM(A798))=10, --MID(A798,1,1)*2+--MID(A798,2,1)*4+--MID(A798,3,1)*10+--MID(A798,4,1)*3+--MID(A798,5,1)*5+--MID(A798,6,1)*9+--MID(A798,7,1)*4+--MID(A798,8,1)*6+--MID(A798,9,1)*8, IF(LEN(TRIM(A798))=12, --MID(A798,1,1)*7+--MID(A798,2,1)*2+--MID(A798,3,1)*4+--MID(A798,4,1)*10+--MID(A798,5,1)*3+--MID(A798,6,1)*5+--MID(A798,7,1)*9+--MID(A798,8,1)*4+--MID(A798,9,1)*6+--MID(A798,10,1)*8, ""))</f>
        <v/>
      </c>
      <c r="I798">
        <f>IF(LEN(TRIM(A798))=12, --MID(A798,1,1)*3+--MID(A798,2,1)*7+--MID(A798,3,1)*2+--MID(A798,4,1)*4+--MID(A798,5,1)*10+--MID(A798,6,1)*3+--MID(A798,7,1)*5+--MID(A798,8,1)*9+--MID(A798,9,1)*4+--MID(A798,10,1)*6+--MID(A798,11,1)*8, "")</f>
        <v/>
      </c>
    </row>
    <row r="799">
      <c r="A799">
        <f>SUBSTITUTE(SUBSTITUTE(SUBSTITUTE(SUBSTITUTE(TRIM(INDEX(Реестр!$B:$B,ROW())),CHAR(160),""),CHAR(9),""),CHAR(10),""),CHAR(13),"")</f>
        <v/>
      </c>
      <c r="B799">
        <f>SUBSTITUTE(SUBSTITUTE(SUBSTITUTE(SUBSTITUTE(SUBSTITUTE(SUBSTITUTE(SUBSTITUTE(TRIM(INDEX(Реестр!$D:$D, ROW())), "-", ""), " ", ""), CHAR(160), ""), CHAR(9), ""), CHAR(10), ""), CHAR(13), ""), CHAR(32), "")</f>
        <v/>
      </c>
      <c r="C799">
        <f>INDEX(Реестр!$H:$H, ROW())</f>
        <v/>
      </c>
      <c r="D799">
        <f>IF(OR(ISBLANK(INDEX(Реестр!$B:$B, ROW())), INDEX(Реестр!$B:$B, ROW())=""), " ", IF(IFERROR(ISNUMBER(--A799),FALSE), IF(LEN(A799)=10, IF(MOD(MOD(H799,11),10)=--RIGHT(A799,1), "OK", "ОШИБКА"), IF(LEN(A799)=12, IF(AND(MOD(MOD(H799,11),10)=--MID(A799,11,1), MOD(MOD(I799,11),10)=--RIGHT(A799,1)), "OK", "ОШИБКА"), "ДЛИНА (10 или 12)")), "НЕ ЦИФРЫ"))</f>
        <v/>
      </c>
      <c r="E799">
        <f>MID(B799,1,1)*9+MID(B799,2,1)*8+MID(B799,3,1)*7+MID(B799,4,1)*6+MID(B799,5,1)*5+MID(B799,6,1)*4+MID(B799,7,1)*3+MID(B799,8,1)*2+MID(B799,9,1)</f>
        <v/>
      </c>
      <c r="F799">
        <f>IF(B799="", " ", IF(LEN(B799)&lt;&gt;11, "ДЛИНА", IF(NOT(ISNUMBER(--B799)), "НЕ ЦИФРЫ", IF(LEFT(B799,9)*1&lt;=1001998, "OK", IF(RIGHT(B799,2)*1=IF(MOD(E799,101)&gt;=100,0,MOD(E799,101)),"OK","ОШИБКА")))))</f>
        <v/>
      </c>
      <c r="G7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799">
        <f>IF(LEN(TRIM(A799))=10, --MID(A799,1,1)*2+--MID(A799,2,1)*4+--MID(A799,3,1)*10+--MID(A799,4,1)*3+--MID(A799,5,1)*5+--MID(A799,6,1)*9+--MID(A799,7,1)*4+--MID(A799,8,1)*6+--MID(A799,9,1)*8, IF(LEN(TRIM(A799))=12, --MID(A799,1,1)*7+--MID(A799,2,1)*2+--MID(A799,3,1)*4+--MID(A799,4,1)*10+--MID(A799,5,1)*3+--MID(A799,6,1)*5+--MID(A799,7,1)*9+--MID(A799,8,1)*4+--MID(A799,9,1)*6+--MID(A799,10,1)*8, ""))</f>
        <v/>
      </c>
      <c r="I799">
        <f>IF(LEN(TRIM(A799))=12, --MID(A799,1,1)*3+--MID(A799,2,1)*7+--MID(A799,3,1)*2+--MID(A799,4,1)*4+--MID(A799,5,1)*10+--MID(A799,6,1)*3+--MID(A799,7,1)*5+--MID(A799,8,1)*9+--MID(A799,9,1)*4+--MID(A799,10,1)*6+--MID(A799,11,1)*8, "")</f>
        <v/>
      </c>
    </row>
    <row r="800">
      <c r="A800">
        <f>SUBSTITUTE(SUBSTITUTE(SUBSTITUTE(SUBSTITUTE(TRIM(INDEX(Реестр!$B:$B,ROW())),CHAR(160),""),CHAR(9),""),CHAR(10),""),CHAR(13),"")</f>
        <v/>
      </c>
      <c r="B800">
        <f>SUBSTITUTE(SUBSTITUTE(SUBSTITUTE(SUBSTITUTE(SUBSTITUTE(SUBSTITUTE(SUBSTITUTE(TRIM(INDEX(Реестр!$D:$D, ROW())), "-", ""), " ", ""), CHAR(160), ""), CHAR(9), ""), CHAR(10), ""), CHAR(13), ""), CHAR(32), "")</f>
        <v/>
      </c>
      <c r="C800">
        <f>INDEX(Реестр!$H:$H, ROW())</f>
        <v/>
      </c>
      <c r="D800">
        <f>IF(OR(ISBLANK(INDEX(Реестр!$B:$B, ROW())), INDEX(Реестр!$B:$B, ROW())=""), " ", IF(IFERROR(ISNUMBER(--A800),FALSE), IF(LEN(A800)=10, IF(MOD(MOD(H800,11),10)=--RIGHT(A800,1), "OK", "ОШИБКА"), IF(LEN(A800)=12, IF(AND(MOD(MOD(H800,11),10)=--MID(A800,11,1), MOD(MOD(I800,11),10)=--RIGHT(A800,1)), "OK", "ОШИБКА"), "ДЛИНА (10 или 12)")), "НЕ ЦИФРЫ"))</f>
        <v/>
      </c>
      <c r="E800">
        <f>MID(B800,1,1)*9+MID(B800,2,1)*8+MID(B800,3,1)*7+MID(B800,4,1)*6+MID(B800,5,1)*5+MID(B800,6,1)*4+MID(B800,7,1)*3+MID(B800,8,1)*2+MID(B800,9,1)</f>
        <v/>
      </c>
      <c r="F800">
        <f>IF(B800="", " ", IF(LEN(B800)&lt;&gt;11, "ДЛИНА", IF(NOT(ISNUMBER(--B800)), "НЕ ЦИФРЫ", IF(LEFT(B800,9)*1&lt;=1001998, "OK", IF(RIGHT(B800,2)*1=IF(MOD(E800,101)&gt;=100,0,MOD(E800,101)),"OK","ОШИБКА")))))</f>
        <v/>
      </c>
      <c r="G8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0">
        <f>IF(LEN(TRIM(A800))=10, --MID(A800,1,1)*2+--MID(A800,2,1)*4+--MID(A800,3,1)*10+--MID(A800,4,1)*3+--MID(A800,5,1)*5+--MID(A800,6,1)*9+--MID(A800,7,1)*4+--MID(A800,8,1)*6+--MID(A800,9,1)*8, IF(LEN(TRIM(A800))=12, --MID(A800,1,1)*7+--MID(A800,2,1)*2+--MID(A800,3,1)*4+--MID(A800,4,1)*10+--MID(A800,5,1)*3+--MID(A800,6,1)*5+--MID(A800,7,1)*9+--MID(A800,8,1)*4+--MID(A800,9,1)*6+--MID(A800,10,1)*8, ""))</f>
        <v/>
      </c>
      <c r="I800">
        <f>IF(LEN(TRIM(A800))=12, --MID(A800,1,1)*3+--MID(A800,2,1)*7+--MID(A800,3,1)*2+--MID(A800,4,1)*4+--MID(A800,5,1)*10+--MID(A800,6,1)*3+--MID(A800,7,1)*5+--MID(A800,8,1)*9+--MID(A800,9,1)*4+--MID(A800,10,1)*6+--MID(A800,11,1)*8, "")</f>
        <v/>
      </c>
    </row>
    <row r="801">
      <c r="A801">
        <f>SUBSTITUTE(SUBSTITUTE(SUBSTITUTE(SUBSTITUTE(TRIM(INDEX(Реестр!$B:$B,ROW())),CHAR(160),""),CHAR(9),""),CHAR(10),""),CHAR(13),"")</f>
        <v/>
      </c>
      <c r="B801">
        <f>SUBSTITUTE(SUBSTITUTE(SUBSTITUTE(SUBSTITUTE(SUBSTITUTE(SUBSTITUTE(SUBSTITUTE(TRIM(INDEX(Реестр!$D:$D, ROW())), "-", ""), " ", ""), CHAR(160), ""), CHAR(9), ""), CHAR(10), ""), CHAR(13), ""), CHAR(32), "")</f>
        <v/>
      </c>
      <c r="C801">
        <f>INDEX(Реестр!$H:$H, ROW())</f>
        <v/>
      </c>
      <c r="D801">
        <f>IF(OR(ISBLANK(INDEX(Реестр!$B:$B, ROW())), INDEX(Реестр!$B:$B, ROW())=""), " ", IF(IFERROR(ISNUMBER(--A801),FALSE), IF(LEN(A801)=10, IF(MOD(MOD(H801,11),10)=--RIGHT(A801,1), "OK", "ОШИБКА"), IF(LEN(A801)=12, IF(AND(MOD(MOD(H801,11),10)=--MID(A801,11,1), MOD(MOD(I801,11),10)=--RIGHT(A801,1)), "OK", "ОШИБКА"), "ДЛИНА (10 или 12)")), "НЕ ЦИФРЫ"))</f>
        <v/>
      </c>
      <c r="E801">
        <f>MID(B801,1,1)*9+MID(B801,2,1)*8+MID(B801,3,1)*7+MID(B801,4,1)*6+MID(B801,5,1)*5+MID(B801,6,1)*4+MID(B801,7,1)*3+MID(B801,8,1)*2+MID(B801,9,1)</f>
        <v/>
      </c>
      <c r="F801">
        <f>IF(B801="", " ", IF(LEN(B801)&lt;&gt;11, "ДЛИНА", IF(NOT(ISNUMBER(--B801)), "НЕ ЦИФРЫ", IF(LEFT(B801,9)*1&lt;=1001998, "OK", IF(RIGHT(B801,2)*1=IF(MOD(E801,101)&gt;=100,0,MOD(E801,101)),"OK","ОШИБКА")))))</f>
        <v/>
      </c>
      <c r="G8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1">
        <f>IF(LEN(TRIM(A801))=10, --MID(A801,1,1)*2+--MID(A801,2,1)*4+--MID(A801,3,1)*10+--MID(A801,4,1)*3+--MID(A801,5,1)*5+--MID(A801,6,1)*9+--MID(A801,7,1)*4+--MID(A801,8,1)*6+--MID(A801,9,1)*8, IF(LEN(TRIM(A801))=12, --MID(A801,1,1)*7+--MID(A801,2,1)*2+--MID(A801,3,1)*4+--MID(A801,4,1)*10+--MID(A801,5,1)*3+--MID(A801,6,1)*5+--MID(A801,7,1)*9+--MID(A801,8,1)*4+--MID(A801,9,1)*6+--MID(A801,10,1)*8, ""))</f>
        <v/>
      </c>
      <c r="I801">
        <f>IF(LEN(TRIM(A801))=12, --MID(A801,1,1)*3+--MID(A801,2,1)*7+--MID(A801,3,1)*2+--MID(A801,4,1)*4+--MID(A801,5,1)*10+--MID(A801,6,1)*3+--MID(A801,7,1)*5+--MID(A801,8,1)*9+--MID(A801,9,1)*4+--MID(A801,10,1)*6+--MID(A801,11,1)*8, "")</f>
        <v/>
      </c>
    </row>
    <row r="802">
      <c r="A802">
        <f>SUBSTITUTE(SUBSTITUTE(SUBSTITUTE(SUBSTITUTE(TRIM(INDEX(Реестр!$B:$B,ROW())),CHAR(160),""),CHAR(9),""),CHAR(10),""),CHAR(13),"")</f>
        <v/>
      </c>
      <c r="B802">
        <f>SUBSTITUTE(SUBSTITUTE(SUBSTITUTE(SUBSTITUTE(SUBSTITUTE(SUBSTITUTE(SUBSTITUTE(TRIM(INDEX(Реестр!$D:$D, ROW())), "-", ""), " ", ""), CHAR(160), ""), CHAR(9), ""), CHAR(10), ""), CHAR(13), ""), CHAR(32), "")</f>
        <v/>
      </c>
      <c r="C802">
        <f>INDEX(Реестр!$H:$H, ROW())</f>
        <v/>
      </c>
      <c r="D802">
        <f>IF(OR(ISBLANK(INDEX(Реестр!$B:$B, ROW())), INDEX(Реестр!$B:$B, ROW())=""), " ", IF(IFERROR(ISNUMBER(--A802),FALSE), IF(LEN(A802)=10, IF(MOD(MOD(H802,11),10)=--RIGHT(A802,1), "OK", "ОШИБКА"), IF(LEN(A802)=12, IF(AND(MOD(MOD(H802,11),10)=--MID(A802,11,1), MOD(MOD(I802,11),10)=--RIGHT(A802,1)), "OK", "ОШИБКА"), "ДЛИНА (10 или 12)")), "НЕ ЦИФРЫ"))</f>
        <v/>
      </c>
      <c r="E802">
        <f>MID(B802,1,1)*9+MID(B802,2,1)*8+MID(B802,3,1)*7+MID(B802,4,1)*6+MID(B802,5,1)*5+MID(B802,6,1)*4+MID(B802,7,1)*3+MID(B802,8,1)*2+MID(B802,9,1)</f>
        <v/>
      </c>
      <c r="F802">
        <f>IF(B802="", " ", IF(LEN(B802)&lt;&gt;11, "ДЛИНА", IF(NOT(ISNUMBER(--B802)), "НЕ ЦИФРЫ", IF(LEFT(B802,9)*1&lt;=1001998, "OK", IF(RIGHT(B802,2)*1=IF(MOD(E802,101)&gt;=100,0,MOD(E802,101)),"OK","ОШИБКА")))))</f>
        <v/>
      </c>
      <c r="G8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2">
        <f>IF(LEN(TRIM(A802))=10, --MID(A802,1,1)*2+--MID(A802,2,1)*4+--MID(A802,3,1)*10+--MID(A802,4,1)*3+--MID(A802,5,1)*5+--MID(A802,6,1)*9+--MID(A802,7,1)*4+--MID(A802,8,1)*6+--MID(A802,9,1)*8, IF(LEN(TRIM(A802))=12, --MID(A802,1,1)*7+--MID(A802,2,1)*2+--MID(A802,3,1)*4+--MID(A802,4,1)*10+--MID(A802,5,1)*3+--MID(A802,6,1)*5+--MID(A802,7,1)*9+--MID(A802,8,1)*4+--MID(A802,9,1)*6+--MID(A802,10,1)*8, ""))</f>
        <v/>
      </c>
      <c r="I802">
        <f>IF(LEN(TRIM(A802))=12, --MID(A802,1,1)*3+--MID(A802,2,1)*7+--MID(A802,3,1)*2+--MID(A802,4,1)*4+--MID(A802,5,1)*10+--MID(A802,6,1)*3+--MID(A802,7,1)*5+--MID(A802,8,1)*9+--MID(A802,9,1)*4+--MID(A802,10,1)*6+--MID(A802,11,1)*8, "")</f>
        <v/>
      </c>
    </row>
    <row r="803">
      <c r="A803">
        <f>SUBSTITUTE(SUBSTITUTE(SUBSTITUTE(SUBSTITUTE(TRIM(INDEX(Реестр!$B:$B,ROW())),CHAR(160),""),CHAR(9),""),CHAR(10),""),CHAR(13),"")</f>
        <v/>
      </c>
      <c r="B803">
        <f>SUBSTITUTE(SUBSTITUTE(SUBSTITUTE(SUBSTITUTE(SUBSTITUTE(SUBSTITUTE(SUBSTITUTE(TRIM(INDEX(Реестр!$D:$D, ROW())), "-", ""), " ", ""), CHAR(160), ""), CHAR(9), ""), CHAR(10), ""), CHAR(13), ""), CHAR(32), "")</f>
        <v/>
      </c>
      <c r="C803">
        <f>INDEX(Реестр!$H:$H, ROW())</f>
        <v/>
      </c>
      <c r="D803">
        <f>IF(OR(ISBLANK(INDEX(Реестр!$B:$B, ROW())), INDEX(Реестр!$B:$B, ROW())=""), " ", IF(IFERROR(ISNUMBER(--A803),FALSE), IF(LEN(A803)=10, IF(MOD(MOD(H803,11),10)=--RIGHT(A803,1), "OK", "ОШИБКА"), IF(LEN(A803)=12, IF(AND(MOD(MOD(H803,11),10)=--MID(A803,11,1), MOD(MOD(I803,11),10)=--RIGHT(A803,1)), "OK", "ОШИБКА"), "ДЛИНА (10 или 12)")), "НЕ ЦИФРЫ"))</f>
        <v/>
      </c>
      <c r="E803">
        <f>MID(B803,1,1)*9+MID(B803,2,1)*8+MID(B803,3,1)*7+MID(B803,4,1)*6+MID(B803,5,1)*5+MID(B803,6,1)*4+MID(B803,7,1)*3+MID(B803,8,1)*2+MID(B803,9,1)</f>
        <v/>
      </c>
      <c r="F803">
        <f>IF(B803="", " ", IF(LEN(B803)&lt;&gt;11, "ДЛИНА", IF(NOT(ISNUMBER(--B803)), "НЕ ЦИФРЫ", IF(LEFT(B803,9)*1&lt;=1001998, "OK", IF(RIGHT(B803,2)*1=IF(MOD(E803,101)&gt;=100,0,MOD(E803,101)),"OK","ОШИБКА")))))</f>
        <v/>
      </c>
      <c r="G8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3">
        <f>IF(LEN(TRIM(A803))=10, --MID(A803,1,1)*2+--MID(A803,2,1)*4+--MID(A803,3,1)*10+--MID(A803,4,1)*3+--MID(A803,5,1)*5+--MID(A803,6,1)*9+--MID(A803,7,1)*4+--MID(A803,8,1)*6+--MID(A803,9,1)*8, IF(LEN(TRIM(A803))=12, --MID(A803,1,1)*7+--MID(A803,2,1)*2+--MID(A803,3,1)*4+--MID(A803,4,1)*10+--MID(A803,5,1)*3+--MID(A803,6,1)*5+--MID(A803,7,1)*9+--MID(A803,8,1)*4+--MID(A803,9,1)*6+--MID(A803,10,1)*8, ""))</f>
        <v/>
      </c>
      <c r="I803">
        <f>IF(LEN(TRIM(A803))=12, --MID(A803,1,1)*3+--MID(A803,2,1)*7+--MID(A803,3,1)*2+--MID(A803,4,1)*4+--MID(A803,5,1)*10+--MID(A803,6,1)*3+--MID(A803,7,1)*5+--MID(A803,8,1)*9+--MID(A803,9,1)*4+--MID(A803,10,1)*6+--MID(A803,11,1)*8, "")</f>
        <v/>
      </c>
    </row>
    <row r="804">
      <c r="A804">
        <f>SUBSTITUTE(SUBSTITUTE(SUBSTITUTE(SUBSTITUTE(TRIM(INDEX(Реестр!$B:$B,ROW())),CHAR(160),""),CHAR(9),""),CHAR(10),""),CHAR(13),"")</f>
        <v/>
      </c>
      <c r="B804">
        <f>SUBSTITUTE(SUBSTITUTE(SUBSTITUTE(SUBSTITUTE(SUBSTITUTE(SUBSTITUTE(SUBSTITUTE(TRIM(INDEX(Реестр!$D:$D, ROW())), "-", ""), " ", ""), CHAR(160), ""), CHAR(9), ""), CHAR(10), ""), CHAR(13), ""), CHAR(32), "")</f>
        <v/>
      </c>
      <c r="C804">
        <f>INDEX(Реестр!$H:$H, ROW())</f>
        <v/>
      </c>
      <c r="D804">
        <f>IF(OR(ISBLANK(INDEX(Реестр!$B:$B, ROW())), INDEX(Реестр!$B:$B, ROW())=""), " ", IF(IFERROR(ISNUMBER(--A804),FALSE), IF(LEN(A804)=10, IF(MOD(MOD(H804,11),10)=--RIGHT(A804,1), "OK", "ОШИБКА"), IF(LEN(A804)=12, IF(AND(MOD(MOD(H804,11),10)=--MID(A804,11,1), MOD(MOD(I804,11),10)=--RIGHT(A804,1)), "OK", "ОШИБКА"), "ДЛИНА (10 или 12)")), "НЕ ЦИФРЫ"))</f>
        <v/>
      </c>
      <c r="E804">
        <f>MID(B804,1,1)*9+MID(B804,2,1)*8+MID(B804,3,1)*7+MID(B804,4,1)*6+MID(B804,5,1)*5+MID(B804,6,1)*4+MID(B804,7,1)*3+MID(B804,8,1)*2+MID(B804,9,1)</f>
        <v/>
      </c>
      <c r="F804">
        <f>IF(B804="", " ", IF(LEN(B804)&lt;&gt;11, "ДЛИНА", IF(NOT(ISNUMBER(--B804)), "НЕ ЦИФРЫ", IF(LEFT(B804,9)*1&lt;=1001998, "OK", IF(RIGHT(B804,2)*1=IF(MOD(E804,101)&gt;=100,0,MOD(E804,101)),"OK","ОШИБКА")))))</f>
        <v/>
      </c>
      <c r="G8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4">
        <f>IF(LEN(TRIM(A804))=10, --MID(A804,1,1)*2+--MID(A804,2,1)*4+--MID(A804,3,1)*10+--MID(A804,4,1)*3+--MID(A804,5,1)*5+--MID(A804,6,1)*9+--MID(A804,7,1)*4+--MID(A804,8,1)*6+--MID(A804,9,1)*8, IF(LEN(TRIM(A804))=12, --MID(A804,1,1)*7+--MID(A804,2,1)*2+--MID(A804,3,1)*4+--MID(A804,4,1)*10+--MID(A804,5,1)*3+--MID(A804,6,1)*5+--MID(A804,7,1)*9+--MID(A804,8,1)*4+--MID(A804,9,1)*6+--MID(A804,10,1)*8, ""))</f>
        <v/>
      </c>
      <c r="I804">
        <f>IF(LEN(TRIM(A804))=12, --MID(A804,1,1)*3+--MID(A804,2,1)*7+--MID(A804,3,1)*2+--MID(A804,4,1)*4+--MID(A804,5,1)*10+--MID(A804,6,1)*3+--MID(A804,7,1)*5+--MID(A804,8,1)*9+--MID(A804,9,1)*4+--MID(A804,10,1)*6+--MID(A804,11,1)*8, "")</f>
        <v/>
      </c>
    </row>
    <row r="805">
      <c r="A805">
        <f>SUBSTITUTE(SUBSTITUTE(SUBSTITUTE(SUBSTITUTE(TRIM(INDEX(Реестр!$B:$B,ROW())),CHAR(160),""),CHAR(9),""),CHAR(10),""),CHAR(13),"")</f>
        <v/>
      </c>
      <c r="B805">
        <f>SUBSTITUTE(SUBSTITUTE(SUBSTITUTE(SUBSTITUTE(SUBSTITUTE(SUBSTITUTE(SUBSTITUTE(TRIM(INDEX(Реестр!$D:$D, ROW())), "-", ""), " ", ""), CHAR(160), ""), CHAR(9), ""), CHAR(10), ""), CHAR(13), ""), CHAR(32), "")</f>
        <v/>
      </c>
      <c r="C805">
        <f>INDEX(Реестр!$H:$H, ROW())</f>
        <v/>
      </c>
      <c r="D805">
        <f>IF(OR(ISBLANK(INDEX(Реестр!$B:$B, ROW())), INDEX(Реестр!$B:$B, ROW())=""), " ", IF(IFERROR(ISNUMBER(--A805),FALSE), IF(LEN(A805)=10, IF(MOD(MOD(H805,11),10)=--RIGHT(A805,1), "OK", "ОШИБКА"), IF(LEN(A805)=12, IF(AND(MOD(MOD(H805,11),10)=--MID(A805,11,1), MOD(MOD(I805,11),10)=--RIGHT(A805,1)), "OK", "ОШИБКА"), "ДЛИНА (10 или 12)")), "НЕ ЦИФРЫ"))</f>
        <v/>
      </c>
      <c r="E805">
        <f>MID(B805,1,1)*9+MID(B805,2,1)*8+MID(B805,3,1)*7+MID(B805,4,1)*6+MID(B805,5,1)*5+MID(B805,6,1)*4+MID(B805,7,1)*3+MID(B805,8,1)*2+MID(B805,9,1)</f>
        <v/>
      </c>
      <c r="F805">
        <f>IF(B805="", " ", IF(LEN(B805)&lt;&gt;11, "ДЛИНА", IF(NOT(ISNUMBER(--B805)), "НЕ ЦИФРЫ", IF(LEFT(B805,9)*1&lt;=1001998, "OK", IF(RIGHT(B805,2)*1=IF(MOD(E805,101)&gt;=100,0,MOD(E805,101)),"OK","ОШИБКА")))))</f>
        <v/>
      </c>
      <c r="G8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5">
        <f>IF(LEN(TRIM(A805))=10, --MID(A805,1,1)*2+--MID(A805,2,1)*4+--MID(A805,3,1)*10+--MID(A805,4,1)*3+--MID(A805,5,1)*5+--MID(A805,6,1)*9+--MID(A805,7,1)*4+--MID(A805,8,1)*6+--MID(A805,9,1)*8, IF(LEN(TRIM(A805))=12, --MID(A805,1,1)*7+--MID(A805,2,1)*2+--MID(A805,3,1)*4+--MID(A805,4,1)*10+--MID(A805,5,1)*3+--MID(A805,6,1)*5+--MID(A805,7,1)*9+--MID(A805,8,1)*4+--MID(A805,9,1)*6+--MID(A805,10,1)*8, ""))</f>
        <v/>
      </c>
      <c r="I805">
        <f>IF(LEN(TRIM(A805))=12, --MID(A805,1,1)*3+--MID(A805,2,1)*7+--MID(A805,3,1)*2+--MID(A805,4,1)*4+--MID(A805,5,1)*10+--MID(A805,6,1)*3+--MID(A805,7,1)*5+--MID(A805,8,1)*9+--MID(A805,9,1)*4+--MID(A805,10,1)*6+--MID(A805,11,1)*8, "")</f>
        <v/>
      </c>
    </row>
    <row r="806">
      <c r="A806">
        <f>SUBSTITUTE(SUBSTITUTE(SUBSTITUTE(SUBSTITUTE(TRIM(INDEX(Реестр!$B:$B,ROW())),CHAR(160),""),CHAR(9),""),CHAR(10),""),CHAR(13),"")</f>
        <v/>
      </c>
      <c r="B806">
        <f>SUBSTITUTE(SUBSTITUTE(SUBSTITUTE(SUBSTITUTE(SUBSTITUTE(SUBSTITUTE(SUBSTITUTE(TRIM(INDEX(Реестр!$D:$D, ROW())), "-", ""), " ", ""), CHAR(160), ""), CHAR(9), ""), CHAR(10), ""), CHAR(13), ""), CHAR(32), "")</f>
        <v/>
      </c>
      <c r="C806">
        <f>INDEX(Реестр!$H:$H, ROW())</f>
        <v/>
      </c>
      <c r="D806">
        <f>IF(OR(ISBLANK(INDEX(Реестр!$B:$B, ROW())), INDEX(Реестр!$B:$B, ROW())=""), " ", IF(IFERROR(ISNUMBER(--A806),FALSE), IF(LEN(A806)=10, IF(MOD(MOD(H806,11),10)=--RIGHT(A806,1), "OK", "ОШИБКА"), IF(LEN(A806)=12, IF(AND(MOD(MOD(H806,11),10)=--MID(A806,11,1), MOD(MOD(I806,11),10)=--RIGHT(A806,1)), "OK", "ОШИБКА"), "ДЛИНА (10 или 12)")), "НЕ ЦИФРЫ"))</f>
        <v/>
      </c>
      <c r="E806">
        <f>MID(B806,1,1)*9+MID(B806,2,1)*8+MID(B806,3,1)*7+MID(B806,4,1)*6+MID(B806,5,1)*5+MID(B806,6,1)*4+MID(B806,7,1)*3+MID(B806,8,1)*2+MID(B806,9,1)</f>
        <v/>
      </c>
      <c r="F806">
        <f>IF(B806="", " ", IF(LEN(B806)&lt;&gt;11, "ДЛИНА", IF(NOT(ISNUMBER(--B806)), "НЕ ЦИФРЫ", IF(LEFT(B806,9)*1&lt;=1001998, "OK", IF(RIGHT(B806,2)*1=IF(MOD(E806,101)&gt;=100,0,MOD(E806,101)),"OK","ОШИБКА")))))</f>
        <v/>
      </c>
      <c r="G8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6">
        <f>IF(LEN(TRIM(A806))=10, --MID(A806,1,1)*2+--MID(A806,2,1)*4+--MID(A806,3,1)*10+--MID(A806,4,1)*3+--MID(A806,5,1)*5+--MID(A806,6,1)*9+--MID(A806,7,1)*4+--MID(A806,8,1)*6+--MID(A806,9,1)*8, IF(LEN(TRIM(A806))=12, --MID(A806,1,1)*7+--MID(A806,2,1)*2+--MID(A806,3,1)*4+--MID(A806,4,1)*10+--MID(A806,5,1)*3+--MID(A806,6,1)*5+--MID(A806,7,1)*9+--MID(A806,8,1)*4+--MID(A806,9,1)*6+--MID(A806,10,1)*8, ""))</f>
        <v/>
      </c>
      <c r="I806">
        <f>IF(LEN(TRIM(A806))=12, --MID(A806,1,1)*3+--MID(A806,2,1)*7+--MID(A806,3,1)*2+--MID(A806,4,1)*4+--MID(A806,5,1)*10+--MID(A806,6,1)*3+--MID(A806,7,1)*5+--MID(A806,8,1)*9+--MID(A806,9,1)*4+--MID(A806,10,1)*6+--MID(A806,11,1)*8, "")</f>
        <v/>
      </c>
    </row>
    <row r="807">
      <c r="A807">
        <f>SUBSTITUTE(SUBSTITUTE(SUBSTITUTE(SUBSTITUTE(TRIM(INDEX(Реестр!$B:$B,ROW())),CHAR(160),""),CHAR(9),""),CHAR(10),""),CHAR(13),"")</f>
        <v/>
      </c>
      <c r="B807">
        <f>SUBSTITUTE(SUBSTITUTE(SUBSTITUTE(SUBSTITUTE(SUBSTITUTE(SUBSTITUTE(SUBSTITUTE(TRIM(INDEX(Реестр!$D:$D, ROW())), "-", ""), " ", ""), CHAR(160), ""), CHAR(9), ""), CHAR(10), ""), CHAR(13), ""), CHAR(32), "")</f>
        <v/>
      </c>
      <c r="C807">
        <f>INDEX(Реестр!$H:$H, ROW())</f>
        <v/>
      </c>
      <c r="D807">
        <f>IF(OR(ISBLANK(INDEX(Реестр!$B:$B, ROW())), INDEX(Реестр!$B:$B, ROW())=""), " ", IF(IFERROR(ISNUMBER(--A807),FALSE), IF(LEN(A807)=10, IF(MOD(MOD(H807,11),10)=--RIGHT(A807,1), "OK", "ОШИБКА"), IF(LEN(A807)=12, IF(AND(MOD(MOD(H807,11),10)=--MID(A807,11,1), MOD(MOD(I807,11),10)=--RIGHT(A807,1)), "OK", "ОШИБКА"), "ДЛИНА (10 или 12)")), "НЕ ЦИФРЫ"))</f>
        <v/>
      </c>
      <c r="E807">
        <f>MID(B807,1,1)*9+MID(B807,2,1)*8+MID(B807,3,1)*7+MID(B807,4,1)*6+MID(B807,5,1)*5+MID(B807,6,1)*4+MID(B807,7,1)*3+MID(B807,8,1)*2+MID(B807,9,1)</f>
        <v/>
      </c>
      <c r="F807">
        <f>IF(B807="", " ", IF(LEN(B807)&lt;&gt;11, "ДЛИНА", IF(NOT(ISNUMBER(--B807)), "НЕ ЦИФРЫ", IF(LEFT(B807,9)*1&lt;=1001998, "OK", IF(RIGHT(B807,2)*1=IF(MOD(E807,101)&gt;=100,0,MOD(E807,101)),"OK","ОШИБКА")))))</f>
        <v/>
      </c>
      <c r="G8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7">
        <f>IF(LEN(TRIM(A807))=10, --MID(A807,1,1)*2+--MID(A807,2,1)*4+--MID(A807,3,1)*10+--MID(A807,4,1)*3+--MID(A807,5,1)*5+--MID(A807,6,1)*9+--MID(A807,7,1)*4+--MID(A807,8,1)*6+--MID(A807,9,1)*8, IF(LEN(TRIM(A807))=12, --MID(A807,1,1)*7+--MID(A807,2,1)*2+--MID(A807,3,1)*4+--MID(A807,4,1)*10+--MID(A807,5,1)*3+--MID(A807,6,1)*5+--MID(A807,7,1)*9+--MID(A807,8,1)*4+--MID(A807,9,1)*6+--MID(A807,10,1)*8, ""))</f>
        <v/>
      </c>
      <c r="I807">
        <f>IF(LEN(TRIM(A807))=12, --MID(A807,1,1)*3+--MID(A807,2,1)*7+--MID(A807,3,1)*2+--MID(A807,4,1)*4+--MID(A807,5,1)*10+--MID(A807,6,1)*3+--MID(A807,7,1)*5+--MID(A807,8,1)*9+--MID(A807,9,1)*4+--MID(A807,10,1)*6+--MID(A807,11,1)*8, "")</f>
        <v/>
      </c>
    </row>
    <row r="808">
      <c r="A808">
        <f>SUBSTITUTE(SUBSTITUTE(SUBSTITUTE(SUBSTITUTE(TRIM(INDEX(Реестр!$B:$B,ROW())),CHAR(160),""),CHAR(9),""),CHAR(10),""),CHAR(13),"")</f>
        <v/>
      </c>
      <c r="B808">
        <f>SUBSTITUTE(SUBSTITUTE(SUBSTITUTE(SUBSTITUTE(SUBSTITUTE(SUBSTITUTE(SUBSTITUTE(TRIM(INDEX(Реестр!$D:$D, ROW())), "-", ""), " ", ""), CHAR(160), ""), CHAR(9), ""), CHAR(10), ""), CHAR(13), ""), CHAR(32), "")</f>
        <v/>
      </c>
      <c r="C808">
        <f>INDEX(Реестр!$H:$H, ROW())</f>
        <v/>
      </c>
      <c r="D808">
        <f>IF(OR(ISBLANK(INDEX(Реестр!$B:$B, ROW())), INDEX(Реестр!$B:$B, ROW())=""), " ", IF(IFERROR(ISNUMBER(--A808),FALSE), IF(LEN(A808)=10, IF(MOD(MOD(H808,11),10)=--RIGHT(A808,1), "OK", "ОШИБКА"), IF(LEN(A808)=12, IF(AND(MOD(MOD(H808,11),10)=--MID(A808,11,1), MOD(MOD(I808,11),10)=--RIGHT(A808,1)), "OK", "ОШИБКА"), "ДЛИНА (10 или 12)")), "НЕ ЦИФРЫ"))</f>
        <v/>
      </c>
      <c r="E808">
        <f>MID(B808,1,1)*9+MID(B808,2,1)*8+MID(B808,3,1)*7+MID(B808,4,1)*6+MID(B808,5,1)*5+MID(B808,6,1)*4+MID(B808,7,1)*3+MID(B808,8,1)*2+MID(B808,9,1)</f>
        <v/>
      </c>
      <c r="F808">
        <f>IF(B808="", " ", IF(LEN(B808)&lt;&gt;11, "ДЛИНА", IF(NOT(ISNUMBER(--B808)), "НЕ ЦИФРЫ", IF(LEFT(B808,9)*1&lt;=1001998, "OK", IF(RIGHT(B808,2)*1=IF(MOD(E808,101)&gt;=100,0,MOD(E808,101)),"OK","ОШИБКА")))))</f>
        <v/>
      </c>
      <c r="G8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8">
        <f>IF(LEN(TRIM(A808))=10, --MID(A808,1,1)*2+--MID(A808,2,1)*4+--MID(A808,3,1)*10+--MID(A808,4,1)*3+--MID(A808,5,1)*5+--MID(A808,6,1)*9+--MID(A808,7,1)*4+--MID(A808,8,1)*6+--MID(A808,9,1)*8, IF(LEN(TRIM(A808))=12, --MID(A808,1,1)*7+--MID(A808,2,1)*2+--MID(A808,3,1)*4+--MID(A808,4,1)*10+--MID(A808,5,1)*3+--MID(A808,6,1)*5+--MID(A808,7,1)*9+--MID(A808,8,1)*4+--MID(A808,9,1)*6+--MID(A808,10,1)*8, ""))</f>
        <v/>
      </c>
      <c r="I808">
        <f>IF(LEN(TRIM(A808))=12, --MID(A808,1,1)*3+--MID(A808,2,1)*7+--MID(A808,3,1)*2+--MID(A808,4,1)*4+--MID(A808,5,1)*10+--MID(A808,6,1)*3+--MID(A808,7,1)*5+--MID(A808,8,1)*9+--MID(A808,9,1)*4+--MID(A808,10,1)*6+--MID(A808,11,1)*8, "")</f>
        <v/>
      </c>
    </row>
    <row r="809">
      <c r="A809">
        <f>SUBSTITUTE(SUBSTITUTE(SUBSTITUTE(SUBSTITUTE(TRIM(INDEX(Реестр!$B:$B,ROW())),CHAR(160),""),CHAR(9),""),CHAR(10),""),CHAR(13),"")</f>
        <v/>
      </c>
      <c r="B809">
        <f>SUBSTITUTE(SUBSTITUTE(SUBSTITUTE(SUBSTITUTE(SUBSTITUTE(SUBSTITUTE(SUBSTITUTE(TRIM(INDEX(Реестр!$D:$D, ROW())), "-", ""), " ", ""), CHAR(160), ""), CHAR(9), ""), CHAR(10), ""), CHAR(13), ""), CHAR(32), "")</f>
        <v/>
      </c>
      <c r="C809">
        <f>INDEX(Реестр!$H:$H, ROW())</f>
        <v/>
      </c>
      <c r="D809">
        <f>IF(OR(ISBLANK(INDEX(Реестр!$B:$B, ROW())), INDEX(Реестр!$B:$B, ROW())=""), " ", IF(IFERROR(ISNUMBER(--A809),FALSE), IF(LEN(A809)=10, IF(MOD(MOD(H809,11),10)=--RIGHT(A809,1), "OK", "ОШИБКА"), IF(LEN(A809)=12, IF(AND(MOD(MOD(H809,11),10)=--MID(A809,11,1), MOD(MOD(I809,11),10)=--RIGHT(A809,1)), "OK", "ОШИБКА"), "ДЛИНА (10 или 12)")), "НЕ ЦИФРЫ"))</f>
        <v/>
      </c>
      <c r="E809">
        <f>MID(B809,1,1)*9+MID(B809,2,1)*8+MID(B809,3,1)*7+MID(B809,4,1)*6+MID(B809,5,1)*5+MID(B809,6,1)*4+MID(B809,7,1)*3+MID(B809,8,1)*2+MID(B809,9,1)</f>
        <v/>
      </c>
      <c r="F809">
        <f>IF(B809="", " ", IF(LEN(B809)&lt;&gt;11, "ДЛИНА", IF(NOT(ISNUMBER(--B809)), "НЕ ЦИФРЫ", IF(LEFT(B809,9)*1&lt;=1001998, "OK", IF(RIGHT(B809,2)*1=IF(MOD(E809,101)&gt;=100,0,MOD(E809,101)),"OK","ОШИБКА")))))</f>
        <v/>
      </c>
      <c r="G8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09">
        <f>IF(LEN(TRIM(A809))=10, --MID(A809,1,1)*2+--MID(A809,2,1)*4+--MID(A809,3,1)*10+--MID(A809,4,1)*3+--MID(A809,5,1)*5+--MID(A809,6,1)*9+--MID(A809,7,1)*4+--MID(A809,8,1)*6+--MID(A809,9,1)*8, IF(LEN(TRIM(A809))=12, --MID(A809,1,1)*7+--MID(A809,2,1)*2+--MID(A809,3,1)*4+--MID(A809,4,1)*10+--MID(A809,5,1)*3+--MID(A809,6,1)*5+--MID(A809,7,1)*9+--MID(A809,8,1)*4+--MID(A809,9,1)*6+--MID(A809,10,1)*8, ""))</f>
        <v/>
      </c>
      <c r="I809">
        <f>IF(LEN(TRIM(A809))=12, --MID(A809,1,1)*3+--MID(A809,2,1)*7+--MID(A809,3,1)*2+--MID(A809,4,1)*4+--MID(A809,5,1)*10+--MID(A809,6,1)*3+--MID(A809,7,1)*5+--MID(A809,8,1)*9+--MID(A809,9,1)*4+--MID(A809,10,1)*6+--MID(A809,11,1)*8, "")</f>
        <v/>
      </c>
    </row>
    <row r="810">
      <c r="A810">
        <f>SUBSTITUTE(SUBSTITUTE(SUBSTITUTE(SUBSTITUTE(TRIM(INDEX(Реестр!$B:$B,ROW())),CHAR(160),""),CHAR(9),""),CHAR(10),""),CHAR(13),"")</f>
        <v/>
      </c>
      <c r="B810">
        <f>SUBSTITUTE(SUBSTITUTE(SUBSTITUTE(SUBSTITUTE(SUBSTITUTE(SUBSTITUTE(SUBSTITUTE(TRIM(INDEX(Реестр!$D:$D, ROW())), "-", ""), " ", ""), CHAR(160), ""), CHAR(9), ""), CHAR(10), ""), CHAR(13), ""), CHAR(32), "")</f>
        <v/>
      </c>
      <c r="C810">
        <f>INDEX(Реестр!$H:$H, ROW())</f>
        <v/>
      </c>
      <c r="D810">
        <f>IF(OR(ISBLANK(INDEX(Реестр!$B:$B, ROW())), INDEX(Реестр!$B:$B, ROW())=""), " ", IF(IFERROR(ISNUMBER(--A810),FALSE), IF(LEN(A810)=10, IF(MOD(MOD(H810,11),10)=--RIGHT(A810,1), "OK", "ОШИБКА"), IF(LEN(A810)=12, IF(AND(MOD(MOD(H810,11),10)=--MID(A810,11,1), MOD(MOD(I810,11),10)=--RIGHT(A810,1)), "OK", "ОШИБКА"), "ДЛИНА (10 или 12)")), "НЕ ЦИФРЫ"))</f>
        <v/>
      </c>
      <c r="E810">
        <f>MID(B810,1,1)*9+MID(B810,2,1)*8+MID(B810,3,1)*7+MID(B810,4,1)*6+MID(B810,5,1)*5+MID(B810,6,1)*4+MID(B810,7,1)*3+MID(B810,8,1)*2+MID(B810,9,1)</f>
        <v/>
      </c>
      <c r="F810">
        <f>IF(B810="", " ", IF(LEN(B810)&lt;&gt;11, "ДЛИНА", IF(NOT(ISNUMBER(--B810)), "НЕ ЦИФРЫ", IF(LEFT(B810,9)*1&lt;=1001998, "OK", IF(RIGHT(B810,2)*1=IF(MOD(E810,101)&gt;=100,0,MOD(E810,101)),"OK","ОШИБКА")))))</f>
        <v/>
      </c>
      <c r="G8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0">
        <f>IF(LEN(TRIM(A810))=10, --MID(A810,1,1)*2+--MID(A810,2,1)*4+--MID(A810,3,1)*10+--MID(A810,4,1)*3+--MID(A810,5,1)*5+--MID(A810,6,1)*9+--MID(A810,7,1)*4+--MID(A810,8,1)*6+--MID(A810,9,1)*8, IF(LEN(TRIM(A810))=12, --MID(A810,1,1)*7+--MID(A810,2,1)*2+--MID(A810,3,1)*4+--MID(A810,4,1)*10+--MID(A810,5,1)*3+--MID(A810,6,1)*5+--MID(A810,7,1)*9+--MID(A810,8,1)*4+--MID(A810,9,1)*6+--MID(A810,10,1)*8, ""))</f>
        <v/>
      </c>
      <c r="I810">
        <f>IF(LEN(TRIM(A810))=12, --MID(A810,1,1)*3+--MID(A810,2,1)*7+--MID(A810,3,1)*2+--MID(A810,4,1)*4+--MID(A810,5,1)*10+--MID(A810,6,1)*3+--MID(A810,7,1)*5+--MID(A810,8,1)*9+--MID(A810,9,1)*4+--MID(A810,10,1)*6+--MID(A810,11,1)*8, "")</f>
        <v/>
      </c>
    </row>
    <row r="811">
      <c r="A811">
        <f>SUBSTITUTE(SUBSTITUTE(SUBSTITUTE(SUBSTITUTE(TRIM(INDEX(Реестр!$B:$B,ROW())),CHAR(160),""),CHAR(9),""),CHAR(10),""),CHAR(13),"")</f>
        <v/>
      </c>
      <c r="B811">
        <f>SUBSTITUTE(SUBSTITUTE(SUBSTITUTE(SUBSTITUTE(SUBSTITUTE(SUBSTITUTE(SUBSTITUTE(TRIM(INDEX(Реестр!$D:$D, ROW())), "-", ""), " ", ""), CHAR(160), ""), CHAR(9), ""), CHAR(10), ""), CHAR(13), ""), CHAR(32), "")</f>
        <v/>
      </c>
      <c r="C811">
        <f>INDEX(Реестр!$H:$H, ROW())</f>
        <v/>
      </c>
      <c r="D811">
        <f>IF(OR(ISBLANK(INDEX(Реестр!$B:$B, ROW())), INDEX(Реестр!$B:$B, ROW())=""), " ", IF(IFERROR(ISNUMBER(--A811),FALSE), IF(LEN(A811)=10, IF(MOD(MOD(H811,11),10)=--RIGHT(A811,1), "OK", "ОШИБКА"), IF(LEN(A811)=12, IF(AND(MOD(MOD(H811,11),10)=--MID(A811,11,1), MOD(MOD(I811,11),10)=--RIGHT(A811,1)), "OK", "ОШИБКА"), "ДЛИНА (10 или 12)")), "НЕ ЦИФРЫ"))</f>
        <v/>
      </c>
      <c r="E811">
        <f>MID(B811,1,1)*9+MID(B811,2,1)*8+MID(B811,3,1)*7+MID(B811,4,1)*6+MID(B811,5,1)*5+MID(B811,6,1)*4+MID(B811,7,1)*3+MID(B811,8,1)*2+MID(B811,9,1)</f>
        <v/>
      </c>
      <c r="F811">
        <f>IF(B811="", " ", IF(LEN(B811)&lt;&gt;11, "ДЛИНА", IF(NOT(ISNUMBER(--B811)), "НЕ ЦИФРЫ", IF(LEFT(B811,9)*1&lt;=1001998, "OK", IF(RIGHT(B811,2)*1=IF(MOD(E811,101)&gt;=100,0,MOD(E811,101)),"OK","ОШИБКА")))))</f>
        <v/>
      </c>
      <c r="G8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1">
        <f>IF(LEN(TRIM(A811))=10, --MID(A811,1,1)*2+--MID(A811,2,1)*4+--MID(A811,3,1)*10+--MID(A811,4,1)*3+--MID(A811,5,1)*5+--MID(A811,6,1)*9+--MID(A811,7,1)*4+--MID(A811,8,1)*6+--MID(A811,9,1)*8, IF(LEN(TRIM(A811))=12, --MID(A811,1,1)*7+--MID(A811,2,1)*2+--MID(A811,3,1)*4+--MID(A811,4,1)*10+--MID(A811,5,1)*3+--MID(A811,6,1)*5+--MID(A811,7,1)*9+--MID(A811,8,1)*4+--MID(A811,9,1)*6+--MID(A811,10,1)*8, ""))</f>
        <v/>
      </c>
      <c r="I811">
        <f>IF(LEN(TRIM(A811))=12, --MID(A811,1,1)*3+--MID(A811,2,1)*7+--MID(A811,3,1)*2+--MID(A811,4,1)*4+--MID(A811,5,1)*10+--MID(A811,6,1)*3+--MID(A811,7,1)*5+--MID(A811,8,1)*9+--MID(A811,9,1)*4+--MID(A811,10,1)*6+--MID(A811,11,1)*8, "")</f>
        <v/>
      </c>
    </row>
    <row r="812">
      <c r="A812">
        <f>SUBSTITUTE(SUBSTITUTE(SUBSTITUTE(SUBSTITUTE(TRIM(INDEX(Реестр!$B:$B,ROW())),CHAR(160),""),CHAR(9),""),CHAR(10),""),CHAR(13),"")</f>
        <v/>
      </c>
      <c r="B812">
        <f>SUBSTITUTE(SUBSTITUTE(SUBSTITUTE(SUBSTITUTE(SUBSTITUTE(SUBSTITUTE(SUBSTITUTE(TRIM(INDEX(Реестр!$D:$D, ROW())), "-", ""), " ", ""), CHAR(160), ""), CHAR(9), ""), CHAR(10), ""), CHAR(13), ""), CHAR(32), "")</f>
        <v/>
      </c>
      <c r="C812">
        <f>INDEX(Реестр!$H:$H, ROW())</f>
        <v/>
      </c>
      <c r="D812">
        <f>IF(OR(ISBLANK(INDEX(Реестр!$B:$B, ROW())), INDEX(Реестр!$B:$B, ROW())=""), " ", IF(IFERROR(ISNUMBER(--A812),FALSE), IF(LEN(A812)=10, IF(MOD(MOD(H812,11),10)=--RIGHT(A812,1), "OK", "ОШИБКА"), IF(LEN(A812)=12, IF(AND(MOD(MOD(H812,11),10)=--MID(A812,11,1), MOD(MOD(I812,11),10)=--RIGHT(A812,1)), "OK", "ОШИБКА"), "ДЛИНА (10 или 12)")), "НЕ ЦИФРЫ"))</f>
        <v/>
      </c>
      <c r="E812">
        <f>MID(B812,1,1)*9+MID(B812,2,1)*8+MID(B812,3,1)*7+MID(B812,4,1)*6+MID(B812,5,1)*5+MID(B812,6,1)*4+MID(B812,7,1)*3+MID(B812,8,1)*2+MID(B812,9,1)</f>
        <v/>
      </c>
      <c r="F812">
        <f>IF(B812="", " ", IF(LEN(B812)&lt;&gt;11, "ДЛИНА", IF(NOT(ISNUMBER(--B812)), "НЕ ЦИФРЫ", IF(LEFT(B812,9)*1&lt;=1001998, "OK", IF(RIGHT(B812,2)*1=IF(MOD(E812,101)&gt;=100,0,MOD(E812,101)),"OK","ОШИБКА")))))</f>
        <v/>
      </c>
      <c r="G8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2">
        <f>IF(LEN(TRIM(A812))=10, --MID(A812,1,1)*2+--MID(A812,2,1)*4+--MID(A812,3,1)*10+--MID(A812,4,1)*3+--MID(A812,5,1)*5+--MID(A812,6,1)*9+--MID(A812,7,1)*4+--MID(A812,8,1)*6+--MID(A812,9,1)*8, IF(LEN(TRIM(A812))=12, --MID(A812,1,1)*7+--MID(A812,2,1)*2+--MID(A812,3,1)*4+--MID(A812,4,1)*10+--MID(A812,5,1)*3+--MID(A812,6,1)*5+--MID(A812,7,1)*9+--MID(A812,8,1)*4+--MID(A812,9,1)*6+--MID(A812,10,1)*8, ""))</f>
        <v/>
      </c>
      <c r="I812">
        <f>IF(LEN(TRIM(A812))=12, --MID(A812,1,1)*3+--MID(A812,2,1)*7+--MID(A812,3,1)*2+--MID(A812,4,1)*4+--MID(A812,5,1)*10+--MID(A812,6,1)*3+--MID(A812,7,1)*5+--MID(A812,8,1)*9+--MID(A812,9,1)*4+--MID(A812,10,1)*6+--MID(A812,11,1)*8, "")</f>
        <v/>
      </c>
    </row>
    <row r="813">
      <c r="A813">
        <f>SUBSTITUTE(SUBSTITUTE(SUBSTITUTE(SUBSTITUTE(TRIM(INDEX(Реестр!$B:$B,ROW())),CHAR(160),""),CHAR(9),""),CHAR(10),""),CHAR(13),"")</f>
        <v/>
      </c>
      <c r="B813">
        <f>SUBSTITUTE(SUBSTITUTE(SUBSTITUTE(SUBSTITUTE(SUBSTITUTE(SUBSTITUTE(SUBSTITUTE(TRIM(INDEX(Реестр!$D:$D, ROW())), "-", ""), " ", ""), CHAR(160), ""), CHAR(9), ""), CHAR(10), ""), CHAR(13), ""), CHAR(32), "")</f>
        <v/>
      </c>
      <c r="C813">
        <f>INDEX(Реестр!$H:$H, ROW())</f>
        <v/>
      </c>
      <c r="D813">
        <f>IF(OR(ISBLANK(INDEX(Реестр!$B:$B, ROW())), INDEX(Реестр!$B:$B, ROW())=""), " ", IF(IFERROR(ISNUMBER(--A813),FALSE), IF(LEN(A813)=10, IF(MOD(MOD(H813,11),10)=--RIGHT(A813,1), "OK", "ОШИБКА"), IF(LEN(A813)=12, IF(AND(MOD(MOD(H813,11),10)=--MID(A813,11,1), MOD(MOD(I813,11),10)=--RIGHT(A813,1)), "OK", "ОШИБКА"), "ДЛИНА (10 или 12)")), "НЕ ЦИФРЫ"))</f>
        <v/>
      </c>
      <c r="E813">
        <f>MID(B813,1,1)*9+MID(B813,2,1)*8+MID(B813,3,1)*7+MID(B813,4,1)*6+MID(B813,5,1)*5+MID(B813,6,1)*4+MID(B813,7,1)*3+MID(B813,8,1)*2+MID(B813,9,1)</f>
        <v/>
      </c>
      <c r="F813">
        <f>IF(B813="", " ", IF(LEN(B813)&lt;&gt;11, "ДЛИНА", IF(NOT(ISNUMBER(--B813)), "НЕ ЦИФРЫ", IF(LEFT(B813,9)*1&lt;=1001998, "OK", IF(RIGHT(B813,2)*1=IF(MOD(E813,101)&gt;=100,0,MOD(E813,101)),"OK","ОШИБКА")))))</f>
        <v/>
      </c>
      <c r="G8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3">
        <f>IF(LEN(TRIM(A813))=10, --MID(A813,1,1)*2+--MID(A813,2,1)*4+--MID(A813,3,1)*10+--MID(A813,4,1)*3+--MID(A813,5,1)*5+--MID(A813,6,1)*9+--MID(A813,7,1)*4+--MID(A813,8,1)*6+--MID(A813,9,1)*8, IF(LEN(TRIM(A813))=12, --MID(A813,1,1)*7+--MID(A813,2,1)*2+--MID(A813,3,1)*4+--MID(A813,4,1)*10+--MID(A813,5,1)*3+--MID(A813,6,1)*5+--MID(A813,7,1)*9+--MID(A813,8,1)*4+--MID(A813,9,1)*6+--MID(A813,10,1)*8, ""))</f>
        <v/>
      </c>
      <c r="I813">
        <f>IF(LEN(TRIM(A813))=12, --MID(A813,1,1)*3+--MID(A813,2,1)*7+--MID(A813,3,1)*2+--MID(A813,4,1)*4+--MID(A813,5,1)*10+--MID(A813,6,1)*3+--MID(A813,7,1)*5+--MID(A813,8,1)*9+--MID(A813,9,1)*4+--MID(A813,10,1)*6+--MID(A813,11,1)*8, "")</f>
        <v/>
      </c>
    </row>
    <row r="814">
      <c r="A814">
        <f>SUBSTITUTE(SUBSTITUTE(SUBSTITUTE(SUBSTITUTE(TRIM(INDEX(Реестр!$B:$B,ROW())),CHAR(160),""),CHAR(9),""),CHAR(10),""),CHAR(13),"")</f>
        <v/>
      </c>
      <c r="B814">
        <f>SUBSTITUTE(SUBSTITUTE(SUBSTITUTE(SUBSTITUTE(SUBSTITUTE(SUBSTITUTE(SUBSTITUTE(TRIM(INDEX(Реестр!$D:$D, ROW())), "-", ""), " ", ""), CHAR(160), ""), CHAR(9), ""), CHAR(10), ""), CHAR(13), ""), CHAR(32), "")</f>
        <v/>
      </c>
      <c r="C814">
        <f>INDEX(Реестр!$H:$H, ROW())</f>
        <v/>
      </c>
      <c r="D814">
        <f>IF(OR(ISBLANK(INDEX(Реестр!$B:$B, ROW())), INDEX(Реестр!$B:$B, ROW())=""), " ", IF(IFERROR(ISNUMBER(--A814),FALSE), IF(LEN(A814)=10, IF(MOD(MOD(H814,11),10)=--RIGHT(A814,1), "OK", "ОШИБКА"), IF(LEN(A814)=12, IF(AND(MOD(MOD(H814,11),10)=--MID(A814,11,1), MOD(MOD(I814,11),10)=--RIGHT(A814,1)), "OK", "ОШИБКА"), "ДЛИНА (10 или 12)")), "НЕ ЦИФРЫ"))</f>
        <v/>
      </c>
      <c r="E814">
        <f>MID(B814,1,1)*9+MID(B814,2,1)*8+MID(B814,3,1)*7+MID(B814,4,1)*6+MID(B814,5,1)*5+MID(B814,6,1)*4+MID(B814,7,1)*3+MID(B814,8,1)*2+MID(B814,9,1)</f>
        <v/>
      </c>
      <c r="F814">
        <f>IF(B814="", " ", IF(LEN(B814)&lt;&gt;11, "ДЛИНА", IF(NOT(ISNUMBER(--B814)), "НЕ ЦИФРЫ", IF(LEFT(B814,9)*1&lt;=1001998, "OK", IF(RIGHT(B814,2)*1=IF(MOD(E814,101)&gt;=100,0,MOD(E814,101)),"OK","ОШИБКА")))))</f>
        <v/>
      </c>
      <c r="G8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4">
        <f>IF(LEN(TRIM(A814))=10, --MID(A814,1,1)*2+--MID(A814,2,1)*4+--MID(A814,3,1)*10+--MID(A814,4,1)*3+--MID(A814,5,1)*5+--MID(A814,6,1)*9+--MID(A814,7,1)*4+--MID(A814,8,1)*6+--MID(A814,9,1)*8, IF(LEN(TRIM(A814))=12, --MID(A814,1,1)*7+--MID(A814,2,1)*2+--MID(A814,3,1)*4+--MID(A814,4,1)*10+--MID(A814,5,1)*3+--MID(A814,6,1)*5+--MID(A814,7,1)*9+--MID(A814,8,1)*4+--MID(A814,9,1)*6+--MID(A814,10,1)*8, ""))</f>
        <v/>
      </c>
      <c r="I814">
        <f>IF(LEN(TRIM(A814))=12, --MID(A814,1,1)*3+--MID(A814,2,1)*7+--MID(A814,3,1)*2+--MID(A814,4,1)*4+--MID(A814,5,1)*10+--MID(A814,6,1)*3+--MID(A814,7,1)*5+--MID(A814,8,1)*9+--MID(A814,9,1)*4+--MID(A814,10,1)*6+--MID(A814,11,1)*8, "")</f>
        <v/>
      </c>
    </row>
    <row r="815">
      <c r="A815">
        <f>SUBSTITUTE(SUBSTITUTE(SUBSTITUTE(SUBSTITUTE(TRIM(INDEX(Реестр!$B:$B,ROW())),CHAR(160),""),CHAR(9),""),CHAR(10),""),CHAR(13),"")</f>
        <v/>
      </c>
      <c r="B815">
        <f>SUBSTITUTE(SUBSTITUTE(SUBSTITUTE(SUBSTITUTE(SUBSTITUTE(SUBSTITUTE(SUBSTITUTE(TRIM(INDEX(Реестр!$D:$D, ROW())), "-", ""), " ", ""), CHAR(160), ""), CHAR(9), ""), CHAR(10), ""), CHAR(13), ""), CHAR(32), "")</f>
        <v/>
      </c>
      <c r="C815">
        <f>INDEX(Реестр!$H:$H, ROW())</f>
        <v/>
      </c>
      <c r="D815">
        <f>IF(OR(ISBLANK(INDEX(Реестр!$B:$B, ROW())), INDEX(Реестр!$B:$B, ROW())=""), " ", IF(IFERROR(ISNUMBER(--A815),FALSE), IF(LEN(A815)=10, IF(MOD(MOD(H815,11),10)=--RIGHT(A815,1), "OK", "ОШИБКА"), IF(LEN(A815)=12, IF(AND(MOD(MOD(H815,11),10)=--MID(A815,11,1), MOD(MOD(I815,11),10)=--RIGHT(A815,1)), "OK", "ОШИБКА"), "ДЛИНА (10 или 12)")), "НЕ ЦИФРЫ"))</f>
        <v/>
      </c>
      <c r="E815">
        <f>MID(B815,1,1)*9+MID(B815,2,1)*8+MID(B815,3,1)*7+MID(B815,4,1)*6+MID(B815,5,1)*5+MID(B815,6,1)*4+MID(B815,7,1)*3+MID(B815,8,1)*2+MID(B815,9,1)</f>
        <v/>
      </c>
      <c r="F815">
        <f>IF(B815="", " ", IF(LEN(B815)&lt;&gt;11, "ДЛИНА", IF(NOT(ISNUMBER(--B815)), "НЕ ЦИФРЫ", IF(LEFT(B815,9)*1&lt;=1001998, "OK", IF(RIGHT(B815,2)*1=IF(MOD(E815,101)&gt;=100,0,MOD(E815,101)),"OK","ОШИБКА")))))</f>
        <v/>
      </c>
      <c r="G8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5">
        <f>IF(LEN(TRIM(A815))=10, --MID(A815,1,1)*2+--MID(A815,2,1)*4+--MID(A815,3,1)*10+--MID(A815,4,1)*3+--MID(A815,5,1)*5+--MID(A815,6,1)*9+--MID(A815,7,1)*4+--MID(A815,8,1)*6+--MID(A815,9,1)*8, IF(LEN(TRIM(A815))=12, --MID(A815,1,1)*7+--MID(A815,2,1)*2+--MID(A815,3,1)*4+--MID(A815,4,1)*10+--MID(A815,5,1)*3+--MID(A815,6,1)*5+--MID(A815,7,1)*9+--MID(A815,8,1)*4+--MID(A815,9,1)*6+--MID(A815,10,1)*8, ""))</f>
        <v/>
      </c>
      <c r="I815">
        <f>IF(LEN(TRIM(A815))=12, --MID(A815,1,1)*3+--MID(A815,2,1)*7+--MID(A815,3,1)*2+--MID(A815,4,1)*4+--MID(A815,5,1)*10+--MID(A815,6,1)*3+--MID(A815,7,1)*5+--MID(A815,8,1)*9+--MID(A815,9,1)*4+--MID(A815,10,1)*6+--MID(A815,11,1)*8, "")</f>
        <v/>
      </c>
    </row>
    <row r="816">
      <c r="A816">
        <f>SUBSTITUTE(SUBSTITUTE(SUBSTITUTE(SUBSTITUTE(TRIM(INDEX(Реестр!$B:$B,ROW())),CHAR(160),""),CHAR(9),""),CHAR(10),""),CHAR(13),"")</f>
        <v/>
      </c>
      <c r="B816">
        <f>SUBSTITUTE(SUBSTITUTE(SUBSTITUTE(SUBSTITUTE(SUBSTITUTE(SUBSTITUTE(SUBSTITUTE(TRIM(INDEX(Реестр!$D:$D, ROW())), "-", ""), " ", ""), CHAR(160), ""), CHAR(9), ""), CHAR(10), ""), CHAR(13), ""), CHAR(32), "")</f>
        <v/>
      </c>
      <c r="C816">
        <f>INDEX(Реестр!$H:$H, ROW())</f>
        <v/>
      </c>
      <c r="D816">
        <f>IF(OR(ISBLANK(INDEX(Реестр!$B:$B, ROW())), INDEX(Реестр!$B:$B, ROW())=""), " ", IF(IFERROR(ISNUMBER(--A816),FALSE), IF(LEN(A816)=10, IF(MOD(MOD(H816,11),10)=--RIGHT(A816,1), "OK", "ОШИБКА"), IF(LEN(A816)=12, IF(AND(MOD(MOD(H816,11),10)=--MID(A816,11,1), MOD(MOD(I816,11),10)=--RIGHT(A816,1)), "OK", "ОШИБКА"), "ДЛИНА (10 или 12)")), "НЕ ЦИФРЫ"))</f>
        <v/>
      </c>
      <c r="E816">
        <f>MID(B816,1,1)*9+MID(B816,2,1)*8+MID(B816,3,1)*7+MID(B816,4,1)*6+MID(B816,5,1)*5+MID(B816,6,1)*4+MID(B816,7,1)*3+MID(B816,8,1)*2+MID(B816,9,1)</f>
        <v/>
      </c>
      <c r="F816">
        <f>IF(B816="", " ", IF(LEN(B816)&lt;&gt;11, "ДЛИНА", IF(NOT(ISNUMBER(--B816)), "НЕ ЦИФРЫ", IF(LEFT(B816,9)*1&lt;=1001998, "OK", IF(RIGHT(B816,2)*1=IF(MOD(E816,101)&gt;=100,0,MOD(E816,101)),"OK","ОШИБКА")))))</f>
        <v/>
      </c>
      <c r="G8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6">
        <f>IF(LEN(TRIM(A816))=10, --MID(A816,1,1)*2+--MID(A816,2,1)*4+--MID(A816,3,1)*10+--MID(A816,4,1)*3+--MID(A816,5,1)*5+--MID(A816,6,1)*9+--MID(A816,7,1)*4+--MID(A816,8,1)*6+--MID(A816,9,1)*8, IF(LEN(TRIM(A816))=12, --MID(A816,1,1)*7+--MID(A816,2,1)*2+--MID(A816,3,1)*4+--MID(A816,4,1)*10+--MID(A816,5,1)*3+--MID(A816,6,1)*5+--MID(A816,7,1)*9+--MID(A816,8,1)*4+--MID(A816,9,1)*6+--MID(A816,10,1)*8, ""))</f>
        <v/>
      </c>
      <c r="I816">
        <f>IF(LEN(TRIM(A816))=12, --MID(A816,1,1)*3+--MID(A816,2,1)*7+--MID(A816,3,1)*2+--MID(A816,4,1)*4+--MID(A816,5,1)*10+--MID(A816,6,1)*3+--MID(A816,7,1)*5+--MID(A816,8,1)*9+--MID(A816,9,1)*4+--MID(A816,10,1)*6+--MID(A816,11,1)*8, "")</f>
        <v/>
      </c>
    </row>
    <row r="817">
      <c r="A817">
        <f>SUBSTITUTE(SUBSTITUTE(SUBSTITUTE(SUBSTITUTE(TRIM(INDEX(Реестр!$B:$B,ROW())),CHAR(160),""),CHAR(9),""),CHAR(10),""),CHAR(13),"")</f>
        <v/>
      </c>
      <c r="B817">
        <f>SUBSTITUTE(SUBSTITUTE(SUBSTITUTE(SUBSTITUTE(SUBSTITUTE(SUBSTITUTE(SUBSTITUTE(TRIM(INDEX(Реестр!$D:$D, ROW())), "-", ""), " ", ""), CHAR(160), ""), CHAR(9), ""), CHAR(10), ""), CHAR(13), ""), CHAR(32), "")</f>
        <v/>
      </c>
      <c r="C817">
        <f>INDEX(Реестр!$H:$H, ROW())</f>
        <v/>
      </c>
      <c r="D817">
        <f>IF(OR(ISBLANK(INDEX(Реестр!$B:$B, ROW())), INDEX(Реестр!$B:$B, ROW())=""), " ", IF(IFERROR(ISNUMBER(--A817),FALSE), IF(LEN(A817)=10, IF(MOD(MOD(H817,11),10)=--RIGHT(A817,1), "OK", "ОШИБКА"), IF(LEN(A817)=12, IF(AND(MOD(MOD(H817,11),10)=--MID(A817,11,1), MOD(MOD(I817,11),10)=--RIGHT(A817,1)), "OK", "ОШИБКА"), "ДЛИНА (10 или 12)")), "НЕ ЦИФРЫ"))</f>
        <v/>
      </c>
      <c r="E817">
        <f>MID(B817,1,1)*9+MID(B817,2,1)*8+MID(B817,3,1)*7+MID(B817,4,1)*6+MID(B817,5,1)*5+MID(B817,6,1)*4+MID(B817,7,1)*3+MID(B817,8,1)*2+MID(B817,9,1)</f>
        <v/>
      </c>
      <c r="F817">
        <f>IF(B817="", " ", IF(LEN(B817)&lt;&gt;11, "ДЛИНА", IF(NOT(ISNUMBER(--B817)), "НЕ ЦИФРЫ", IF(LEFT(B817,9)*1&lt;=1001998, "OK", IF(RIGHT(B817,2)*1=IF(MOD(E817,101)&gt;=100,0,MOD(E817,101)),"OK","ОШИБКА")))))</f>
        <v/>
      </c>
      <c r="G8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7">
        <f>IF(LEN(TRIM(A817))=10, --MID(A817,1,1)*2+--MID(A817,2,1)*4+--MID(A817,3,1)*10+--MID(A817,4,1)*3+--MID(A817,5,1)*5+--MID(A817,6,1)*9+--MID(A817,7,1)*4+--MID(A817,8,1)*6+--MID(A817,9,1)*8, IF(LEN(TRIM(A817))=12, --MID(A817,1,1)*7+--MID(A817,2,1)*2+--MID(A817,3,1)*4+--MID(A817,4,1)*10+--MID(A817,5,1)*3+--MID(A817,6,1)*5+--MID(A817,7,1)*9+--MID(A817,8,1)*4+--MID(A817,9,1)*6+--MID(A817,10,1)*8, ""))</f>
        <v/>
      </c>
      <c r="I817">
        <f>IF(LEN(TRIM(A817))=12, --MID(A817,1,1)*3+--MID(A817,2,1)*7+--MID(A817,3,1)*2+--MID(A817,4,1)*4+--MID(A817,5,1)*10+--MID(A817,6,1)*3+--MID(A817,7,1)*5+--MID(A817,8,1)*9+--MID(A817,9,1)*4+--MID(A817,10,1)*6+--MID(A817,11,1)*8, "")</f>
        <v/>
      </c>
    </row>
    <row r="818">
      <c r="A818">
        <f>SUBSTITUTE(SUBSTITUTE(SUBSTITUTE(SUBSTITUTE(TRIM(INDEX(Реестр!$B:$B,ROW())),CHAR(160),""),CHAR(9),""),CHAR(10),""),CHAR(13),"")</f>
        <v/>
      </c>
      <c r="B818">
        <f>SUBSTITUTE(SUBSTITUTE(SUBSTITUTE(SUBSTITUTE(SUBSTITUTE(SUBSTITUTE(SUBSTITUTE(TRIM(INDEX(Реестр!$D:$D, ROW())), "-", ""), " ", ""), CHAR(160), ""), CHAR(9), ""), CHAR(10), ""), CHAR(13), ""), CHAR(32), "")</f>
        <v/>
      </c>
      <c r="C818">
        <f>INDEX(Реестр!$H:$H, ROW())</f>
        <v/>
      </c>
      <c r="D818">
        <f>IF(OR(ISBLANK(INDEX(Реестр!$B:$B, ROW())), INDEX(Реестр!$B:$B, ROW())=""), " ", IF(IFERROR(ISNUMBER(--A818),FALSE), IF(LEN(A818)=10, IF(MOD(MOD(H818,11),10)=--RIGHT(A818,1), "OK", "ОШИБКА"), IF(LEN(A818)=12, IF(AND(MOD(MOD(H818,11),10)=--MID(A818,11,1), MOD(MOD(I818,11),10)=--RIGHT(A818,1)), "OK", "ОШИБКА"), "ДЛИНА (10 или 12)")), "НЕ ЦИФРЫ"))</f>
        <v/>
      </c>
      <c r="E818">
        <f>MID(B818,1,1)*9+MID(B818,2,1)*8+MID(B818,3,1)*7+MID(B818,4,1)*6+MID(B818,5,1)*5+MID(B818,6,1)*4+MID(B818,7,1)*3+MID(B818,8,1)*2+MID(B818,9,1)</f>
        <v/>
      </c>
      <c r="F818">
        <f>IF(B818="", " ", IF(LEN(B818)&lt;&gt;11, "ДЛИНА", IF(NOT(ISNUMBER(--B818)), "НЕ ЦИФРЫ", IF(LEFT(B818,9)*1&lt;=1001998, "OK", IF(RIGHT(B818,2)*1=IF(MOD(E818,101)&gt;=100,0,MOD(E818,101)),"OK","ОШИБКА")))))</f>
        <v/>
      </c>
      <c r="G8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8">
        <f>IF(LEN(TRIM(A818))=10, --MID(A818,1,1)*2+--MID(A818,2,1)*4+--MID(A818,3,1)*10+--MID(A818,4,1)*3+--MID(A818,5,1)*5+--MID(A818,6,1)*9+--MID(A818,7,1)*4+--MID(A818,8,1)*6+--MID(A818,9,1)*8, IF(LEN(TRIM(A818))=12, --MID(A818,1,1)*7+--MID(A818,2,1)*2+--MID(A818,3,1)*4+--MID(A818,4,1)*10+--MID(A818,5,1)*3+--MID(A818,6,1)*5+--MID(A818,7,1)*9+--MID(A818,8,1)*4+--MID(A818,9,1)*6+--MID(A818,10,1)*8, ""))</f>
        <v/>
      </c>
      <c r="I818">
        <f>IF(LEN(TRIM(A818))=12, --MID(A818,1,1)*3+--MID(A818,2,1)*7+--MID(A818,3,1)*2+--MID(A818,4,1)*4+--MID(A818,5,1)*10+--MID(A818,6,1)*3+--MID(A818,7,1)*5+--MID(A818,8,1)*9+--MID(A818,9,1)*4+--MID(A818,10,1)*6+--MID(A818,11,1)*8, "")</f>
        <v/>
      </c>
    </row>
    <row r="819">
      <c r="A819">
        <f>SUBSTITUTE(SUBSTITUTE(SUBSTITUTE(SUBSTITUTE(TRIM(INDEX(Реестр!$B:$B,ROW())),CHAR(160),""),CHAR(9),""),CHAR(10),""),CHAR(13),"")</f>
        <v/>
      </c>
      <c r="B819">
        <f>SUBSTITUTE(SUBSTITUTE(SUBSTITUTE(SUBSTITUTE(SUBSTITUTE(SUBSTITUTE(SUBSTITUTE(TRIM(INDEX(Реестр!$D:$D, ROW())), "-", ""), " ", ""), CHAR(160), ""), CHAR(9), ""), CHAR(10), ""), CHAR(13), ""), CHAR(32), "")</f>
        <v/>
      </c>
      <c r="C819">
        <f>INDEX(Реестр!$H:$H, ROW())</f>
        <v/>
      </c>
      <c r="D819">
        <f>IF(OR(ISBLANK(INDEX(Реестр!$B:$B, ROW())), INDEX(Реестр!$B:$B, ROW())=""), " ", IF(IFERROR(ISNUMBER(--A819),FALSE), IF(LEN(A819)=10, IF(MOD(MOD(H819,11),10)=--RIGHT(A819,1), "OK", "ОШИБКА"), IF(LEN(A819)=12, IF(AND(MOD(MOD(H819,11),10)=--MID(A819,11,1), MOD(MOD(I819,11),10)=--RIGHT(A819,1)), "OK", "ОШИБКА"), "ДЛИНА (10 или 12)")), "НЕ ЦИФРЫ"))</f>
        <v/>
      </c>
      <c r="E819">
        <f>MID(B819,1,1)*9+MID(B819,2,1)*8+MID(B819,3,1)*7+MID(B819,4,1)*6+MID(B819,5,1)*5+MID(B819,6,1)*4+MID(B819,7,1)*3+MID(B819,8,1)*2+MID(B819,9,1)</f>
        <v/>
      </c>
      <c r="F819">
        <f>IF(B819="", " ", IF(LEN(B819)&lt;&gt;11, "ДЛИНА", IF(NOT(ISNUMBER(--B819)), "НЕ ЦИФРЫ", IF(LEFT(B819,9)*1&lt;=1001998, "OK", IF(RIGHT(B819,2)*1=IF(MOD(E819,101)&gt;=100,0,MOD(E819,101)),"OK","ОШИБКА")))))</f>
        <v/>
      </c>
      <c r="G8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19">
        <f>IF(LEN(TRIM(A819))=10, --MID(A819,1,1)*2+--MID(A819,2,1)*4+--MID(A819,3,1)*10+--MID(A819,4,1)*3+--MID(A819,5,1)*5+--MID(A819,6,1)*9+--MID(A819,7,1)*4+--MID(A819,8,1)*6+--MID(A819,9,1)*8, IF(LEN(TRIM(A819))=12, --MID(A819,1,1)*7+--MID(A819,2,1)*2+--MID(A819,3,1)*4+--MID(A819,4,1)*10+--MID(A819,5,1)*3+--MID(A819,6,1)*5+--MID(A819,7,1)*9+--MID(A819,8,1)*4+--MID(A819,9,1)*6+--MID(A819,10,1)*8, ""))</f>
        <v/>
      </c>
      <c r="I819">
        <f>IF(LEN(TRIM(A819))=12, --MID(A819,1,1)*3+--MID(A819,2,1)*7+--MID(A819,3,1)*2+--MID(A819,4,1)*4+--MID(A819,5,1)*10+--MID(A819,6,1)*3+--MID(A819,7,1)*5+--MID(A819,8,1)*9+--MID(A819,9,1)*4+--MID(A819,10,1)*6+--MID(A819,11,1)*8, "")</f>
        <v/>
      </c>
    </row>
    <row r="820">
      <c r="A820">
        <f>SUBSTITUTE(SUBSTITUTE(SUBSTITUTE(SUBSTITUTE(TRIM(INDEX(Реестр!$B:$B,ROW())),CHAR(160),""),CHAR(9),""),CHAR(10),""),CHAR(13),"")</f>
        <v/>
      </c>
      <c r="B820">
        <f>SUBSTITUTE(SUBSTITUTE(SUBSTITUTE(SUBSTITUTE(SUBSTITUTE(SUBSTITUTE(SUBSTITUTE(TRIM(INDEX(Реестр!$D:$D, ROW())), "-", ""), " ", ""), CHAR(160), ""), CHAR(9), ""), CHAR(10), ""), CHAR(13), ""), CHAR(32), "")</f>
        <v/>
      </c>
      <c r="C820">
        <f>INDEX(Реестр!$H:$H, ROW())</f>
        <v/>
      </c>
      <c r="D820">
        <f>IF(OR(ISBLANK(INDEX(Реестр!$B:$B, ROW())), INDEX(Реестр!$B:$B, ROW())=""), " ", IF(IFERROR(ISNUMBER(--A820),FALSE), IF(LEN(A820)=10, IF(MOD(MOD(H820,11),10)=--RIGHT(A820,1), "OK", "ОШИБКА"), IF(LEN(A820)=12, IF(AND(MOD(MOD(H820,11),10)=--MID(A820,11,1), MOD(MOD(I820,11),10)=--RIGHT(A820,1)), "OK", "ОШИБКА"), "ДЛИНА (10 или 12)")), "НЕ ЦИФРЫ"))</f>
        <v/>
      </c>
      <c r="E820">
        <f>MID(B820,1,1)*9+MID(B820,2,1)*8+MID(B820,3,1)*7+MID(B820,4,1)*6+MID(B820,5,1)*5+MID(B820,6,1)*4+MID(B820,7,1)*3+MID(B820,8,1)*2+MID(B820,9,1)</f>
        <v/>
      </c>
      <c r="F820">
        <f>IF(B820="", " ", IF(LEN(B820)&lt;&gt;11, "ДЛИНА", IF(NOT(ISNUMBER(--B820)), "НЕ ЦИФРЫ", IF(LEFT(B820,9)*1&lt;=1001998, "OK", IF(RIGHT(B820,2)*1=IF(MOD(E820,101)&gt;=100,0,MOD(E820,101)),"OK","ОШИБКА")))))</f>
        <v/>
      </c>
      <c r="G8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0">
        <f>IF(LEN(TRIM(A820))=10, --MID(A820,1,1)*2+--MID(A820,2,1)*4+--MID(A820,3,1)*10+--MID(A820,4,1)*3+--MID(A820,5,1)*5+--MID(A820,6,1)*9+--MID(A820,7,1)*4+--MID(A820,8,1)*6+--MID(A820,9,1)*8, IF(LEN(TRIM(A820))=12, --MID(A820,1,1)*7+--MID(A820,2,1)*2+--MID(A820,3,1)*4+--MID(A820,4,1)*10+--MID(A820,5,1)*3+--MID(A820,6,1)*5+--MID(A820,7,1)*9+--MID(A820,8,1)*4+--MID(A820,9,1)*6+--MID(A820,10,1)*8, ""))</f>
        <v/>
      </c>
      <c r="I820">
        <f>IF(LEN(TRIM(A820))=12, --MID(A820,1,1)*3+--MID(A820,2,1)*7+--MID(A820,3,1)*2+--MID(A820,4,1)*4+--MID(A820,5,1)*10+--MID(A820,6,1)*3+--MID(A820,7,1)*5+--MID(A820,8,1)*9+--MID(A820,9,1)*4+--MID(A820,10,1)*6+--MID(A820,11,1)*8, "")</f>
        <v/>
      </c>
    </row>
    <row r="821">
      <c r="A821">
        <f>SUBSTITUTE(SUBSTITUTE(SUBSTITUTE(SUBSTITUTE(TRIM(INDEX(Реестр!$B:$B,ROW())),CHAR(160),""),CHAR(9),""),CHAR(10),""),CHAR(13),"")</f>
        <v/>
      </c>
      <c r="B821">
        <f>SUBSTITUTE(SUBSTITUTE(SUBSTITUTE(SUBSTITUTE(SUBSTITUTE(SUBSTITUTE(SUBSTITUTE(TRIM(INDEX(Реестр!$D:$D, ROW())), "-", ""), " ", ""), CHAR(160), ""), CHAR(9), ""), CHAR(10), ""), CHAR(13), ""), CHAR(32), "")</f>
        <v/>
      </c>
      <c r="C821">
        <f>INDEX(Реестр!$H:$H, ROW())</f>
        <v/>
      </c>
      <c r="D821">
        <f>IF(OR(ISBLANK(INDEX(Реестр!$B:$B, ROW())), INDEX(Реестр!$B:$B, ROW())=""), " ", IF(IFERROR(ISNUMBER(--A821),FALSE), IF(LEN(A821)=10, IF(MOD(MOD(H821,11),10)=--RIGHT(A821,1), "OK", "ОШИБКА"), IF(LEN(A821)=12, IF(AND(MOD(MOD(H821,11),10)=--MID(A821,11,1), MOD(MOD(I821,11),10)=--RIGHT(A821,1)), "OK", "ОШИБКА"), "ДЛИНА (10 или 12)")), "НЕ ЦИФРЫ"))</f>
        <v/>
      </c>
      <c r="E821">
        <f>MID(B821,1,1)*9+MID(B821,2,1)*8+MID(B821,3,1)*7+MID(B821,4,1)*6+MID(B821,5,1)*5+MID(B821,6,1)*4+MID(B821,7,1)*3+MID(B821,8,1)*2+MID(B821,9,1)</f>
        <v/>
      </c>
      <c r="F821">
        <f>IF(B821="", " ", IF(LEN(B821)&lt;&gt;11, "ДЛИНА", IF(NOT(ISNUMBER(--B821)), "НЕ ЦИФРЫ", IF(LEFT(B821,9)*1&lt;=1001998, "OK", IF(RIGHT(B821,2)*1=IF(MOD(E821,101)&gt;=100,0,MOD(E821,101)),"OK","ОШИБКА")))))</f>
        <v/>
      </c>
      <c r="G8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1">
        <f>IF(LEN(TRIM(A821))=10, --MID(A821,1,1)*2+--MID(A821,2,1)*4+--MID(A821,3,1)*10+--MID(A821,4,1)*3+--MID(A821,5,1)*5+--MID(A821,6,1)*9+--MID(A821,7,1)*4+--MID(A821,8,1)*6+--MID(A821,9,1)*8, IF(LEN(TRIM(A821))=12, --MID(A821,1,1)*7+--MID(A821,2,1)*2+--MID(A821,3,1)*4+--MID(A821,4,1)*10+--MID(A821,5,1)*3+--MID(A821,6,1)*5+--MID(A821,7,1)*9+--MID(A821,8,1)*4+--MID(A821,9,1)*6+--MID(A821,10,1)*8, ""))</f>
        <v/>
      </c>
      <c r="I821">
        <f>IF(LEN(TRIM(A821))=12, --MID(A821,1,1)*3+--MID(A821,2,1)*7+--MID(A821,3,1)*2+--MID(A821,4,1)*4+--MID(A821,5,1)*10+--MID(A821,6,1)*3+--MID(A821,7,1)*5+--MID(A821,8,1)*9+--MID(A821,9,1)*4+--MID(A821,10,1)*6+--MID(A821,11,1)*8, "")</f>
        <v/>
      </c>
    </row>
    <row r="822">
      <c r="A822">
        <f>SUBSTITUTE(SUBSTITUTE(SUBSTITUTE(SUBSTITUTE(TRIM(INDEX(Реестр!$B:$B,ROW())),CHAR(160),""),CHAR(9),""),CHAR(10),""),CHAR(13),"")</f>
        <v/>
      </c>
      <c r="B822">
        <f>SUBSTITUTE(SUBSTITUTE(SUBSTITUTE(SUBSTITUTE(SUBSTITUTE(SUBSTITUTE(SUBSTITUTE(TRIM(INDEX(Реестр!$D:$D, ROW())), "-", ""), " ", ""), CHAR(160), ""), CHAR(9), ""), CHAR(10), ""), CHAR(13), ""), CHAR(32), "")</f>
        <v/>
      </c>
      <c r="C822">
        <f>INDEX(Реестр!$H:$H, ROW())</f>
        <v/>
      </c>
      <c r="D822">
        <f>IF(OR(ISBLANK(INDEX(Реестр!$B:$B, ROW())), INDEX(Реестр!$B:$B, ROW())=""), " ", IF(IFERROR(ISNUMBER(--A822),FALSE), IF(LEN(A822)=10, IF(MOD(MOD(H822,11),10)=--RIGHT(A822,1), "OK", "ОШИБКА"), IF(LEN(A822)=12, IF(AND(MOD(MOD(H822,11),10)=--MID(A822,11,1), MOD(MOD(I822,11),10)=--RIGHT(A822,1)), "OK", "ОШИБКА"), "ДЛИНА (10 или 12)")), "НЕ ЦИФРЫ"))</f>
        <v/>
      </c>
      <c r="E822">
        <f>MID(B822,1,1)*9+MID(B822,2,1)*8+MID(B822,3,1)*7+MID(B822,4,1)*6+MID(B822,5,1)*5+MID(B822,6,1)*4+MID(B822,7,1)*3+MID(B822,8,1)*2+MID(B822,9,1)</f>
        <v/>
      </c>
      <c r="F822">
        <f>IF(B822="", " ", IF(LEN(B822)&lt;&gt;11, "ДЛИНА", IF(NOT(ISNUMBER(--B822)), "НЕ ЦИФРЫ", IF(LEFT(B822,9)*1&lt;=1001998, "OK", IF(RIGHT(B822,2)*1=IF(MOD(E822,101)&gt;=100,0,MOD(E822,101)),"OK","ОШИБКА")))))</f>
        <v/>
      </c>
      <c r="G8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2">
        <f>IF(LEN(TRIM(A822))=10, --MID(A822,1,1)*2+--MID(A822,2,1)*4+--MID(A822,3,1)*10+--MID(A822,4,1)*3+--MID(A822,5,1)*5+--MID(A822,6,1)*9+--MID(A822,7,1)*4+--MID(A822,8,1)*6+--MID(A822,9,1)*8, IF(LEN(TRIM(A822))=12, --MID(A822,1,1)*7+--MID(A822,2,1)*2+--MID(A822,3,1)*4+--MID(A822,4,1)*10+--MID(A822,5,1)*3+--MID(A822,6,1)*5+--MID(A822,7,1)*9+--MID(A822,8,1)*4+--MID(A822,9,1)*6+--MID(A822,10,1)*8, ""))</f>
        <v/>
      </c>
      <c r="I822">
        <f>IF(LEN(TRIM(A822))=12, --MID(A822,1,1)*3+--MID(A822,2,1)*7+--MID(A822,3,1)*2+--MID(A822,4,1)*4+--MID(A822,5,1)*10+--MID(A822,6,1)*3+--MID(A822,7,1)*5+--MID(A822,8,1)*9+--MID(A822,9,1)*4+--MID(A822,10,1)*6+--MID(A822,11,1)*8, "")</f>
        <v/>
      </c>
    </row>
    <row r="823">
      <c r="A823">
        <f>SUBSTITUTE(SUBSTITUTE(SUBSTITUTE(SUBSTITUTE(TRIM(INDEX(Реестр!$B:$B,ROW())),CHAR(160),""),CHAR(9),""),CHAR(10),""),CHAR(13),"")</f>
        <v/>
      </c>
      <c r="B823">
        <f>SUBSTITUTE(SUBSTITUTE(SUBSTITUTE(SUBSTITUTE(SUBSTITUTE(SUBSTITUTE(SUBSTITUTE(TRIM(INDEX(Реестр!$D:$D, ROW())), "-", ""), " ", ""), CHAR(160), ""), CHAR(9), ""), CHAR(10), ""), CHAR(13), ""), CHAR(32), "")</f>
        <v/>
      </c>
      <c r="C823">
        <f>INDEX(Реестр!$H:$H, ROW())</f>
        <v/>
      </c>
      <c r="D823">
        <f>IF(OR(ISBLANK(INDEX(Реестр!$B:$B, ROW())), INDEX(Реестр!$B:$B, ROW())=""), " ", IF(IFERROR(ISNUMBER(--A823),FALSE), IF(LEN(A823)=10, IF(MOD(MOD(H823,11),10)=--RIGHT(A823,1), "OK", "ОШИБКА"), IF(LEN(A823)=12, IF(AND(MOD(MOD(H823,11),10)=--MID(A823,11,1), MOD(MOD(I823,11),10)=--RIGHT(A823,1)), "OK", "ОШИБКА"), "ДЛИНА (10 или 12)")), "НЕ ЦИФРЫ"))</f>
        <v/>
      </c>
      <c r="E823">
        <f>MID(B823,1,1)*9+MID(B823,2,1)*8+MID(B823,3,1)*7+MID(B823,4,1)*6+MID(B823,5,1)*5+MID(B823,6,1)*4+MID(B823,7,1)*3+MID(B823,8,1)*2+MID(B823,9,1)</f>
        <v/>
      </c>
      <c r="F823">
        <f>IF(B823="", " ", IF(LEN(B823)&lt;&gt;11, "ДЛИНА", IF(NOT(ISNUMBER(--B823)), "НЕ ЦИФРЫ", IF(LEFT(B823,9)*1&lt;=1001998, "OK", IF(RIGHT(B823,2)*1=IF(MOD(E823,101)&gt;=100,0,MOD(E823,101)),"OK","ОШИБКА")))))</f>
        <v/>
      </c>
      <c r="G8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3">
        <f>IF(LEN(TRIM(A823))=10, --MID(A823,1,1)*2+--MID(A823,2,1)*4+--MID(A823,3,1)*10+--MID(A823,4,1)*3+--MID(A823,5,1)*5+--MID(A823,6,1)*9+--MID(A823,7,1)*4+--MID(A823,8,1)*6+--MID(A823,9,1)*8, IF(LEN(TRIM(A823))=12, --MID(A823,1,1)*7+--MID(A823,2,1)*2+--MID(A823,3,1)*4+--MID(A823,4,1)*10+--MID(A823,5,1)*3+--MID(A823,6,1)*5+--MID(A823,7,1)*9+--MID(A823,8,1)*4+--MID(A823,9,1)*6+--MID(A823,10,1)*8, ""))</f>
        <v/>
      </c>
      <c r="I823">
        <f>IF(LEN(TRIM(A823))=12, --MID(A823,1,1)*3+--MID(A823,2,1)*7+--MID(A823,3,1)*2+--MID(A823,4,1)*4+--MID(A823,5,1)*10+--MID(A823,6,1)*3+--MID(A823,7,1)*5+--MID(A823,8,1)*9+--MID(A823,9,1)*4+--MID(A823,10,1)*6+--MID(A823,11,1)*8, "")</f>
        <v/>
      </c>
    </row>
    <row r="824">
      <c r="A824">
        <f>SUBSTITUTE(SUBSTITUTE(SUBSTITUTE(SUBSTITUTE(TRIM(INDEX(Реестр!$B:$B,ROW())),CHAR(160),""),CHAR(9),""),CHAR(10),""),CHAR(13),"")</f>
        <v/>
      </c>
      <c r="B824">
        <f>SUBSTITUTE(SUBSTITUTE(SUBSTITUTE(SUBSTITUTE(SUBSTITUTE(SUBSTITUTE(SUBSTITUTE(TRIM(INDEX(Реестр!$D:$D, ROW())), "-", ""), " ", ""), CHAR(160), ""), CHAR(9), ""), CHAR(10), ""), CHAR(13), ""), CHAR(32), "")</f>
        <v/>
      </c>
      <c r="C824">
        <f>INDEX(Реестр!$H:$H, ROW())</f>
        <v/>
      </c>
      <c r="D824">
        <f>IF(OR(ISBLANK(INDEX(Реестр!$B:$B, ROW())), INDEX(Реестр!$B:$B, ROW())=""), " ", IF(IFERROR(ISNUMBER(--A824),FALSE), IF(LEN(A824)=10, IF(MOD(MOD(H824,11),10)=--RIGHT(A824,1), "OK", "ОШИБКА"), IF(LEN(A824)=12, IF(AND(MOD(MOD(H824,11),10)=--MID(A824,11,1), MOD(MOD(I824,11),10)=--RIGHT(A824,1)), "OK", "ОШИБКА"), "ДЛИНА (10 или 12)")), "НЕ ЦИФРЫ"))</f>
        <v/>
      </c>
      <c r="E824">
        <f>MID(B824,1,1)*9+MID(B824,2,1)*8+MID(B824,3,1)*7+MID(B824,4,1)*6+MID(B824,5,1)*5+MID(B824,6,1)*4+MID(B824,7,1)*3+MID(B824,8,1)*2+MID(B824,9,1)</f>
        <v/>
      </c>
      <c r="F824">
        <f>IF(B824="", " ", IF(LEN(B824)&lt;&gt;11, "ДЛИНА", IF(NOT(ISNUMBER(--B824)), "НЕ ЦИФРЫ", IF(LEFT(B824,9)*1&lt;=1001998, "OK", IF(RIGHT(B824,2)*1=IF(MOD(E824,101)&gt;=100,0,MOD(E824,101)),"OK","ОШИБКА")))))</f>
        <v/>
      </c>
      <c r="G8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4">
        <f>IF(LEN(TRIM(A824))=10, --MID(A824,1,1)*2+--MID(A824,2,1)*4+--MID(A824,3,1)*10+--MID(A824,4,1)*3+--MID(A824,5,1)*5+--MID(A824,6,1)*9+--MID(A824,7,1)*4+--MID(A824,8,1)*6+--MID(A824,9,1)*8, IF(LEN(TRIM(A824))=12, --MID(A824,1,1)*7+--MID(A824,2,1)*2+--MID(A824,3,1)*4+--MID(A824,4,1)*10+--MID(A824,5,1)*3+--MID(A824,6,1)*5+--MID(A824,7,1)*9+--MID(A824,8,1)*4+--MID(A824,9,1)*6+--MID(A824,10,1)*8, ""))</f>
        <v/>
      </c>
      <c r="I824">
        <f>IF(LEN(TRIM(A824))=12, --MID(A824,1,1)*3+--MID(A824,2,1)*7+--MID(A824,3,1)*2+--MID(A824,4,1)*4+--MID(A824,5,1)*10+--MID(A824,6,1)*3+--MID(A824,7,1)*5+--MID(A824,8,1)*9+--MID(A824,9,1)*4+--MID(A824,10,1)*6+--MID(A824,11,1)*8, "")</f>
        <v/>
      </c>
    </row>
    <row r="825">
      <c r="A825">
        <f>SUBSTITUTE(SUBSTITUTE(SUBSTITUTE(SUBSTITUTE(TRIM(INDEX(Реестр!$B:$B,ROW())),CHAR(160),""),CHAR(9),""),CHAR(10),""),CHAR(13),"")</f>
        <v/>
      </c>
      <c r="B825">
        <f>SUBSTITUTE(SUBSTITUTE(SUBSTITUTE(SUBSTITUTE(SUBSTITUTE(SUBSTITUTE(SUBSTITUTE(TRIM(INDEX(Реестр!$D:$D, ROW())), "-", ""), " ", ""), CHAR(160), ""), CHAR(9), ""), CHAR(10), ""), CHAR(13), ""), CHAR(32), "")</f>
        <v/>
      </c>
      <c r="C825">
        <f>INDEX(Реестр!$H:$H, ROW())</f>
        <v/>
      </c>
      <c r="D825">
        <f>IF(OR(ISBLANK(INDEX(Реестр!$B:$B, ROW())), INDEX(Реестр!$B:$B, ROW())=""), " ", IF(IFERROR(ISNUMBER(--A825),FALSE), IF(LEN(A825)=10, IF(MOD(MOD(H825,11),10)=--RIGHT(A825,1), "OK", "ОШИБКА"), IF(LEN(A825)=12, IF(AND(MOD(MOD(H825,11),10)=--MID(A825,11,1), MOD(MOD(I825,11),10)=--RIGHT(A825,1)), "OK", "ОШИБКА"), "ДЛИНА (10 или 12)")), "НЕ ЦИФРЫ"))</f>
        <v/>
      </c>
      <c r="E825">
        <f>MID(B825,1,1)*9+MID(B825,2,1)*8+MID(B825,3,1)*7+MID(B825,4,1)*6+MID(B825,5,1)*5+MID(B825,6,1)*4+MID(B825,7,1)*3+MID(B825,8,1)*2+MID(B825,9,1)</f>
        <v/>
      </c>
      <c r="F825">
        <f>IF(B825="", " ", IF(LEN(B825)&lt;&gt;11, "ДЛИНА", IF(NOT(ISNUMBER(--B825)), "НЕ ЦИФРЫ", IF(LEFT(B825,9)*1&lt;=1001998, "OK", IF(RIGHT(B825,2)*1=IF(MOD(E825,101)&gt;=100,0,MOD(E825,101)),"OK","ОШИБКА")))))</f>
        <v/>
      </c>
      <c r="G8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5">
        <f>IF(LEN(TRIM(A825))=10, --MID(A825,1,1)*2+--MID(A825,2,1)*4+--MID(A825,3,1)*10+--MID(A825,4,1)*3+--MID(A825,5,1)*5+--MID(A825,6,1)*9+--MID(A825,7,1)*4+--MID(A825,8,1)*6+--MID(A825,9,1)*8, IF(LEN(TRIM(A825))=12, --MID(A825,1,1)*7+--MID(A825,2,1)*2+--MID(A825,3,1)*4+--MID(A825,4,1)*10+--MID(A825,5,1)*3+--MID(A825,6,1)*5+--MID(A825,7,1)*9+--MID(A825,8,1)*4+--MID(A825,9,1)*6+--MID(A825,10,1)*8, ""))</f>
        <v/>
      </c>
      <c r="I825">
        <f>IF(LEN(TRIM(A825))=12, --MID(A825,1,1)*3+--MID(A825,2,1)*7+--MID(A825,3,1)*2+--MID(A825,4,1)*4+--MID(A825,5,1)*10+--MID(A825,6,1)*3+--MID(A825,7,1)*5+--MID(A825,8,1)*9+--MID(A825,9,1)*4+--MID(A825,10,1)*6+--MID(A825,11,1)*8, "")</f>
        <v/>
      </c>
    </row>
    <row r="826">
      <c r="A826">
        <f>SUBSTITUTE(SUBSTITUTE(SUBSTITUTE(SUBSTITUTE(TRIM(INDEX(Реестр!$B:$B,ROW())),CHAR(160),""),CHAR(9),""),CHAR(10),""),CHAR(13),"")</f>
        <v/>
      </c>
      <c r="B826">
        <f>SUBSTITUTE(SUBSTITUTE(SUBSTITUTE(SUBSTITUTE(SUBSTITUTE(SUBSTITUTE(SUBSTITUTE(TRIM(INDEX(Реестр!$D:$D, ROW())), "-", ""), " ", ""), CHAR(160), ""), CHAR(9), ""), CHAR(10), ""), CHAR(13), ""), CHAR(32), "")</f>
        <v/>
      </c>
      <c r="C826">
        <f>INDEX(Реестр!$H:$H, ROW())</f>
        <v/>
      </c>
      <c r="D826">
        <f>IF(OR(ISBLANK(INDEX(Реестр!$B:$B, ROW())), INDEX(Реестр!$B:$B, ROW())=""), " ", IF(IFERROR(ISNUMBER(--A826),FALSE), IF(LEN(A826)=10, IF(MOD(MOD(H826,11),10)=--RIGHT(A826,1), "OK", "ОШИБКА"), IF(LEN(A826)=12, IF(AND(MOD(MOD(H826,11),10)=--MID(A826,11,1), MOD(MOD(I826,11),10)=--RIGHT(A826,1)), "OK", "ОШИБКА"), "ДЛИНА (10 или 12)")), "НЕ ЦИФРЫ"))</f>
        <v/>
      </c>
      <c r="E826">
        <f>MID(B826,1,1)*9+MID(B826,2,1)*8+MID(B826,3,1)*7+MID(B826,4,1)*6+MID(B826,5,1)*5+MID(B826,6,1)*4+MID(B826,7,1)*3+MID(B826,8,1)*2+MID(B826,9,1)</f>
        <v/>
      </c>
      <c r="F826">
        <f>IF(B826="", " ", IF(LEN(B826)&lt;&gt;11, "ДЛИНА", IF(NOT(ISNUMBER(--B826)), "НЕ ЦИФРЫ", IF(LEFT(B826,9)*1&lt;=1001998, "OK", IF(RIGHT(B826,2)*1=IF(MOD(E826,101)&gt;=100,0,MOD(E826,101)),"OK","ОШИБКА")))))</f>
        <v/>
      </c>
      <c r="G8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6">
        <f>IF(LEN(TRIM(A826))=10, --MID(A826,1,1)*2+--MID(A826,2,1)*4+--MID(A826,3,1)*10+--MID(A826,4,1)*3+--MID(A826,5,1)*5+--MID(A826,6,1)*9+--MID(A826,7,1)*4+--MID(A826,8,1)*6+--MID(A826,9,1)*8, IF(LEN(TRIM(A826))=12, --MID(A826,1,1)*7+--MID(A826,2,1)*2+--MID(A826,3,1)*4+--MID(A826,4,1)*10+--MID(A826,5,1)*3+--MID(A826,6,1)*5+--MID(A826,7,1)*9+--MID(A826,8,1)*4+--MID(A826,9,1)*6+--MID(A826,10,1)*8, ""))</f>
        <v/>
      </c>
      <c r="I826">
        <f>IF(LEN(TRIM(A826))=12, --MID(A826,1,1)*3+--MID(A826,2,1)*7+--MID(A826,3,1)*2+--MID(A826,4,1)*4+--MID(A826,5,1)*10+--MID(A826,6,1)*3+--MID(A826,7,1)*5+--MID(A826,8,1)*9+--MID(A826,9,1)*4+--MID(A826,10,1)*6+--MID(A826,11,1)*8, "")</f>
        <v/>
      </c>
    </row>
    <row r="827">
      <c r="A827">
        <f>SUBSTITUTE(SUBSTITUTE(SUBSTITUTE(SUBSTITUTE(TRIM(INDEX(Реестр!$B:$B,ROW())),CHAR(160),""),CHAR(9),""),CHAR(10),""),CHAR(13),"")</f>
        <v/>
      </c>
      <c r="B827">
        <f>SUBSTITUTE(SUBSTITUTE(SUBSTITUTE(SUBSTITUTE(SUBSTITUTE(SUBSTITUTE(SUBSTITUTE(TRIM(INDEX(Реестр!$D:$D, ROW())), "-", ""), " ", ""), CHAR(160), ""), CHAR(9), ""), CHAR(10), ""), CHAR(13), ""), CHAR(32), "")</f>
        <v/>
      </c>
      <c r="C827">
        <f>INDEX(Реестр!$H:$H, ROW())</f>
        <v/>
      </c>
      <c r="D827">
        <f>IF(OR(ISBLANK(INDEX(Реестр!$B:$B, ROW())), INDEX(Реестр!$B:$B, ROW())=""), " ", IF(IFERROR(ISNUMBER(--A827),FALSE), IF(LEN(A827)=10, IF(MOD(MOD(H827,11),10)=--RIGHT(A827,1), "OK", "ОШИБКА"), IF(LEN(A827)=12, IF(AND(MOD(MOD(H827,11),10)=--MID(A827,11,1), MOD(MOD(I827,11),10)=--RIGHT(A827,1)), "OK", "ОШИБКА"), "ДЛИНА (10 или 12)")), "НЕ ЦИФРЫ"))</f>
        <v/>
      </c>
      <c r="E827">
        <f>MID(B827,1,1)*9+MID(B827,2,1)*8+MID(B827,3,1)*7+MID(B827,4,1)*6+MID(B827,5,1)*5+MID(B827,6,1)*4+MID(B827,7,1)*3+MID(B827,8,1)*2+MID(B827,9,1)</f>
        <v/>
      </c>
      <c r="F827">
        <f>IF(B827="", " ", IF(LEN(B827)&lt;&gt;11, "ДЛИНА", IF(NOT(ISNUMBER(--B827)), "НЕ ЦИФРЫ", IF(LEFT(B827,9)*1&lt;=1001998, "OK", IF(RIGHT(B827,2)*1=IF(MOD(E827,101)&gt;=100,0,MOD(E827,101)),"OK","ОШИБКА")))))</f>
        <v/>
      </c>
      <c r="G8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7">
        <f>IF(LEN(TRIM(A827))=10, --MID(A827,1,1)*2+--MID(A827,2,1)*4+--MID(A827,3,1)*10+--MID(A827,4,1)*3+--MID(A827,5,1)*5+--MID(A827,6,1)*9+--MID(A827,7,1)*4+--MID(A827,8,1)*6+--MID(A827,9,1)*8, IF(LEN(TRIM(A827))=12, --MID(A827,1,1)*7+--MID(A827,2,1)*2+--MID(A827,3,1)*4+--MID(A827,4,1)*10+--MID(A827,5,1)*3+--MID(A827,6,1)*5+--MID(A827,7,1)*9+--MID(A827,8,1)*4+--MID(A827,9,1)*6+--MID(A827,10,1)*8, ""))</f>
        <v/>
      </c>
      <c r="I827">
        <f>IF(LEN(TRIM(A827))=12, --MID(A827,1,1)*3+--MID(A827,2,1)*7+--MID(A827,3,1)*2+--MID(A827,4,1)*4+--MID(A827,5,1)*10+--MID(A827,6,1)*3+--MID(A827,7,1)*5+--MID(A827,8,1)*9+--MID(A827,9,1)*4+--MID(A827,10,1)*6+--MID(A827,11,1)*8, "")</f>
        <v/>
      </c>
    </row>
    <row r="828">
      <c r="A828">
        <f>SUBSTITUTE(SUBSTITUTE(SUBSTITUTE(SUBSTITUTE(TRIM(INDEX(Реестр!$B:$B,ROW())),CHAR(160),""),CHAR(9),""),CHAR(10),""),CHAR(13),"")</f>
        <v/>
      </c>
      <c r="B828">
        <f>SUBSTITUTE(SUBSTITUTE(SUBSTITUTE(SUBSTITUTE(SUBSTITUTE(SUBSTITUTE(SUBSTITUTE(TRIM(INDEX(Реестр!$D:$D, ROW())), "-", ""), " ", ""), CHAR(160), ""), CHAR(9), ""), CHAR(10), ""), CHAR(13), ""), CHAR(32), "")</f>
        <v/>
      </c>
      <c r="C828">
        <f>INDEX(Реестр!$H:$H, ROW())</f>
        <v/>
      </c>
      <c r="D828">
        <f>IF(OR(ISBLANK(INDEX(Реестр!$B:$B, ROW())), INDEX(Реестр!$B:$B, ROW())=""), " ", IF(IFERROR(ISNUMBER(--A828),FALSE), IF(LEN(A828)=10, IF(MOD(MOD(H828,11),10)=--RIGHT(A828,1), "OK", "ОШИБКА"), IF(LEN(A828)=12, IF(AND(MOD(MOD(H828,11),10)=--MID(A828,11,1), MOD(MOD(I828,11),10)=--RIGHT(A828,1)), "OK", "ОШИБКА"), "ДЛИНА (10 или 12)")), "НЕ ЦИФРЫ"))</f>
        <v/>
      </c>
      <c r="E828">
        <f>MID(B828,1,1)*9+MID(B828,2,1)*8+MID(B828,3,1)*7+MID(B828,4,1)*6+MID(B828,5,1)*5+MID(B828,6,1)*4+MID(B828,7,1)*3+MID(B828,8,1)*2+MID(B828,9,1)</f>
        <v/>
      </c>
      <c r="F828">
        <f>IF(B828="", " ", IF(LEN(B828)&lt;&gt;11, "ДЛИНА", IF(NOT(ISNUMBER(--B828)), "НЕ ЦИФРЫ", IF(LEFT(B828,9)*1&lt;=1001998, "OK", IF(RIGHT(B828,2)*1=IF(MOD(E828,101)&gt;=100,0,MOD(E828,101)),"OK","ОШИБКА")))))</f>
        <v/>
      </c>
      <c r="G8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8">
        <f>IF(LEN(TRIM(A828))=10, --MID(A828,1,1)*2+--MID(A828,2,1)*4+--MID(A828,3,1)*10+--MID(A828,4,1)*3+--MID(A828,5,1)*5+--MID(A828,6,1)*9+--MID(A828,7,1)*4+--MID(A828,8,1)*6+--MID(A828,9,1)*8, IF(LEN(TRIM(A828))=12, --MID(A828,1,1)*7+--MID(A828,2,1)*2+--MID(A828,3,1)*4+--MID(A828,4,1)*10+--MID(A828,5,1)*3+--MID(A828,6,1)*5+--MID(A828,7,1)*9+--MID(A828,8,1)*4+--MID(A828,9,1)*6+--MID(A828,10,1)*8, ""))</f>
        <v/>
      </c>
      <c r="I828">
        <f>IF(LEN(TRIM(A828))=12, --MID(A828,1,1)*3+--MID(A828,2,1)*7+--MID(A828,3,1)*2+--MID(A828,4,1)*4+--MID(A828,5,1)*10+--MID(A828,6,1)*3+--MID(A828,7,1)*5+--MID(A828,8,1)*9+--MID(A828,9,1)*4+--MID(A828,10,1)*6+--MID(A828,11,1)*8, "")</f>
        <v/>
      </c>
    </row>
    <row r="829">
      <c r="A829">
        <f>SUBSTITUTE(SUBSTITUTE(SUBSTITUTE(SUBSTITUTE(TRIM(INDEX(Реестр!$B:$B,ROW())),CHAR(160),""),CHAR(9),""),CHAR(10),""),CHAR(13),"")</f>
        <v/>
      </c>
      <c r="B829">
        <f>SUBSTITUTE(SUBSTITUTE(SUBSTITUTE(SUBSTITUTE(SUBSTITUTE(SUBSTITUTE(SUBSTITUTE(TRIM(INDEX(Реестр!$D:$D, ROW())), "-", ""), " ", ""), CHAR(160), ""), CHAR(9), ""), CHAR(10), ""), CHAR(13), ""), CHAR(32), "")</f>
        <v/>
      </c>
      <c r="C829">
        <f>INDEX(Реестр!$H:$H, ROW())</f>
        <v/>
      </c>
      <c r="D829">
        <f>IF(OR(ISBLANK(INDEX(Реестр!$B:$B, ROW())), INDEX(Реестр!$B:$B, ROW())=""), " ", IF(IFERROR(ISNUMBER(--A829),FALSE), IF(LEN(A829)=10, IF(MOD(MOD(H829,11),10)=--RIGHT(A829,1), "OK", "ОШИБКА"), IF(LEN(A829)=12, IF(AND(MOD(MOD(H829,11),10)=--MID(A829,11,1), MOD(MOD(I829,11),10)=--RIGHT(A829,1)), "OK", "ОШИБКА"), "ДЛИНА (10 или 12)")), "НЕ ЦИФРЫ"))</f>
        <v/>
      </c>
      <c r="E829">
        <f>MID(B829,1,1)*9+MID(B829,2,1)*8+MID(B829,3,1)*7+MID(B829,4,1)*6+MID(B829,5,1)*5+MID(B829,6,1)*4+MID(B829,7,1)*3+MID(B829,8,1)*2+MID(B829,9,1)</f>
        <v/>
      </c>
      <c r="F829">
        <f>IF(B829="", " ", IF(LEN(B829)&lt;&gt;11, "ДЛИНА", IF(NOT(ISNUMBER(--B829)), "НЕ ЦИФРЫ", IF(LEFT(B829,9)*1&lt;=1001998, "OK", IF(RIGHT(B829,2)*1=IF(MOD(E829,101)&gt;=100,0,MOD(E829,101)),"OK","ОШИБКА")))))</f>
        <v/>
      </c>
      <c r="G8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29">
        <f>IF(LEN(TRIM(A829))=10, --MID(A829,1,1)*2+--MID(A829,2,1)*4+--MID(A829,3,1)*10+--MID(A829,4,1)*3+--MID(A829,5,1)*5+--MID(A829,6,1)*9+--MID(A829,7,1)*4+--MID(A829,8,1)*6+--MID(A829,9,1)*8, IF(LEN(TRIM(A829))=12, --MID(A829,1,1)*7+--MID(A829,2,1)*2+--MID(A829,3,1)*4+--MID(A829,4,1)*10+--MID(A829,5,1)*3+--MID(A829,6,1)*5+--MID(A829,7,1)*9+--MID(A829,8,1)*4+--MID(A829,9,1)*6+--MID(A829,10,1)*8, ""))</f>
        <v/>
      </c>
      <c r="I829">
        <f>IF(LEN(TRIM(A829))=12, --MID(A829,1,1)*3+--MID(A829,2,1)*7+--MID(A829,3,1)*2+--MID(A829,4,1)*4+--MID(A829,5,1)*10+--MID(A829,6,1)*3+--MID(A829,7,1)*5+--MID(A829,8,1)*9+--MID(A829,9,1)*4+--MID(A829,10,1)*6+--MID(A829,11,1)*8, "")</f>
        <v/>
      </c>
    </row>
    <row r="830">
      <c r="A830">
        <f>SUBSTITUTE(SUBSTITUTE(SUBSTITUTE(SUBSTITUTE(TRIM(INDEX(Реестр!$B:$B,ROW())),CHAR(160),""),CHAR(9),""),CHAR(10),""),CHAR(13),"")</f>
        <v/>
      </c>
      <c r="B830">
        <f>SUBSTITUTE(SUBSTITUTE(SUBSTITUTE(SUBSTITUTE(SUBSTITUTE(SUBSTITUTE(SUBSTITUTE(TRIM(INDEX(Реестр!$D:$D, ROW())), "-", ""), " ", ""), CHAR(160), ""), CHAR(9), ""), CHAR(10), ""), CHAR(13), ""), CHAR(32), "")</f>
        <v/>
      </c>
      <c r="C830">
        <f>INDEX(Реестр!$H:$H, ROW())</f>
        <v/>
      </c>
      <c r="D830">
        <f>IF(OR(ISBLANK(INDEX(Реестр!$B:$B, ROW())), INDEX(Реестр!$B:$B, ROW())=""), " ", IF(IFERROR(ISNUMBER(--A830),FALSE), IF(LEN(A830)=10, IF(MOD(MOD(H830,11),10)=--RIGHT(A830,1), "OK", "ОШИБКА"), IF(LEN(A830)=12, IF(AND(MOD(MOD(H830,11),10)=--MID(A830,11,1), MOD(MOD(I830,11),10)=--RIGHT(A830,1)), "OK", "ОШИБКА"), "ДЛИНА (10 или 12)")), "НЕ ЦИФРЫ"))</f>
        <v/>
      </c>
      <c r="E830">
        <f>MID(B830,1,1)*9+MID(B830,2,1)*8+MID(B830,3,1)*7+MID(B830,4,1)*6+MID(B830,5,1)*5+MID(B830,6,1)*4+MID(B830,7,1)*3+MID(B830,8,1)*2+MID(B830,9,1)</f>
        <v/>
      </c>
      <c r="F830">
        <f>IF(B830="", " ", IF(LEN(B830)&lt;&gt;11, "ДЛИНА", IF(NOT(ISNUMBER(--B830)), "НЕ ЦИФРЫ", IF(LEFT(B830,9)*1&lt;=1001998, "OK", IF(RIGHT(B830,2)*1=IF(MOD(E830,101)&gt;=100,0,MOD(E830,101)),"OK","ОШИБКА")))))</f>
        <v/>
      </c>
      <c r="G8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0">
        <f>IF(LEN(TRIM(A830))=10, --MID(A830,1,1)*2+--MID(A830,2,1)*4+--MID(A830,3,1)*10+--MID(A830,4,1)*3+--MID(A830,5,1)*5+--MID(A830,6,1)*9+--MID(A830,7,1)*4+--MID(A830,8,1)*6+--MID(A830,9,1)*8, IF(LEN(TRIM(A830))=12, --MID(A830,1,1)*7+--MID(A830,2,1)*2+--MID(A830,3,1)*4+--MID(A830,4,1)*10+--MID(A830,5,1)*3+--MID(A830,6,1)*5+--MID(A830,7,1)*9+--MID(A830,8,1)*4+--MID(A830,9,1)*6+--MID(A830,10,1)*8, ""))</f>
        <v/>
      </c>
      <c r="I830">
        <f>IF(LEN(TRIM(A830))=12, --MID(A830,1,1)*3+--MID(A830,2,1)*7+--MID(A830,3,1)*2+--MID(A830,4,1)*4+--MID(A830,5,1)*10+--MID(A830,6,1)*3+--MID(A830,7,1)*5+--MID(A830,8,1)*9+--MID(A830,9,1)*4+--MID(A830,10,1)*6+--MID(A830,11,1)*8, "")</f>
        <v/>
      </c>
    </row>
    <row r="831">
      <c r="A831">
        <f>SUBSTITUTE(SUBSTITUTE(SUBSTITUTE(SUBSTITUTE(TRIM(INDEX(Реестр!$B:$B,ROW())),CHAR(160),""),CHAR(9),""),CHAR(10),""),CHAR(13),"")</f>
        <v/>
      </c>
      <c r="B831">
        <f>SUBSTITUTE(SUBSTITUTE(SUBSTITUTE(SUBSTITUTE(SUBSTITUTE(SUBSTITUTE(SUBSTITUTE(TRIM(INDEX(Реестр!$D:$D, ROW())), "-", ""), " ", ""), CHAR(160), ""), CHAR(9), ""), CHAR(10), ""), CHAR(13), ""), CHAR(32), "")</f>
        <v/>
      </c>
      <c r="C831">
        <f>INDEX(Реестр!$H:$H, ROW())</f>
        <v/>
      </c>
      <c r="D831">
        <f>IF(OR(ISBLANK(INDEX(Реестр!$B:$B, ROW())), INDEX(Реестр!$B:$B, ROW())=""), " ", IF(IFERROR(ISNUMBER(--A831),FALSE), IF(LEN(A831)=10, IF(MOD(MOD(H831,11),10)=--RIGHT(A831,1), "OK", "ОШИБКА"), IF(LEN(A831)=12, IF(AND(MOD(MOD(H831,11),10)=--MID(A831,11,1), MOD(MOD(I831,11),10)=--RIGHT(A831,1)), "OK", "ОШИБКА"), "ДЛИНА (10 или 12)")), "НЕ ЦИФРЫ"))</f>
        <v/>
      </c>
      <c r="E831">
        <f>MID(B831,1,1)*9+MID(B831,2,1)*8+MID(B831,3,1)*7+MID(B831,4,1)*6+MID(B831,5,1)*5+MID(B831,6,1)*4+MID(B831,7,1)*3+MID(B831,8,1)*2+MID(B831,9,1)</f>
        <v/>
      </c>
      <c r="F831">
        <f>IF(B831="", " ", IF(LEN(B831)&lt;&gt;11, "ДЛИНА", IF(NOT(ISNUMBER(--B831)), "НЕ ЦИФРЫ", IF(LEFT(B831,9)*1&lt;=1001998, "OK", IF(RIGHT(B831,2)*1=IF(MOD(E831,101)&gt;=100,0,MOD(E831,101)),"OK","ОШИБКА")))))</f>
        <v/>
      </c>
      <c r="G8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1">
        <f>IF(LEN(TRIM(A831))=10, --MID(A831,1,1)*2+--MID(A831,2,1)*4+--MID(A831,3,1)*10+--MID(A831,4,1)*3+--MID(A831,5,1)*5+--MID(A831,6,1)*9+--MID(A831,7,1)*4+--MID(A831,8,1)*6+--MID(A831,9,1)*8, IF(LEN(TRIM(A831))=12, --MID(A831,1,1)*7+--MID(A831,2,1)*2+--MID(A831,3,1)*4+--MID(A831,4,1)*10+--MID(A831,5,1)*3+--MID(A831,6,1)*5+--MID(A831,7,1)*9+--MID(A831,8,1)*4+--MID(A831,9,1)*6+--MID(A831,10,1)*8, ""))</f>
        <v/>
      </c>
      <c r="I831">
        <f>IF(LEN(TRIM(A831))=12, --MID(A831,1,1)*3+--MID(A831,2,1)*7+--MID(A831,3,1)*2+--MID(A831,4,1)*4+--MID(A831,5,1)*10+--MID(A831,6,1)*3+--MID(A831,7,1)*5+--MID(A831,8,1)*9+--MID(A831,9,1)*4+--MID(A831,10,1)*6+--MID(A831,11,1)*8, "")</f>
        <v/>
      </c>
    </row>
    <row r="832">
      <c r="A832">
        <f>SUBSTITUTE(SUBSTITUTE(SUBSTITUTE(SUBSTITUTE(TRIM(INDEX(Реестр!$B:$B,ROW())),CHAR(160),""),CHAR(9),""),CHAR(10),""),CHAR(13),"")</f>
        <v/>
      </c>
      <c r="B832">
        <f>SUBSTITUTE(SUBSTITUTE(SUBSTITUTE(SUBSTITUTE(SUBSTITUTE(SUBSTITUTE(SUBSTITUTE(TRIM(INDEX(Реестр!$D:$D, ROW())), "-", ""), " ", ""), CHAR(160), ""), CHAR(9), ""), CHAR(10), ""), CHAR(13), ""), CHAR(32), "")</f>
        <v/>
      </c>
      <c r="C832">
        <f>INDEX(Реестр!$H:$H, ROW())</f>
        <v/>
      </c>
      <c r="D832">
        <f>IF(OR(ISBLANK(INDEX(Реестр!$B:$B, ROW())), INDEX(Реестр!$B:$B, ROW())=""), " ", IF(IFERROR(ISNUMBER(--A832),FALSE), IF(LEN(A832)=10, IF(MOD(MOD(H832,11),10)=--RIGHT(A832,1), "OK", "ОШИБКА"), IF(LEN(A832)=12, IF(AND(MOD(MOD(H832,11),10)=--MID(A832,11,1), MOD(MOD(I832,11),10)=--RIGHT(A832,1)), "OK", "ОШИБКА"), "ДЛИНА (10 или 12)")), "НЕ ЦИФРЫ"))</f>
        <v/>
      </c>
      <c r="E832">
        <f>MID(B832,1,1)*9+MID(B832,2,1)*8+MID(B832,3,1)*7+MID(B832,4,1)*6+MID(B832,5,1)*5+MID(B832,6,1)*4+MID(B832,7,1)*3+MID(B832,8,1)*2+MID(B832,9,1)</f>
        <v/>
      </c>
      <c r="F832">
        <f>IF(B832="", " ", IF(LEN(B832)&lt;&gt;11, "ДЛИНА", IF(NOT(ISNUMBER(--B832)), "НЕ ЦИФРЫ", IF(LEFT(B832,9)*1&lt;=1001998, "OK", IF(RIGHT(B832,2)*1=IF(MOD(E832,101)&gt;=100,0,MOD(E832,101)),"OK","ОШИБКА")))))</f>
        <v/>
      </c>
      <c r="G8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2">
        <f>IF(LEN(TRIM(A832))=10, --MID(A832,1,1)*2+--MID(A832,2,1)*4+--MID(A832,3,1)*10+--MID(A832,4,1)*3+--MID(A832,5,1)*5+--MID(A832,6,1)*9+--MID(A832,7,1)*4+--MID(A832,8,1)*6+--MID(A832,9,1)*8, IF(LEN(TRIM(A832))=12, --MID(A832,1,1)*7+--MID(A832,2,1)*2+--MID(A832,3,1)*4+--MID(A832,4,1)*10+--MID(A832,5,1)*3+--MID(A832,6,1)*5+--MID(A832,7,1)*9+--MID(A832,8,1)*4+--MID(A832,9,1)*6+--MID(A832,10,1)*8, ""))</f>
        <v/>
      </c>
      <c r="I832">
        <f>IF(LEN(TRIM(A832))=12, --MID(A832,1,1)*3+--MID(A832,2,1)*7+--MID(A832,3,1)*2+--MID(A832,4,1)*4+--MID(A832,5,1)*10+--MID(A832,6,1)*3+--MID(A832,7,1)*5+--MID(A832,8,1)*9+--MID(A832,9,1)*4+--MID(A832,10,1)*6+--MID(A832,11,1)*8, "")</f>
        <v/>
      </c>
    </row>
    <row r="833">
      <c r="A833">
        <f>SUBSTITUTE(SUBSTITUTE(SUBSTITUTE(SUBSTITUTE(TRIM(INDEX(Реестр!$B:$B,ROW())),CHAR(160),""),CHAR(9),""),CHAR(10),""),CHAR(13),"")</f>
        <v/>
      </c>
      <c r="B833">
        <f>SUBSTITUTE(SUBSTITUTE(SUBSTITUTE(SUBSTITUTE(SUBSTITUTE(SUBSTITUTE(SUBSTITUTE(TRIM(INDEX(Реестр!$D:$D, ROW())), "-", ""), " ", ""), CHAR(160), ""), CHAR(9), ""), CHAR(10), ""), CHAR(13), ""), CHAR(32), "")</f>
        <v/>
      </c>
      <c r="C833">
        <f>INDEX(Реестр!$H:$H, ROW())</f>
        <v/>
      </c>
      <c r="D833">
        <f>IF(OR(ISBLANK(INDEX(Реестр!$B:$B, ROW())), INDEX(Реестр!$B:$B, ROW())=""), " ", IF(IFERROR(ISNUMBER(--A833),FALSE), IF(LEN(A833)=10, IF(MOD(MOD(H833,11),10)=--RIGHT(A833,1), "OK", "ОШИБКА"), IF(LEN(A833)=12, IF(AND(MOD(MOD(H833,11),10)=--MID(A833,11,1), MOD(MOD(I833,11),10)=--RIGHT(A833,1)), "OK", "ОШИБКА"), "ДЛИНА (10 или 12)")), "НЕ ЦИФРЫ"))</f>
        <v/>
      </c>
      <c r="E833">
        <f>MID(B833,1,1)*9+MID(B833,2,1)*8+MID(B833,3,1)*7+MID(B833,4,1)*6+MID(B833,5,1)*5+MID(B833,6,1)*4+MID(B833,7,1)*3+MID(B833,8,1)*2+MID(B833,9,1)</f>
        <v/>
      </c>
      <c r="F833">
        <f>IF(B833="", " ", IF(LEN(B833)&lt;&gt;11, "ДЛИНА", IF(NOT(ISNUMBER(--B833)), "НЕ ЦИФРЫ", IF(LEFT(B833,9)*1&lt;=1001998, "OK", IF(RIGHT(B833,2)*1=IF(MOD(E833,101)&gt;=100,0,MOD(E833,101)),"OK","ОШИБКА")))))</f>
        <v/>
      </c>
      <c r="G8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3">
        <f>IF(LEN(TRIM(A833))=10, --MID(A833,1,1)*2+--MID(A833,2,1)*4+--MID(A833,3,1)*10+--MID(A833,4,1)*3+--MID(A833,5,1)*5+--MID(A833,6,1)*9+--MID(A833,7,1)*4+--MID(A833,8,1)*6+--MID(A833,9,1)*8, IF(LEN(TRIM(A833))=12, --MID(A833,1,1)*7+--MID(A833,2,1)*2+--MID(A833,3,1)*4+--MID(A833,4,1)*10+--MID(A833,5,1)*3+--MID(A833,6,1)*5+--MID(A833,7,1)*9+--MID(A833,8,1)*4+--MID(A833,9,1)*6+--MID(A833,10,1)*8, ""))</f>
        <v/>
      </c>
      <c r="I833">
        <f>IF(LEN(TRIM(A833))=12, --MID(A833,1,1)*3+--MID(A833,2,1)*7+--MID(A833,3,1)*2+--MID(A833,4,1)*4+--MID(A833,5,1)*10+--MID(A833,6,1)*3+--MID(A833,7,1)*5+--MID(A833,8,1)*9+--MID(A833,9,1)*4+--MID(A833,10,1)*6+--MID(A833,11,1)*8, "")</f>
        <v/>
      </c>
    </row>
    <row r="834">
      <c r="A834">
        <f>SUBSTITUTE(SUBSTITUTE(SUBSTITUTE(SUBSTITUTE(TRIM(INDEX(Реестр!$B:$B,ROW())),CHAR(160),""),CHAR(9),""),CHAR(10),""),CHAR(13),"")</f>
        <v/>
      </c>
      <c r="B834">
        <f>SUBSTITUTE(SUBSTITUTE(SUBSTITUTE(SUBSTITUTE(SUBSTITUTE(SUBSTITUTE(SUBSTITUTE(TRIM(INDEX(Реестр!$D:$D, ROW())), "-", ""), " ", ""), CHAR(160), ""), CHAR(9), ""), CHAR(10), ""), CHAR(13), ""), CHAR(32), "")</f>
        <v/>
      </c>
      <c r="C834">
        <f>INDEX(Реестр!$H:$H, ROW())</f>
        <v/>
      </c>
      <c r="D834">
        <f>IF(OR(ISBLANK(INDEX(Реестр!$B:$B, ROW())), INDEX(Реестр!$B:$B, ROW())=""), " ", IF(IFERROR(ISNUMBER(--A834),FALSE), IF(LEN(A834)=10, IF(MOD(MOD(H834,11),10)=--RIGHT(A834,1), "OK", "ОШИБКА"), IF(LEN(A834)=12, IF(AND(MOD(MOD(H834,11),10)=--MID(A834,11,1), MOD(MOD(I834,11),10)=--RIGHT(A834,1)), "OK", "ОШИБКА"), "ДЛИНА (10 или 12)")), "НЕ ЦИФРЫ"))</f>
        <v/>
      </c>
      <c r="E834">
        <f>MID(B834,1,1)*9+MID(B834,2,1)*8+MID(B834,3,1)*7+MID(B834,4,1)*6+MID(B834,5,1)*5+MID(B834,6,1)*4+MID(B834,7,1)*3+MID(B834,8,1)*2+MID(B834,9,1)</f>
        <v/>
      </c>
      <c r="F834">
        <f>IF(B834="", " ", IF(LEN(B834)&lt;&gt;11, "ДЛИНА", IF(NOT(ISNUMBER(--B834)), "НЕ ЦИФРЫ", IF(LEFT(B834,9)*1&lt;=1001998, "OK", IF(RIGHT(B834,2)*1=IF(MOD(E834,101)&gt;=100,0,MOD(E834,101)),"OK","ОШИБКА")))))</f>
        <v/>
      </c>
      <c r="G8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4">
        <f>IF(LEN(TRIM(A834))=10, --MID(A834,1,1)*2+--MID(A834,2,1)*4+--MID(A834,3,1)*10+--MID(A834,4,1)*3+--MID(A834,5,1)*5+--MID(A834,6,1)*9+--MID(A834,7,1)*4+--MID(A834,8,1)*6+--MID(A834,9,1)*8, IF(LEN(TRIM(A834))=12, --MID(A834,1,1)*7+--MID(A834,2,1)*2+--MID(A834,3,1)*4+--MID(A834,4,1)*10+--MID(A834,5,1)*3+--MID(A834,6,1)*5+--MID(A834,7,1)*9+--MID(A834,8,1)*4+--MID(A834,9,1)*6+--MID(A834,10,1)*8, ""))</f>
        <v/>
      </c>
      <c r="I834">
        <f>IF(LEN(TRIM(A834))=12, --MID(A834,1,1)*3+--MID(A834,2,1)*7+--MID(A834,3,1)*2+--MID(A834,4,1)*4+--MID(A834,5,1)*10+--MID(A834,6,1)*3+--MID(A834,7,1)*5+--MID(A834,8,1)*9+--MID(A834,9,1)*4+--MID(A834,10,1)*6+--MID(A834,11,1)*8, "")</f>
        <v/>
      </c>
    </row>
    <row r="835">
      <c r="A835">
        <f>SUBSTITUTE(SUBSTITUTE(SUBSTITUTE(SUBSTITUTE(TRIM(INDEX(Реестр!$B:$B,ROW())),CHAR(160),""),CHAR(9),""),CHAR(10),""),CHAR(13),"")</f>
        <v/>
      </c>
      <c r="B835">
        <f>SUBSTITUTE(SUBSTITUTE(SUBSTITUTE(SUBSTITUTE(SUBSTITUTE(SUBSTITUTE(SUBSTITUTE(TRIM(INDEX(Реестр!$D:$D, ROW())), "-", ""), " ", ""), CHAR(160), ""), CHAR(9), ""), CHAR(10), ""), CHAR(13), ""), CHAR(32), "")</f>
        <v/>
      </c>
      <c r="C835">
        <f>INDEX(Реестр!$H:$H, ROW())</f>
        <v/>
      </c>
      <c r="D835">
        <f>IF(OR(ISBLANK(INDEX(Реестр!$B:$B, ROW())), INDEX(Реестр!$B:$B, ROW())=""), " ", IF(IFERROR(ISNUMBER(--A835),FALSE), IF(LEN(A835)=10, IF(MOD(MOD(H835,11),10)=--RIGHT(A835,1), "OK", "ОШИБКА"), IF(LEN(A835)=12, IF(AND(MOD(MOD(H835,11),10)=--MID(A835,11,1), MOD(MOD(I835,11),10)=--RIGHT(A835,1)), "OK", "ОШИБКА"), "ДЛИНА (10 или 12)")), "НЕ ЦИФРЫ"))</f>
        <v/>
      </c>
      <c r="E835">
        <f>MID(B835,1,1)*9+MID(B835,2,1)*8+MID(B835,3,1)*7+MID(B835,4,1)*6+MID(B835,5,1)*5+MID(B835,6,1)*4+MID(B835,7,1)*3+MID(B835,8,1)*2+MID(B835,9,1)</f>
        <v/>
      </c>
      <c r="F835">
        <f>IF(B835="", " ", IF(LEN(B835)&lt;&gt;11, "ДЛИНА", IF(NOT(ISNUMBER(--B835)), "НЕ ЦИФРЫ", IF(LEFT(B835,9)*1&lt;=1001998, "OK", IF(RIGHT(B835,2)*1=IF(MOD(E835,101)&gt;=100,0,MOD(E835,101)),"OK","ОШИБКА")))))</f>
        <v/>
      </c>
      <c r="G8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5">
        <f>IF(LEN(TRIM(A835))=10, --MID(A835,1,1)*2+--MID(A835,2,1)*4+--MID(A835,3,1)*10+--MID(A835,4,1)*3+--MID(A835,5,1)*5+--MID(A835,6,1)*9+--MID(A835,7,1)*4+--MID(A835,8,1)*6+--MID(A835,9,1)*8, IF(LEN(TRIM(A835))=12, --MID(A835,1,1)*7+--MID(A835,2,1)*2+--MID(A835,3,1)*4+--MID(A835,4,1)*10+--MID(A835,5,1)*3+--MID(A835,6,1)*5+--MID(A835,7,1)*9+--MID(A835,8,1)*4+--MID(A835,9,1)*6+--MID(A835,10,1)*8, ""))</f>
        <v/>
      </c>
      <c r="I835">
        <f>IF(LEN(TRIM(A835))=12, --MID(A835,1,1)*3+--MID(A835,2,1)*7+--MID(A835,3,1)*2+--MID(A835,4,1)*4+--MID(A835,5,1)*10+--MID(A835,6,1)*3+--MID(A835,7,1)*5+--MID(A835,8,1)*9+--MID(A835,9,1)*4+--MID(A835,10,1)*6+--MID(A835,11,1)*8, "")</f>
        <v/>
      </c>
    </row>
    <row r="836">
      <c r="A836">
        <f>SUBSTITUTE(SUBSTITUTE(SUBSTITUTE(SUBSTITUTE(TRIM(INDEX(Реестр!$B:$B,ROW())),CHAR(160),""),CHAR(9),""),CHAR(10),""),CHAR(13),"")</f>
        <v/>
      </c>
      <c r="B836">
        <f>SUBSTITUTE(SUBSTITUTE(SUBSTITUTE(SUBSTITUTE(SUBSTITUTE(SUBSTITUTE(SUBSTITUTE(TRIM(INDEX(Реестр!$D:$D, ROW())), "-", ""), " ", ""), CHAR(160), ""), CHAR(9), ""), CHAR(10), ""), CHAR(13), ""), CHAR(32), "")</f>
        <v/>
      </c>
      <c r="C836">
        <f>INDEX(Реестр!$H:$H, ROW())</f>
        <v/>
      </c>
      <c r="D836">
        <f>IF(OR(ISBLANK(INDEX(Реестр!$B:$B, ROW())), INDEX(Реестр!$B:$B, ROW())=""), " ", IF(IFERROR(ISNUMBER(--A836),FALSE), IF(LEN(A836)=10, IF(MOD(MOD(H836,11),10)=--RIGHT(A836,1), "OK", "ОШИБКА"), IF(LEN(A836)=12, IF(AND(MOD(MOD(H836,11),10)=--MID(A836,11,1), MOD(MOD(I836,11),10)=--RIGHT(A836,1)), "OK", "ОШИБКА"), "ДЛИНА (10 или 12)")), "НЕ ЦИФРЫ"))</f>
        <v/>
      </c>
      <c r="E836">
        <f>MID(B836,1,1)*9+MID(B836,2,1)*8+MID(B836,3,1)*7+MID(B836,4,1)*6+MID(B836,5,1)*5+MID(B836,6,1)*4+MID(B836,7,1)*3+MID(B836,8,1)*2+MID(B836,9,1)</f>
        <v/>
      </c>
      <c r="F836">
        <f>IF(B836="", " ", IF(LEN(B836)&lt;&gt;11, "ДЛИНА", IF(NOT(ISNUMBER(--B836)), "НЕ ЦИФРЫ", IF(LEFT(B836,9)*1&lt;=1001998, "OK", IF(RIGHT(B836,2)*1=IF(MOD(E836,101)&gt;=100,0,MOD(E836,101)),"OK","ОШИБКА")))))</f>
        <v/>
      </c>
      <c r="G8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6">
        <f>IF(LEN(TRIM(A836))=10, --MID(A836,1,1)*2+--MID(A836,2,1)*4+--MID(A836,3,1)*10+--MID(A836,4,1)*3+--MID(A836,5,1)*5+--MID(A836,6,1)*9+--MID(A836,7,1)*4+--MID(A836,8,1)*6+--MID(A836,9,1)*8, IF(LEN(TRIM(A836))=12, --MID(A836,1,1)*7+--MID(A836,2,1)*2+--MID(A836,3,1)*4+--MID(A836,4,1)*10+--MID(A836,5,1)*3+--MID(A836,6,1)*5+--MID(A836,7,1)*9+--MID(A836,8,1)*4+--MID(A836,9,1)*6+--MID(A836,10,1)*8, ""))</f>
        <v/>
      </c>
      <c r="I836">
        <f>IF(LEN(TRIM(A836))=12, --MID(A836,1,1)*3+--MID(A836,2,1)*7+--MID(A836,3,1)*2+--MID(A836,4,1)*4+--MID(A836,5,1)*10+--MID(A836,6,1)*3+--MID(A836,7,1)*5+--MID(A836,8,1)*9+--MID(A836,9,1)*4+--MID(A836,10,1)*6+--MID(A836,11,1)*8, "")</f>
        <v/>
      </c>
    </row>
    <row r="837">
      <c r="A837">
        <f>SUBSTITUTE(SUBSTITUTE(SUBSTITUTE(SUBSTITUTE(TRIM(INDEX(Реестр!$B:$B,ROW())),CHAR(160),""),CHAR(9),""),CHAR(10),""),CHAR(13),"")</f>
        <v/>
      </c>
      <c r="B837">
        <f>SUBSTITUTE(SUBSTITUTE(SUBSTITUTE(SUBSTITUTE(SUBSTITUTE(SUBSTITUTE(SUBSTITUTE(TRIM(INDEX(Реестр!$D:$D, ROW())), "-", ""), " ", ""), CHAR(160), ""), CHAR(9), ""), CHAR(10), ""), CHAR(13), ""), CHAR(32), "")</f>
        <v/>
      </c>
      <c r="C837">
        <f>INDEX(Реестр!$H:$H, ROW())</f>
        <v/>
      </c>
      <c r="D837">
        <f>IF(OR(ISBLANK(INDEX(Реестр!$B:$B, ROW())), INDEX(Реестр!$B:$B, ROW())=""), " ", IF(IFERROR(ISNUMBER(--A837),FALSE), IF(LEN(A837)=10, IF(MOD(MOD(H837,11),10)=--RIGHT(A837,1), "OK", "ОШИБКА"), IF(LEN(A837)=12, IF(AND(MOD(MOD(H837,11),10)=--MID(A837,11,1), MOD(MOD(I837,11),10)=--RIGHT(A837,1)), "OK", "ОШИБКА"), "ДЛИНА (10 или 12)")), "НЕ ЦИФРЫ"))</f>
        <v/>
      </c>
      <c r="E837">
        <f>MID(B837,1,1)*9+MID(B837,2,1)*8+MID(B837,3,1)*7+MID(B837,4,1)*6+MID(B837,5,1)*5+MID(B837,6,1)*4+MID(B837,7,1)*3+MID(B837,8,1)*2+MID(B837,9,1)</f>
        <v/>
      </c>
      <c r="F837">
        <f>IF(B837="", " ", IF(LEN(B837)&lt;&gt;11, "ДЛИНА", IF(NOT(ISNUMBER(--B837)), "НЕ ЦИФРЫ", IF(LEFT(B837,9)*1&lt;=1001998, "OK", IF(RIGHT(B837,2)*1=IF(MOD(E837,101)&gt;=100,0,MOD(E837,101)),"OK","ОШИБКА")))))</f>
        <v/>
      </c>
      <c r="G8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7">
        <f>IF(LEN(TRIM(A837))=10, --MID(A837,1,1)*2+--MID(A837,2,1)*4+--MID(A837,3,1)*10+--MID(A837,4,1)*3+--MID(A837,5,1)*5+--MID(A837,6,1)*9+--MID(A837,7,1)*4+--MID(A837,8,1)*6+--MID(A837,9,1)*8, IF(LEN(TRIM(A837))=12, --MID(A837,1,1)*7+--MID(A837,2,1)*2+--MID(A837,3,1)*4+--MID(A837,4,1)*10+--MID(A837,5,1)*3+--MID(A837,6,1)*5+--MID(A837,7,1)*9+--MID(A837,8,1)*4+--MID(A837,9,1)*6+--MID(A837,10,1)*8, ""))</f>
        <v/>
      </c>
      <c r="I837">
        <f>IF(LEN(TRIM(A837))=12, --MID(A837,1,1)*3+--MID(A837,2,1)*7+--MID(A837,3,1)*2+--MID(A837,4,1)*4+--MID(A837,5,1)*10+--MID(A837,6,1)*3+--MID(A837,7,1)*5+--MID(A837,8,1)*9+--MID(A837,9,1)*4+--MID(A837,10,1)*6+--MID(A837,11,1)*8, "")</f>
        <v/>
      </c>
    </row>
    <row r="838">
      <c r="A838">
        <f>SUBSTITUTE(SUBSTITUTE(SUBSTITUTE(SUBSTITUTE(TRIM(INDEX(Реестр!$B:$B,ROW())),CHAR(160),""),CHAR(9),""),CHAR(10),""),CHAR(13),"")</f>
        <v/>
      </c>
      <c r="B838">
        <f>SUBSTITUTE(SUBSTITUTE(SUBSTITUTE(SUBSTITUTE(SUBSTITUTE(SUBSTITUTE(SUBSTITUTE(TRIM(INDEX(Реестр!$D:$D, ROW())), "-", ""), " ", ""), CHAR(160), ""), CHAR(9), ""), CHAR(10), ""), CHAR(13), ""), CHAR(32), "")</f>
        <v/>
      </c>
      <c r="C838">
        <f>INDEX(Реестр!$H:$H, ROW())</f>
        <v/>
      </c>
      <c r="D838">
        <f>IF(OR(ISBLANK(INDEX(Реестр!$B:$B, ROW())), INDEX(Реестр!$B:$B, ROW())=""), " ", IF(IFERROR(ISNUMBER(--A838),FALSE), IF(LEN(A838)=10, IF(MOD(MOD(H838,11),10)=--RIGHT(A838,1), "OK", "ОШИБКА"), IF(LEN(A838)=12, IF(AND(MOD(MOD(H838,11),10)=--MID(A838,11,1), MOD(MOD(I838,11),10)=--RIGHT(A838,1)), "OK", "ОШИБКА"), "ДЛИНА (10 или 12)")), "НЕ ЦИФРЫ"))</f>
        <v/>
      </c>
      <c r="E838">
        <f>MID(B838,1,1)*9+MID(B838,2,1)*8+MID(B838,3,1)*7+MID(B838,4,1)*6+MID(B838,5,1)*5+MID(B838,6,1)*4+MID(B838,7,1)*3+MID(B838,8,1)*2+MID(B838,9,1)</f>
        <v/>
      </c>
      <c r="F838">
        <f>IF(B838="", " ", IF(LEN(B838)&lt;&gt;11, "ДЛИНА", IF(NOT(ISNUMBER(--B838)), "НЕ ЦИФРЫ", IF(LEFT(B838,9)*1&lt;=1001998, "OK", IF(RIGHT(B838,2)*1=IF(MOD(E838,101)&gt;=100,0,MOD(E838,101)),"OK","ОШИБКА")))))</f>
        <v/>
      </c>
      <c r="G8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8">
        <f>IF(LEN(TRIM(A838))=10, --MID(A838,1,1)*2+--MID(A838,2,1)*4+--MID(A838,3,1)*10+--MID(A838,4,1)*3+--MID(A838,5,1)*5+--MID(A838,6,1)*9+--MID(A838,7,1)*4+--MID(A838,8,1)*6+--MID(A838,9,1)*8, IF(LEN(TRIM(A838))=12, --MID(A838,1,1)*7+--MID(A838,2,1)*2+--MID(A838,3,1)*4+--MID(A838,4,1)*10+--MID(A838,5,1)*3+--MID(A838,6,1)*5+--MID(A838,7,1)*9+--MID(A838,8,1)*4+--MID(A838,9,1)*6+--MID(A838,10,1)*8, ""))</f>
        <v/>
      </c>
      <c r="I838">
        <f>IF(LEN(TRIM(A838))=12, --MID(A838,1,1)*3+--MID(A838,2,1)*7+--MID(A838,3,1)*2+--MID(A838,4,1)*4+--MID(A838,5,1)*10+--MID(A838,6,1)*3+--MID(A838,7,1)*5+--MID(A838,8,1)*9+--MID(A838,9,1)*4+--MID(A838,10,1)*6+--MID(A838,11,1)*8, "")</f>
        <v/>
      </c>
    </row>
    <row r="839">
      <c r="A839">
        <f>SUBSTITUTE(SUBSTITUTE(SUBSTITUTE(SUBSTITUTE(TRIM(INDEX(Реестр!$B:$B,ROW())),CHAR(160),""),CHAR(9),""),CHAR(10),""),CHAR(13),"")</f>
        <v/>
      </c>
      <c r="B839">
        <f>SUBSTITUTE(SUBSTITUTE(SUBSTITUTE(SUBSTITUTE(SUBSTITUTE(SUBSTITUTE(SUBSTITUTE(TRIM(INDEX(Реестр!$D:$D, ROW())), "-", ""), " ", ""), CHAR(160), ""), CHAR(9), ""), CHAR(10), ""), CHAR(13), ""), CHAR(32), "")</f>
        <v/>
      </c>
      <c r="C839">
        <f>INDEX(Реестр!$H:$H, ROW())</f>
        <v/>
      </c>
      <c r="D839">
        <f>IF(OR(ISBLANK(INDEX(Реестр!$B:$B, ROW())), INDEX(Реестр!$B:$B, ROW())=""), " ", IF(IFERROR(ISNUMBER(--A839),FALSE), IF(LEN(A839)=10, IF(MOD(MOD(H839,11),10)=--RIGHT(A839,1), "OK", "ОШИБКА"), IF(LEN(A839)=12, IF(AND(MOD(MOD(H839,11),10)=--MID(A839,11,1), MOD(MOD(I839,11),10)=--RIGHT(A839,1)), "OK", "ОШИБКА"), "ДЛИНА (10 или 12)")), "НЕ ЦИФРЫ"))</f>
        <v/>
      </c>
      <c r="E839">
        <f>MID(B839,1,1)*9+MID(B839,2,1)*8+MID(B839,3,1)*7+MID(B839,4,1)*6+MID(B839,5,1)*5+MID(B839,6,1)*4+MID(B839,7,1)*3+MID(B839,8,1)*2+MID(B839,9,1)</f>
        <v/>
      </c>
      <c r="F839">
        <f>IF(B839="", " ", IF(LEN(B839)&lt;&gt;11, "ДЛИНА", IF(NOT(ISNUMBER(--B839)), "НЕ ЦИФРЫ", IF(LEFT(B839,9)*1&lt;=1001998, "OK", IF(RIGHT(B839,2)*1=IF(MOD(E839,101)&gt;=100,0,MOD(E839,101)),"OK","ОШИБКА")))))</f>
        <v/>
      </c>
      <c r="G8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39">
        <f>IF(LEN(TRIM(A839))=10, --MID(A839,1,1)*2+--MID(A839,2,1)*4+--MID(A839,3,1)*10+--MID(A839,4,1)*3+--MID(A839,5,1)*5+--MID(A839,6,1)*9+--MID(A839,7,1)*4+--MID(A839,8,1)*6+--MID(A839,9,1)*8, IF(LEN(TRIM(A839))=12, --MID(A839,1,1)*7+--MID(A839,2,1)*2+--MID(A839,3,1)*4+--MID(A839,4,1)*10+--MID(A839,5,1)*3+--MID(A839,6,1)*5+--MID(A839,7,1)*9+--MID(A839,8,1)*4+--MID(A839,9,1)*6+--MID(A839,10,1)*8, ""))</f>
        <v/>
      </c>
      <c r="I839">
        <f>IF(LEN(TRIM(A839))=12, --MID(A839,1,1)*3+--MID(A839,2,1)*7+--MID(A839,3,1)*2+--MID(A839,4,1)*4+--MID(A839,5,1)*10+--MID(A839,6,1)*3+--MID(A839,7,1)*5+--MID(A839,8,1)*9+--MID(A839,9,1)*4+--MID(A839,10,1)*6+--MID(A839,11,1)*8, "")</f>
        <v/>
      </c>
    </row>
    <row r="840">
      <c r="A840">
        <f>SUBSTITUTE(SUBSTITUTE(SUBSTITUTE(SUBSTITUTE(TRIM(INDEX(Реестр!$B:$B,ROW())),CHAR(160),""),CHAR(9),""),CHAR(10),""),CHAR(13),"")</f>
        <v/>
      </c>
      <c r="B840">
        <f>SUBSTITUTE(SUBSTITUTE(SUBSTITUTE(SUBSTITUTE(SUBSTITUTE(SUBSTITUTE(SUBSTITUTE(TRIM(INDEX(Реестр!$D:$D, ROW())), "-", ""), " ", ""), CHAR(160), ""), CHAR(9), ""), CHAR(10), ""), CHAR(13), ""), CHAR(32), "")</f>
        <v/>
      </c>
      <c r="C840">
        <f>INDEX(Реестр!$H:$H, ROW())</f>
        <v/>
      </c>
      <c r="D840">
        <f>IF(OR(ISBLANK(INDEX(Реестр!$B:$B, ROW())), INDEX(Реестр!$B:$B, ROW())=""), " ", IF(IFERROR(ISNUMBER(--A840),FALSE), IF(LEN(A840)=10, IF(MOD(MOD(H840,11),10)=--RIGHT(A840,1), "OK", "ОШИБКА"), IF(LEN(A840)=12, IF(AND(MOD(MOD(H840,11),10)=--MID(A840,11,1), MOD(MOD(I840,11),10)=--RIGHT(A840,1)), "OK", "ОШИБКА"), "ДЛИНА (10 или 12)")), "НЕ ЦИФРЫ"))</f>
        <v/>
      </c>
      <c r="E840">
        <f>MID(B840,1,1)*9+MID(B840,2,1)*8+MID(B840,3,1)*7+MID(B840,4,1)*6+MID(B840,5,1)*5+MID(B840,6,1)*4+MID(B840,7,1)*3+MID(B840,8,1)*2+MID(B840,9,1)</f>
        <v/>
      </c>
      <c r="F840">
        <f>IF(B840="", " ", IF(LEN(B840)&lt;&gt;11, "ДЛИНА", IF(NOT(ISNUMBER(--B840)), "НЕ ЦИФРЫ", IF(LEFT(B840,9)*1&lt;=1001998, "OK", IF(RIGHT(B840,2)*1=IF(MOD(E840,101)&gt;=100,0,MOD(E840,101)),"OK","ОШИБКА")))))</f>
        <v/>
      </c>
      <c r="G8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0">
        <f>IF(LEN(TRIM(A840))=10, --MID(A840,1,1)*2+--MID(A840,2,1)*4+--MID(A840,3,1)*10+--MID(A840,4,1)*3+--MID(A840,5,1)*5+--MID(A840,6,1)*9+--MID(A840,7,1)*4+--MID(A840,8,1)*6+--MID(A840,9,1)*8, IF(LEN(TRIM(A840))=12, --MID(A840,1,1)*7+--MID(A840,2,1)*2+--MID(A840,3,1)*4+--MID(A840,4,1)*10+--MID(A840,5,1)*3+--MID(A840,6,1)*5+--MID(A840,7,1)*9+--MID(A840,8,1)*4+--MID(A840,9,1)*6+--MID(A840,10,1)*8, ""))</f>
        <v/>
      </c>
      <c r="I840">
        <f>IF(LEN(TRIM(A840))=12, --MID(A840,1,1)*3+--MID(A840,2,1)*7+--MID(A840,3,1)*2+--MID(A840,4,1)*4+--MID(A840,5,1)*10+--MID(A840,6,1)*3+--MID(A840,7,1)*5+--MID(A840,8,1)*9+--MID(A840,9,1)*4+--MID(A840,10,1)*6+--MID(A840,11,1)*8, "")</f>
        <v/>
      </c>
    </row>
    <row r="841">
      <c r="A841">
        <f>SUBSTITUTE(SUBSTITUTE(SUBSTITUTE(SUBSTITUTE(TRIM(INDEX(Реестр!$B:$B,ROW())),CHAR(160),""),CHAR(9),""),CHAR(10),""),CHAR(13),"")</f>
        <v/>
      </c>
      <c r="B841">
        <f>SUBSTITUTE(SUBSTITUTE(SUBSTITUTE(SUBSTITUTE(SUBSTITUTE(SUBSTITUTE(SUBSTITUTE(TRIM(INDEX(Реестр!$D:$D, ROW())), "-", ""), " ", ""), CHAR(160), ""), CHAR(9), ""), CHAR(10), ""), CHAR(13), ""), CHAR(32), "")</f>
        <v/>
      </c>
      <c r="C841">
        <f>INDEX(Реестр!$H:$H, ROW())</f>
        <v/>
      </c>
      <c r="D841">
        <f>IF(OR(ISBLANK(INDEX(Реестр!$B:$B, ROW())), INDEX(Реестр!$B:$B, ROW())=""), " ", IF(IFERROR(ISNUMBER(--A841),FALSE), IF(LEN(A841)=10, IF(MOD(MOD(H841,11),10)=--RIGHT(A841,1), "OK", "ОШИБКА"), IF(LEN(A841)=12, IF(AND(MOD(MOD(H841,11),10)=--MID(A841,11,1), MOD(MOD(I841,11),10)=--RIGHT(A841,1)), "OK", "ОШИБКА"), "ДЛИНА (10 или 12)")), "НЕ ЦИФРЫ"))</f>
        <v/>
      </c>
      <c r="E841">
        <f>MID(B841,1,1)*9+MID(B841,2,1)*8+MID(B841,3,1)*7+MID(B841,4,1)*6+MID(B841,5,1)*5+MID(B841,6,1)*4+MID(B841,7,1)*3+MID(B841,8,1)*2+MID(B841,9,1)</f>
        <v/>
      </c>
      <c r="F841">
        <f>IF(B841="", " ", IF(LEN(B841)&lt;&gt;11, "ДЛИНА", IF(NOT(ISNUMBER(--B841)), "НЕ ЦИФРЫ", IF(LEFT(B841,9)*1&lt;=1001998, "OK", IF(RIGHT(B841,2)*1=IF(MOD(E841,101)&gt;=100,0,MOD(E841,101)),"OK","ОШИБКА")))))</f>
        <v/>
      </c>
      <c r="G8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1">
        <f>IF(LEN(TRIM(A841))=10, --MID(A841,1,1)*2+--MID(A841,2,1)*4+--MID(A841,3,1)*10+--MID(A841,4,1)*3+--MID(A841,5,1)*5+--MID(A841,6,1)*9+--MID(A841,7,1)*4+--MID(A841,8,1)*6+--MID(A841,9,1)*8, IF(LEN(TRIM(A841))=12, --MID(A841,1,1)*7+--MID(A841,2,1)*2+--MID(A841,3,1)*4+--MID(A841,4,1)*10+--MID(A841,5,1)*3+--MID(A841,6,1)*5+--MID(A841,7,1)*9+--MID(A841,8,1)*4+--MID(A841,9,1)*6+--MID(A841,10,1)*8, ""))</f>
        <v/>
      </c>
      <c r="I841">
        <f>IF(LEN(TRIM(A841))=12, --MID(A841,1,1)*3+--MID(A841,2,1)*7+--MID(A841,3,1)*2+--MID(A841,4,1)*4+--MID(A841,5,1)*10+--MID(A841,6,1)*3+--MID(A841,7,1)*5+--MID(A841,8,1)*9+--MID(A841,9,1)*4+--MID(A841,10,1)*6+--MID(A841,11,1)*8, "")</f>
        <v/>
      </c>
    </row>
    <row r="842">
      <c r="A842">
        <f>SUBSTITUTE(SUBSTITUTE(SUBSTITUTE(SUBSTITUTE(TRIM(INDEX(Реестр!$B:$B,ROW())),CHAR(160),""),CHAR(9),""),CHAR(10),""),CHAR(13),"")</f>
        <v/>
      </c>
      <c r="B842">
        <f>SUBSTITUTE(SUBSTITUTE(SUBSTITUTE(SUBSTITUTE(SUBSTITUTE(SUBSTITUTE(SUBSTITUTE(TRIM(INDEX(Реестр!$D:$D, ROW())), "-", ""), " ", ""), CHAR(160), ""), CHAR(9), ""), CHAR(10), ""), CHAR(13), ""), CHAR(32), "")</f>
        <v/>
      </c>
      <c r="C842">
        <f>INDEX(Реестр!$H:$H, ROW())</f>
        <v/>
      </c>
      <c r="D842">
        <f>IF(OR(ISBLANK(INDEX(Реестр!$B:$B, ROW())), INDEX(Реестр!$B:$B, ROW())=""), " ", IF(IFERROR(ISNUMBER(--A842),FALSE), IF(LEN(A842)=10, IF(MOD(MOD(H842,11),10)=--RIGHT(A842,1), "OK", "ОШИБКА"), IF(LEN(A842)=12, IF(AND(MOD(MOD(H842,11),10)=--MID(A842,11,1), MOD(MOD(I842,11),10)=--RIGHT(A842,1)), "OK", "ОШИБКА"), "ДЛИНА (10 или 12)")), "НЕ ЦИФРЫ"))</f>
        <v/>
      </c>
      <c r="E842">
        <f>MID(B842,1,1)*9+MID(B842,2,1)*8+MID(B842,3,1)*7+MID(B842,4,1)*6+MID(B842,5,1)*5+MID(B842,6,1)*4+MID(B842,7,1)*3+MID(B842,8,1)*2+MID(B842,9,1)</f>
        <v/>
      </c>
      <c r="F842">
        <f>IF(B842="", " ", IF(LEN(B842)&lt;&gt;11, "ДЛИНА", IF(NOT(ISNUMBER(--B842)), "НЕ ЦИФРЫ", IF(LEFT(B842,9)*1&lt;=1001998, "OK", IF(RIGHT(B842,2)*1=IF(MOD(E842,101)&gt;=100,0,MOD(E842,101)),"OK","ОШИБКА")))))</f>
        <v/>
      </c>
      <c r="G8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2">
        <f>IF(LEN(TRIM(A842))=10, --MID(A842,1,1)*2+--MID(A842,2,1)*4+--MID(A842,3,1)*10+--MID(A842,4,1)*3+--MID(A842,5,1)*5+--MID(A842,6,1)*9+--MID(A842,7,1)*4+--MID(A842,8,1)*6+--MID(A842,9,1)*8, IF(LEN(TRIM(A842))=12, --MID(A842,1,1)*7+--MID(A842,2,1)*2+--MID(A842,3,1)*4+--MID(A842,4,1)*10+--MID(A842,5,1)*3+--MID(A842,6,1)*5+--MID(A842,7,1)*9+--MID(A842,8,1)*4+--MID(A842,9,1)*6+--MID(A842,10,1)*8, ""))</f>
        <v/>
      </c>
      <c r="I842">
        <f>IF(LEN(TRIM(A842))=12, --MID(A842,1,1)*3+--MID(A842,2,1)*7+--MID(A842,3,1)*2+--MID(A842,4,1)*4+--MID(A842,5,1)*10+--MID(A842,6,1)*3+--MID(A842,7,1)*5+--MID(A842,8,1)*9+--MID(A842,9,1)*4+--MID(A842,10,1)*6+--MID(A842,11,1)*8, "")</f>
        <v/>
      </c>
    </row>
    <row r="843">
      <c r="A843">
        <f>SUBSTITUTE(SUBSTITUTE(SUBSTITUTE(SUBSTITUTE(TRIM(INDEX(Реестр!$B:$B,ROW())),CHAR(160),""),CHAR(9),""),CHAR(10),""),CHAR(13),"")</f>
        <v/>
      </c>
      <c r="B843">
        <f>SUBSTITUTE(SUBSTITUTE(SUBSTITUTE(SUBSTITUTE(SUBSTITUTE(SUBSTITUTE(SUBSTITUTE(TRIM(INDEX(Реестр!$D:$D, ROW())), "-", ""), " ", ""), CHAR(160), ""), CHAR(9), ""), CHAR(10), ""), CHAR(13), ""), CHAR(32), "")</f>
        <v/>
      </c>
      <c r="C843">
        <f>INDEX(Реестр!$H:$H, ROW())</f>
        <v/>
      </c>
      <c r="D843">
        <f>IF(OR(ISBLANK(INDEX(Реестр!$B:$B, ROW())), INDEX(Реестр!$B:$B, ROW())=""), " ", IF(IFERROR(ISNUMBER(--A843),FALSE), IF(LEN(A843)=10, IF(MOD(MOD(H843,11),10)=--RIGHT(A843,1), "OK", "ОШИБКА"), IF(LEN(A843)=12, IF(AND(MOD(MOD(H843,11),10)=--MID(A843,11,1), MOD(MOD(I843,11),10)=--RIGHT(A843,1)), "OK", "ОШИБКА"), "ДЛИНА (10 или 12)")), "НЕ ЦИФРЫ"))</f>
        <v/>
      </c>
      <c r="E843">
        <f>MID(B843,1,1)*9+MID(B843,2,1)*8+MID(B843,3,1)*7+MID(B843,4,1)*6+MID(B843,5,1)*5+MID(B843,6,1)*4+MID(B843,7,1)*3+MID(B843,8,1)*2+MID(B843,9,1)</f>
        <v/>
      </c>
      <c r="F843">
        <f>IF(B843="", " ", IF(LEN(B843)&lt;&gt;11, "ДЛИНА", IF(NOT(ISNUMBER(--B843)), "НЕ ЦИФРЫ", IF(LEFT(B843,9)*1&lt;=1001998, "OK", IF(RIGHT(B843,2)*1=IF(MOD(E843,101)&gt;=100,0,MOD(E843,101)),"OK","ОШИБКА")))))</f>
        <v/>
      </c>
      <c r="G8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3">
        <f>IF(LEN(TRIM(A843))=10, --MID(A843,1,1)*2+--MID(A843,2,1)*4+--MID(A843,3,1)*10+--MID(A843,4,1)*3+--MID(A843,5,1)*5+--MID(A843,6,1)*9+--MID(A843,7,1)*4+--MID(A843,8,1)*6+--MID(A843,9,1)*8, IF(LEN(TRIM(A843))=12, --MID(A843,1,1)*7+--MID(A843,2,1)*2+--MID(A843,3,1)*4+--MID(A843,4,1)*10+--MID(A843,5,1)*3+--MID(A843,6,1)*5+--MID(A843,7,1)*9+--MID(A843,8,1)*4+--MID(A843,9,1)*6+--MID(A843,10,1)*8, ""))</f>
        <v/>
      </c>
      <c r="I843">
        <f>IF(LEN(TRIM(A843))=12, --MID(A843,1,1)*3+--MID(A843,2,1)*7+--MID(A843,3,1)*2+--MID(A843,4,1)*4+--MID(A843,5,1)*10+--MID(A843,6,1)*3+--MID(A843,7,1)*5+--MID(A843,8,1)*9+--MID(A843,9,1)*4+--MID(A843,10,1)*6+--MID(A843,11,1)*8, "")</f>
        <v/>
      </c>
    </row>
    <row r="844">
      <c r="A844">
        <f>SUBSTITUTE(SUBSTITUTE(SUBSTITUTE(SUBSTITUTE(TRIM(INDEX(Реестр!$B:$B,ROW())),CHAR(160),""),CHAR(9),""),CHAR(10),""),CHAR(13),"")</f>
        <v/>
      </c>
      <c r="B844">
        <f>SUBSTITUTE(SUBSTITUTE(SUBSTITUTE(SUBSTITUTE(SUBSTITUTE(SUBSTITUTE(SUBSTITUTE(TRIM(INDEX(Реестр!$D:$D, ROW())), "-", ""), " ", ""), CHAR(160), ""), CHAR(9), ""), CHAR(10), ""), CHAR(13), ""), CHAR(32), "")</f>
        <v/>
      </c>
      <c r="C844">
        <f>INDEX(Реестр!$H:$H, ROW())</f>
        <v/>
      </c>
      <c r="D844">
        <f>IF(OR(ISBLANK(INDEX(Реестр!$B:$B, ROW())), INDEX(Реестр!$B:$B, ROW())=""), " ", IF(IFERROR(ISNUMBER(--A844),FALSE), IF(LEN(A844)=10, IF(MOD(MOD(H844,11),10)=--RIGHT(A844,1), "OK", "ОШИБКА"), IF(LEN(A844)=12, IF(AND(MOD(MOD(H844,11),10)=--MID(A844,11,1), MOD(MOD(I844,11),10)=--RIGHT(A844,1)), "OK", "ОШИБКА"), "ДЛИНА (10 или 12)")), "НЕ ЦИФРЫ"))</f>
        <v/>
      </c>
      <c r="E844">
        <f>MID(B844,1,1)*9+MID(B844,2,1)*8+MID(B844,3,1)*7+MID(B844,4,1)*6+MID(B844,5,1)*5+MID(B844,6,1)*4+MID(B844,7,1)*3+MID(B844,8,1)*2+MID(B844,9,1)</f>
        <v/>
      </c>
      <c r="F844">
        <f>IF(B844="", " ", IF(LEN(B844)&lt;&gt;11, "ДЛИНА", IF(NOT(ISNUMBER(--B844)), "НЕ ЦИФРЫ", IF(LEFT(B844,9)*1&lt;=1001998, "OK", IF(RIGHT(B844,2)*1=IF(MOD(E844,101)&gt;=100,0,MOD(E844,101)),"OK","ОШИБКА")))))</f>
        <v/>
      </c>
      <c r="G8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4">
        <f>IF(LEN(TRIM(A844))=10, --MID(A844,1,1)*2+--MID(A844,2,1)*4+--MID(A844,3,1)*10+--MID(A844,4,1)*3+--MID(A844,5,1)*5+--MID(A844,6,1)*9+--MID(A844,7,1)*4+--MID(A844,8,1)*6+--MID(A844,9,1)*8, IF(LEN(TRIM(A844))=12, --MID(A844,1,1)*7+--MID(A844,2,1)*2+--MID(A844,3,1)*4+--MID(A844,4,1)*10+--MID(A844,5,1)*3+--MID(A844,6,1)*5+--MID(A844,7,1)*9+--MID(A844,8,1)*4+--MID(A844,9,1)*6+--MID(A844,10,1)*8, ""))</f>
        <v/>
      </c>
      <c r="I844">
        <f>IF(LEN(TRIM(A844))=12, --MID(A844,1,1)*3+--MID(A844,2,1)*7+--MID(A844,3,1)*2+--MID(A844,4,1)*4+--MID(A844,5,1)*10+--MID(A844,6,1)*3+--MID(A844,7,1)*5+--MID(A844,8,1)*9+--MID(A844,9,1)*4+--MID(A844,10,1)*6+--MID(A844,11,1)*8, "")</f>
        <v/>
      </c>
    </row>
    <row r="845">
      <c r="A845">
        <f>SUBSTITUTE(SUBSTITUTE(SUBSTITUTE(SUBSTITUTE(TRIM(INDEX(Реестр!$B:$B,ROW())),CHAR(160),""),CHAR(9),""),CHAR(10),""),CHAR(13),"")</f>
        <v/>
      </c>
      <c r="B845">
        <f>SUBSTITUTE(SUBSTITUTE(SUBSTITUTE(SUBSTITUTE(SUBSTITUTE(SUBSTITUTE(SUBSTITUTE(TRIM(INDEX(Реестр!$D:$D, ROW())), "-", ""), " ", ""), CHAR(160), ""), CHAR(9), ""), CHAR(10), ""), CHAR(13), ""), CHAR(32), "")</f>
        <v/>
      </c>
      <c r="C845">
        <f>INDEX(Реестр!$H:$H, ROW())</f>
        <v/>
      </c>
      <c r="D845">
        <f>IF(OR(ISBLANK(INDEX(Реестр!$B:$B, ROW())), INDEX(Реестр!$B:$B, ROW())=""), " ", IF(IFERROR(ISNUMBER(--A845),FALSE), IF(LEN(A845)=10, IF(MOD(MOD(H845,11),10)=--RIGHT(A845,1), "OK", "ОШИБКА"), IF(LEN(A845)=12, IF(AND(MOD(MOD(H845,11),10)=--MID(A845,11,1), MOD(MOD(I845,11),10)=--RIGHT(A845,1)), "OK", "ОШИБКА"), "ДЛИНА (10 или 12)")), "НЕ ЦИФРЫ"))</f>
        <v/>
      </c>
      <c r="E845">
        <f>MID(B845,1,1)*9+MID(B845,2,1)*8+MID(B845,3,1)*7+MID(B845,4,1)*6+MID(B845,5,1)*5+MID(B845,6,1)*4+MID(B845,7,1)*3+MID(B845,8,1)*2+MID(B845,9,1)</f>
        <v/>
      </c>
      <c r="F845">
        <f>IF(B845="", " ", IF(LEN(B845)&lt;&gt;11, "ДЛИНА", IF(NOT(ISNUMBER(--B845)), "НЕ ЦИФРЫ", IF(LEFT(B845,9)*1&lt;=1001998, "OK", IF(RIGHT(B845,2)*1=IF(MOD(E845,101)&gt;=100,0,MOD(E845,101)),"OK","ОШИБКА")))))</f>
        <v/>
      </c>
      <c r="G8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5">
        <f>IF(LEN(TRIM(A845))=10, --MID(A845,1,1)*2+--MID(A845,2,1)*4+--MID(A845,3,1)*10+--MID(A845,4,1)*3+--MID(A845,5,1)*5+--MID(A845,6,1)*9+--MID(A845,7,1)*4+--MID(A845,8,1)*6+--MID(A845,9,1)*8, IF(LEN(TRIM(A845))=12, --MID(A845,1,1)*7+--MID(A845,2,1)*2+--MID(A845,3,1)*4+--MID(A845,4,1)*10+--MID(A845,5,1)*3+--MID(A845,6,1)*5+--MID(A845,7,1)*9+--MID(A845,8,1)*4+--MID(A845,9,1)*6+--MID(A845,10,1)*8, ""))</f>
        <v/>
      </c>
      <c r="I845">
        <f>IF(LEN(TRIM(A845))=12, --MID(A845,1,1)*3+--MID(A845,2,1)*7+--MID(A845,3,1)*2+--MID(A845,4,1)*4+--MID(A845,5,1)*10+--MID(A845,6,1)*3+--MID(A845,7,1)*5+--MID(A845,8,1)*9+--MID(A845,9,1)*4+--MID(A845,10,1)*6+--MID(A845,11,1)*8, "")</f>
        <v/>
      </c>
    </row>
    <row r="846">
      <c r="A846">
        <f>SUBSTITUTE(SUBSTITUTE(SUBSTITUTE(SUBSTITUTE(TRIM(INDEX(Реестр!$B:$B,ROW())),CHAR(160),""),CHAR(9),""),CHAR(10),""),CHAR(13),"")</f>
        <v/>
      </c>
      <c r="B846">
        <f>SUBSTITUTE(SUBSTITUTE(SUBSTITUTE(SUBSTITUTE(SUBSTITUTE(SUBSTITUTE(SUBSTITUTE(TRIM(INDEX(Реестр!$D:$D, ROW())), "-", ""), " ", ""), CHAR(160), ""), CHAR(9), ""), CHAR(10), ""), CHAR(13), ""), CHAR(32), "")</f>
        <v/>
      </c>
      <c r="C846">
        <f>INDEX(Реестр!$H:$H, ROW())</f>
        <v/>
      </c>
      <c r="D846">
        <f>IF(OR(ISBLANK(INDEX(Реестр!$B:$B, ROW())), INDEX(Реестр!$B:$B, ROW())=""), " ", IF(IFERROR(ISNUMBER(--A846),FALSE), IF(LEN(A846)=10, IF(MOD(MOD(H846,11),10)=--RIGHT(A846,1), "OK", "ОШИБКА"), IF(LEN(A846)=12, IF(AND(MOD(MOD(H846,11),10)=--MID(A846,11,1), MOD(MOD(I846,11),10)=--RIGHT(A846,1)), "OK", "ОШИБКА"), "ДЛИНА (10 или 12)")), "НЕ ЦИФРЫ"))</f>
        <v/>
      </c>
      <c r="E846">
        <f>MID(B846,1,1)*9+MID(B846,2,1)*8+MID(B846,3,1)*7+MID(B846,4,1)*6+MID(B846,5,1)*5+MID(B846,6,1)*4+MID(B846,7,1)*3+MID(B846,8,1)*2+MID(B846,9,1)</f>
        <v/>
      </c>
      <c r="F846">
        <f>IF(B846="", " ", IF(LEN(B846)&lt;&gt;11, "ДЛИНА", IF(NOT(ISNUMBER(--B846)), "НЕ ЦИФРЫ", IF(LEFT(B846,9)*1&lt;=1001998, "OK", IF(RIGHT(B846,2)*1=IF(MOD(E846,101)&gt;=100,0,MOD(E846,101)),"OK","ОШИБКА")))))</f>
        <v/>
      </c>
      <c r="G8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6">
        <f>IF(LEN(TRIM(A846))=10, --MID(A846,1,1)*2+--MID(A846,2,1)*4+--MID(A846,3,1)*10+--MID(A846,4,1)*3+--MID(A846,5,1)*5+--MID(A846,6,1)*9+--MID(A846,7,1)*4+--MID(A846,8,1)*6+--MID(A846,9,1)*8, IF(LEN(TRIM(A846))=12, --MID(A846,1,1)*7+--MID(A846,2,1)*2+--MID(A846,3,1)*4+--MID(A846,4,1)*10+--MID(A846,5,1)*3+--MID(A846,6,1)*5+--MID(A846,7,1)*9+--MID(A846,8,1)*4+--MID(A846,9,1)*6+--MID(A846,10,1)*8, ""))</f>
        <v/>
      </c>
      <c r="I846">
        <f>IF(LEN(TRIM(A846))=12, --MID(A846,1,1)*3+--MID(A846,2,1)*7+--MID(A846,3,1)*2+--MID(A846,4,1)*4+--MID(A846,5,1)*10+--MID(A846,6,1)*3+--MID(A846,7,1)*5+--MID(A846,8,1)*9+--MID(A846,9,1)*4+--MID(A846,10,1)*6+--MID(A846,11,1)*8, "")</f>
        <v/>
      </c>
    </row>
    <row r="847">
      <c r="A847">
        <f>SUBSTITUTE(SUBSTITUTE(SUBSTITUTE(SUBSTITUTE(TRIM(INDEX(Реестр!$B:$B,ROW())),CHAR(160),""),CHAR(9),""),CHAR(10),""),CHAR(13),"")</f>
        <v/>
      </c>
      <c r="B847">
        <f>SUBSTITUTE(SUBSTITUTE(SUBSTITUTE(SUBSTITUTE(SUBSTITUTE(SUBSTITUTE(SUBSTITUTE(TRIM(INDEX(Реестр!$D:$D, ROW())), "-", ""), " ", ""), CHAR(160), ""), CHAR(9), ""), CHAR(10), ""), CHAR(13), ""), CHAR(32), "")</f>
        <v/>
      </c>
      <c r="C847">
        <f>INDEX(Реестр!$H:$H, ROW())</f>
        <v/>
      </c>
      <c r="D847">
        <f>IF(OR(ISBLANK(INDEX(Реестр!$B:$B, ROW())), INDEX(Реестр!$B:$B, ROW())=""), " ", IF(IFERROR(ISNUMBER(--A847),FALSE), IF(LEN(A847)=10, IF(MOD(MOD(H847,11),10)=--RIGHT(A847,1), "OK", "ОШИБКА"), IF(LEN(A847)=12, IF(AND(MOD(MOD(H847,11),10)=--MID(A847,11,1), MOD(MOD(I847,11),10)=--RIGHT(A847,1)), "OK", "ОШИБКА"), "ДЛИНА (10 или 12)")), "НЕ ЦИФРЫ"))</f>
        <v/>
      </c>
      <c r="E847">
        <f>MID(B847,1,1)*9+MID(B847,2,1)*8+MID(B847,3,1)*7+MID(B847,4,1)*6+MID(B847,5,1)*5+MID(B847,6,1)*4+MID(B847,7,1)*3+MID(B847,8,1)*2+MID(B847,9,1)</f>
        <v/>
      </c>
      <c r="F847">
        <f>IF(B847="", " ", IF(LEN(B847)&lt;&gt;11, "ДЛИНА", IF(NOT(ISNUMBER(--B847)), "НЕ ЦИФРЫ", IF(LEFT(B847,9)*1&lt;=1001998, "OK", IF(RIGHT(B847,2)*1=IF(MOD(E847,101)&gt;=100,0,MOD(E847,101)),"OK","ОШИБКА")))))</f>
        <v/>
      </c>
      <c r="G8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7">
        <f>IF(LEN(TRIM(A847))=10, --MID(A847,1,1)*2+--MID(A847,2,1)*4+--MID(A847,3,1)*10+--MID(A847,4,1)*3+--MID(A847,5,1)*5+--MID(A847,6,1)*9+--MID(A847,7,1)*4+--MID(A847,8,1)*6+--MID(A847,9,1)*8, IF(LEN(TRIM(A847))=12, --MID(A847,1,1)*7+--MID(A847,2,1)*2+--MID(A847,3,1)*4+--MID(A847,4,1)*10+--MID(A847,5,1)*3+--MID(A847,6,1)*5+--MID(A847,7,1)*9+--MID(A847,8,1)*4+--MID(A847,9,1)*6+--MID(A847,10,1)*8, ""))</f>
        <v/>
      </c>
      <c r="I847">
        <f>IF(LEN(TRIM(A847))=12, --MID(A847,1,1)*3+--MID(A847,2,1)*7+--MID(A847,3,1)*2+--MID(A847,4,1)*4+--MID(A847,5,1)*10+--MID(A847,6,1)*3+--MID(A847,7,1)*5+--MID(A847,8,1)*9+--MID(A847,9,1)*4+--MID(A847,10,1)*6+--MID(A847,11,1)*8, "")</f>
        <v/>
      </c>
    </row>
    <row r="848">
      <c r="A848">
        <f>SUBSTITUTE(SUBSTITUTE(SUBSTITUTE(SUBSTITUTE(TRIM(INDEX(Реестр!$B:$B,ROW())),CHAR(160),""),CHAR(9),""),CHAR(10),""),CHAR(13),"")</f>
        <v/>
      </c>
      <c r="B848">
        <f>SUBSTITUTE(SUBSTITUTE(SUBSTITUTE(SUBSTITUTE(SUBSTITUTE(SUBSTITUTE(SUBSTITUTE(TRIM(INDEX(Реестр!$D:$D, ROW())), "-", ""), " ", ""), CHAR(160), ""), CHAR(9), ""), CHAR(10), ""), CHAR(13), ""), CHAR(32), "")</f>
        <v/>
      </c>
      <c r="C848">
        <f>INDEX(Реестр!$H:$H, ROW())</f>
        <v/>
      </c>
      <c r="D848">
        <f>IF(OR(ISBLANK(INDEX(Реестр!$B:$B, ROW())), INDEX(Реестр!$B:$B, ROW())=""), " ", IF(IFERROR(ISNUMBER(--A848),FALSE), IF(LEN(A848)=10, IF(MOD(MOD(H848,11),10)=--RIGHT(A848,1), "OK", "ОШИБКА"), IF(LEN(A848)=12, IF(AND(MOD(MOD(H848,11),10)=--MID(A848,11,1), MOD(MOD(I848,11),10)=--RIGHT(A848,1)), "OK", "ОШИБКА"), "ДЛИНА (10 или 12)")), "НЕ ЦИФРЫ"))</f>
        <v/>
      </c>
      <c r="E848">
        <f>MID(B848,1,1)*9+MID(B848,2,1)*8+MID(B848,3,1)*7+MID(B848,4,1)*6+MID(B848,5,1)*5+MID(B848,6,1)*4+MID(B848,7,1)*3+MID(B848,8,1)*2+MID(B848,9,1)</f>
        <v/>
      </c>
      <c r="F848">
        <f>IF(B848="", " ", IF(LEN(B848)&lt;&gt;11, "ДЛИНА", IF(NOT(ISNUMBER(--B848)), "НЕ ЦИФРЫ", IF(LEFT(B848,9)*1&lt;=1001998, "OK", IF(RIGHT(B848,2)*1=IF(MOD(E848,101)&gt;=100,0,MOD(E848,101)),"OK","ОШИБКА")))))</f>
        <v/>
      </c>
      <c r="G8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8">
        <f>IF(LEN(TRIM(A848))=10, --MID(A848,1,1)*2+--MID(A848,2,1)*4+--MID(A848,3,1)*10+--MID(A848,4,1)*3+--MID(A848,5,1)*5+--MID(A848,6,1)*9+--MID(A848,7,1)*4+--MID(A848,8,1)*6+--MID(A848,9,1)*8, IF(LEN(TRIM(A848))=12, --MID(A848,1,1)*7+--MID(A848,2,1)*2+--MID(A848,3,1)*4+--MID(A848,4,1)*10+--MID(A848,5,1)*3+--MID(A848,6,1)*5+--MID(A848,7,1)*9+--MID(A848,8,1)*4+--MID(A848,9,1)*6+--MID(A848,10,1)*8, ""))</f>
        <v/>
      </c>
      <c r="I848">
        <f>IF(LEN(TRIM(A848))=12, --MID(A848,1,1)*3+--MID(A848,2,1)*7+--MID(A848,3,1)*2+--MID(A848,4,1)*4+--MID(A848,5,1)*10+--MID(A848,6,1)*3+--MID(A848,7,1)*5+--MID(A848,8,1)*9+--MID(A848,9,1)*4+--MID(A848,10,1)*6+--MID(A848,11,1)*8, "")</f>
        <v/>
      </c>
    </row>
    <row r="849">
      <c r="A849">
        <f>SUBSTITUTE(SUBSTITUTE(SUBSTITUTE(SUBSTITUTE(TRIM(INDEX(Реестр!$B:$B,ROW())),CHAR(160),""),CHAR(9),""),CHAR(10),""),CHAR(13),"")</f>
        <v/>
      </c>
      <c r="B849">
        <f>SUBSTITUTE(SUBSTITUTE(SUBSTITUTE(SUBSTITUTE(SUBSTITUTE(SUBSTITUTE(SUBSTITUTE(TRIM(INDEX(Реестр!$D:$D, ROW())), "-", ""), " ", ""), CHAR(160), ""), CHAR(9), ""), CHAR(10), ""), CHAR(13), ""), CHAR(32), "")</f>
        <v/>
      </c>
      <c r="C849">
        <f>INDEX(Реестр!$H:$H, ROW())</f>
        <v/>
      </c>
      <c r="D849">
        <f>IF(OR(ISBLANK(INDEX(Реестр!$B:$B, ROW())), INDEX(Реестр!$B:$B, ROW())=""), " ", IF(IFERROR(ISNUMBER(--A849),FALSE), IF(LEN(A849)=10, IF(MOD(MOD(H849,11),10)=--RIGHT(A849,1), "OK", "ОШИБКА"), IF(LEN(A849)=12, IF(AND(MOD(MOD(H849,11),10)=--MID(A849,11,1), MOD(MOD(I849,11),10)=--RIGHT(A849,1)), "OK", "ОШИБКА"), "ДЛИНА (10 или 12)")), "НЕ ЦИФРЫ"))</f>
        <v/>
      </c>
      <c r="E849">
        <f>MID(B849,1,1)*9+MID(B849,2,1)*8+MID(B849,3,1)*7+MID(B849,4,1)*6+MID(B849,5,1)*5+MID(B849,6,1)*4+MID(B849,7,1)*3+MID(B849,8,1)*2+MID(B849,9,1)</f>
        <v/>
      </c>
      <c r="F849">
        <f>IF(B849="", " ", IF(LEN(B849)&lt;&gt;11, "ДЛИНА", IF(NOT(ISNUMBER(--B849)), "НЕ ЦИФРЫ", IF(LEFT(B849,9)*1&lt;=1001998, "OK", IF(RIGHT(B849,2)*1=IF(MOD(E849,101)&gt;=100,0,MOD(E849,101)),"OK","ОШИБКА")))))</f>
        <v/>
      </c>
      <c r="G8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49">
        <f>IF(LEN(TRIM(A849))=10, --MID(A849,1,1)*2+--MID(A849,2,1)*4+--MID(A849,3,1)*10+--MID(A849,4,1)*3+--MID(A849,5,1)*5+--MID(A849,6,1)*9+--MID(A849,7,1)*4+--MID(A849,8,1)*6+--MID(A849,9,1)*8, IF(LEN(TRIM(A849))=12, --MID(A849,1,1)*7+--MID(A849,2,1)*2+--MID(A849,3,1)*4+--MID(A849,4,1)*10+--MID(A849,5,1)*3+--MID(A849,6,1)*5+--MID(A849,7,1)*9+--MID(A849,8,1)*4+--MID(A849,9,1)*6+--MID(A849,10,1)*8, ""))</f>
        <v/>
      </c>
      <c r="I849">
        <f>IF(LEN(TRIM(A849))=12, --MID(A849,1,1)*3+--MID(A849,2,1)*7+--MID(A849,3,1)*2+--MID(A849,4,1)*4+--MID(A849,5,1)*10+--MID(A849,6,1)*3+--MID(A849,7,1)*5+--MID(A849,8,1)*9+--MID(A849,9,1)*4+--MID(A849,10,1)*6+--MID(A849,11,1)*8, "")</f>
        <v/>
      </c>
    </row>
    <row r="850">
      <c r="A850">
        <f>SUBSTITUTE(SUBSTITUTE(SUBSTITUTE(SUBSTITUTE(TRIM(INDEX(Реестр!$B:$B,ROW())),CHAR(160),""),CHAR(9),""),CHAR(10),""),CHAR(13),"")</f>
        <v/>
      </c>
      <c r="B850">
        <f>SUBSTITUTE(SUBSTITUTE(SUBSTITUTE(SUBSTITUTE(SUBSTITUTE(SUBSTITUTE(SUBSTITUTE(TRIM(INDEX(Реестр!$D:$D, ROW())), "-", ""), " ", ""), CHAR(160), ""), CHAR(9), ""), CHAR(10), ""), CHAR(13), ""), CHAR(32), "")</f>
        <v/>
      </c>
      <c r="C850">
        <f>INDEX(Реестр!$H:$H, ROW())</f>
        <v/>
      </c>
      <c r="D850">
        <f>IF(OR(ISBLANK(INDEX(Реестр!$B:$B, ROW())), INDEX(Реестр!$B:$B, ROW())=""), " ", IF(IFERROR(ISNUMBER(--A850),FALSE), IF(LEN(A850)=10, IF(MOD(MOD(H850,11),10)=--RIGHT(A850,1), "OK", "ОШИБКА"), IF(LEN(A850)=12, IF(AND(MOD(MOD(H850,11),10)=--MID(A850,11,1), MOD(MOD(I850,11),10)=--RIGHT(A850,1)), "OK", "ОШИБКА"), "ДЛИНА (10 или 12)")), "НЕ ЦИФРЫ"))</f>
        <v/>
      </c>
      <c r="E850">
        <f>MID(B850,1,1)*9+MID(B850,2,1)*8+MID(B850,3,1)*7+MID(B850,4,1)*6+MID(B850,5,1)*5+MID(B850,6,1)*4+MID(B850,7,1)*3+MID(B850,8,1)*2+MID(B850,9,1)</f>
        <v/>
      </c>
      <c r="F850">
        <f>IF(B850="", " ", IF(LEN(B850)&lt;&gt;11, "ДЛИНА", IF(NOT(ISNUMBER(--B850)), "НЕ ЦИФРЫ", IF(LEFT(B850,9)*1&lt;=1001998, "OK", IF(RIGHT(B850,2)*1=IF(MOD(E850,101)&gt;=100,0,MOD(E850,101)),"OK","ОШИБКА")))))</f>
        <v/>
      </c>
      <c r="G8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0">
        <f>IF(LEN(TRIM(A850))=10, --MID(A850,1,1)*2+--MID(A850,2,1)*4+--MID(A850,3,1)*10+--MID(A850,4,1)*3+--MID(A850,5,1)*5+--MID(A850,6,1)*9+--MID(A850,7,1)*4+--MID(A850,8,1)*6+--MID(A850,9,1)*8, IF(LEN(TRIM(A850))=12, --MID(A850,1,1)*7+--MID(A850,2,1)*2+--MID(A850,3,1)*4+--MID(A850,4,1)*10+--MID(A850,5,1)*3+--MID(A850,6,1)*5+--MID(A850,7,1)*9+--MID(A850,8,1)*4+--MID(A850,9,1)*6+--MID(A850,10,1)*8, ""))</f>
        <v/>
      </c>
      <c r="I850">
        <f>IF(LEN(TRIM(A850))=12, --MID(A850,1,1)*3+--MID(A850,2,1)*7+--MID(A850,3,1)*2+--MID(A850,4,1)*4+--MID(A850,5,1)*10+--MID(A850,6,1)*3+--MID(A850,7,1)*5+--MID(A850,8,1)*9+--MID(A850,9,1)*4+--MID(A850,10,1)*6+--MID(A850,11,1)*8, "")</f>
        <v/>
      </c>
    </row>
    <row r="851">
      <c r="A851">
        <f>SUBSTITUTE(SUBSTITUTE(SUBSTITUTE(SUBSTITUTE(TRIM(INDEX(Реестр!$B:$B,ROW())),CHAR(160),""),CHAR(9),""),CHAR(10),""),CHAR(13),"")</f>
        <v/>
      </c>
      <c r="B851">
        <f>SUBSTITUTE(SUBSTITUTE(SUBSTITUTE(SUBSTITUTE(SUBSTITUTE(SUBSTITUTE(SUBSTITUTE(TRIM(INDEX(Реестр!$D:$D, ROW())), "-", ""), " ", ""), CHAR(160), ""), CHAR(9), ""), CHAR(10), ""), CHAR(13), ""), CHAR(32), "")</f>
        <v/>
      </c>
      <c r="C851">
        <f>INDEX(Реестр!$H:$H, ROW())</f>
        <v/>
      </c>
      <c r="D851">
        <f>IF(OR(ISBLANK(INDEX(Реестр!$B:$B, ROW())), INDEX(Реестр!$B:$B, ROW())=""), " ", IF(IFERROR(ISNUMBER(--A851),FALSE), IF(LEN(A851)=10, IF(MOD(MOD(H851,11),10)=--RIGHT(A851,1), "OK", "ОШИБКА"), IF(LEN(A851)=12, IF(AND(MOD(MOD(H851,11),10)=--MID(A851,11,1), MOD(MOD(I851,11),10)=--RIGHT(A851,1)), "OK", "ОШИБКА"), "ДЛИНА (10 или 12)")), "НЕ ЦИФРЫ"))</f>
        <v/>
      </c>
      <c r="E851">
        <f>MID(B851,1,1)*9+MID(B851,2,1)*8+MID(B851,3,1)*7+MID(B851,4,1)*6+MID(B851,5,1)*5+MID(B851,6,1)*4+MID(B851,7,1)*3+MID(B851,8,1)*2+MID(B851,9,1)</f>
        <v/>
      </c>
      <c r="F851">
        <f>IF(B851="", " ", IF(LEN(B851)&lt;&gt;11, "ДЛИНА", IF(NOT(ISNUMBER(--B851)), "НЕ ЦИФРЫ", IF(LEFT(B851,9)*1&lt;=1001998, "OK", IF(RIGHT(B851,2)*1=IF(MOD(E851,101)&gt;=100,0,MOD(E851,101)),"OK","ОШИБКА")))))</f>
        <v/>
      </c>
      <c r="G8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1">
        <f>IF(LEN(TRIM(A851))=10, --MID(A851,1,1)*2+--MID(A851,2,1)*4+--MID(A851,3,1)*10+--MID(A851,4,1)*3+--MID(A851,5,1)*5+--MID(A851,6,1)*9+--MID(A851,7,1)*4+--MID(A851,8,1)*6+--MID(A851,9,1)*8, IF(LEN(TRIM(A851))=12, --MID(A851,1,1)*7+--MID(A851,2,1)*2+--MID(A851,3,1)*4+--MID(A851,4,1)*10+--MID(A851,5,1)*3+--MID(A851,6,1)*5+--MID(A851,7,1)*9+--MID(A851,8,1)*4+--MID(A851,9,1)*6+--MID(A851,10,1)*8, ""))</f>
        <v/>
      </c>
      <c r="I851">
        <f>IF(LEN(TRIM(A851))=12, --MID(A851,1,1)*3+--MID(A851,2,1)*7+--MID(A851,3,1)*2+--MID(A851,4,1)*4+--MID(A851,5,1)*10+--MID(A851,6,1)*3+--MID(A851,7,1)*5+--MID(A851,8,1)*9+--MID(A851,9,1)*4+--MID(A851,10,1)*6+--MID(A851,11,1)*8, "")</f>
        <v/>
      </c>
    </row>
    <row r="852">
      <c r="A852">
        <f>SUBSTITUTE(SUBSTITUTE(SUBSTITUTE(SUBSTITUTE(TRIM(INDEX(Реестр!$B:$B,ROW())),CHAR(160),""),CHAR(9),""),CHAR(10),""),CHAR(13),"")</f>
        <v/>
      </c>
      <c r="B852">
        <f>SUBSTITUTE(SUBSTITUTE(SUBSTITUTE(SUBSTITUTE(SUBSTITUTE(SUBSTITUTE(SUBSTITUTE(TRIM(INDEX(Реестр!$D:$D, ROW())), "-", ""), " ", ""), CHAR(160), ""), CHAR(9), ""), CHAR(10), ""), CHAR(13), ""), CHAR(32), "")</f>
        <v/>
      </c>
      <c r="C852">
        <f>INDEX(Реестр!$H:$H, ROW())</f>
        <v/>
      </c>
      <c r="D852">
        <f>IF(OR(ISBLANK(INDEX(Реестр!$B:$B, ROW())), INDEX(Реестр!$B:$B, ROW())=""), " ", IF(IFERROR(ISNUMBER(--A852),FALSE), IF(LEN(A852)=10, IF(MOD(MOD(H852,11),10)=--RIGHT(A852,1), "OK", "ОШИБКА"), IF(LEN(A852)=12, IF(AND(MOD(MOD(H852,11),10)=--MID(A852,11,1), MOD(MOD(I852,11),10)=--RIGHT(A852,1)), "OK", "ОШИБКА"), "ДЛИНА (10 или 12)")), "НЕ ЦИФРЫ"))</f>
        <v/>
      </c>
      <c r="E852">
        <f>MID(B852,1,1)*9+MID(B852,2,1)*8+MID(B852,3,1)*7+MID(B852,4,1)*6+MID(B852,5,1)*5+MID(B852,6,1)*4+MID(B852,7,1)*3+MID(B852,8,1)*2+MID(B852,9,1)</f>
        <v/>
      </c>
      <c r="F852">
        <f>IF(B852="", " ", IF(LEN(B852)&lt;&gt;11, "ДЛИНА", IF(NOT(ISNUMBER(--B852)), "НЕ ЦИФРЫ", IF(LEFT(B852,9)*1&lt;=1001998, "OK", IF(RIGHT(B852,2)*1=IF(MOD(E852,101)&gt;=100,0,MOD(E852,101)),"OK","ОШИБКА")))))</f>
        <v/>
      </c>
      <c r="G8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2">
        <f>IF(LEN(TRIM(A852))=10, --MID(A852,1,1)*2+--MID(A852,2,1)*4+--MID(A852,3,1)*10+--MID(A852,4,1)*3+--MID(A852,5,1)*5+--MID(A852,6,1)*9+--MID(A852,7,1)*4+--MID(A852,8,1)*6+--MID(A852,9,1)*8, IF(LEN(TRIM(A852))=12, --MID(A852,1,1)*7+--MID(A852,2,1)*2+--MID(A852,3,1)*4+--MID(A852,4,1)*10+--MID(A852,5,1)*3+--MID(A852,6,1)*5+--MID(A852,7,1)*9+--MID(A852,8,1)*4+--MID(A852,9,1)*6+--MID(A852,10,1)*8, ""))</f>
        <v/>
      </c>
      <c r="I852">
        <f>IF(LEN(TRIM(A852))=12, --MID(A852,1,1)*3+--MID(A852,2,1)*7+--MID(A852,3,1)*2+--MID(A852,4,1)*4+--MID(A852,5,1)*10+--MID(A852,6,1)*3+--MID(A852,7,1)*5+--MID(A852,8,1)*9+--MID(A852,9,1)*4+--MID(A852,10,1)*6+--MID(A852,11,1)*8, "")</f>
        <v/>
      </c>
    </row>
    <row r="853">
      <c r="A853">
        <f>SUBSTITUTE(SUBSTITUTE(SUBSTITUTE(SUBSTITUTE(TRIM(INDEX(Реестр!$B:$B,ROW())),CHAR(160),""),CHAR(9),""),CHAR(10),""),CHAR(13),"")</f>
        <v/>
      </c>
      <c r="B853">
        <f>SUBSTITUTE(SUBSTITUTE(SUBSTITUTE(SUBSTITUTE(SUBSTITUTE(SUBSTITUTE(SUBSTITUTE(TRIM(INDEX(Реестр!$D:$D, ROW())), "-", ""), " ", ""), CHAR(160), ""), CHAR(9), ""), CHAR(10), ""), CHAR(13), ""), CHAR(32), "")</f>
        <v/>
      </c>
      <c r="C853">
        <f>INDEX(Реестр!$H:$H, ROW())</f>
        <v/>
      </c>
      <c r="D853">
        <f>IF(OR(ISBLANK(INDEX(Реестр!$B:$B, ROW())), INDEX(Реестр!$B:$B, ROW())=""), " ", IF(IFERROR(ISNUMBER(--A853),FALSE), IF(LEN(A853)=10, IF(MOD(MOD(H853,11),10)=--RIGHT(A853,1), "OK", "ОШИБКА"), IF(LEN(A853)=12, IF(AND(MOD(MOD(H853,11),10)=--MID(A853,11,1), MOD(MOD(I853,11),10)=--RIGHT(A853,1)), "OK", "ОШИБКА"), "ДЛИНА (10 или 12)")), "НЕ ЦИФРЫ"))</f>
        <v/>
      </c>
      <c r="E853">
        <f>MID(B853,1,1)*9+MID(B853,2,1)*8+MID(B853,3,1)*7+MID(B853,4,1)*6+MID(B853,5,1)*5+MID(B853,6,1)*4+MID(B853,7,1)*3+MID(B853,8,1)*2+MID(B853,9,1)</f>
        <v/>
      </c>
      <c r="F853">
        <f>IF(B853="", " ", IF(LEN(B853)&lt;&gt;11, "ДЛИНА", IF(NOT(ISNUMBER(--B853)), "НЕ ЦИФРЫ", IF(LEFT(B853,9)*1&lt;=1001998, "OK", IF(RIGHT(B853,2)*1=IF(MOD(E853,101)&gt;=100,0,MOD(E853,101)),"OK","ОШИБКА")))))</f>
        <v/>
      </c>
      <c r="G8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3">
        <f>IF(LEN(TRIM(A853))=10, --MID(A853,1,1)*2+--MID(A853,2,1)*4+--MID(A853,3,1)*10+--MID(A853,4,1)*3+--MID(A853,5,1)*5+--MID(A853,6,1)*9+--MID(A853,7,1)*4+--MID(A853,8,1)*6+--MID(A853,9,1)*8, IF(LEN(TRIM(A853))=12, --MID(A853,1,1)*7+--MID(A853,2,1)*2+--MID(A853,3,1)*4+--MID(A853,4,1)*10+--MID(A853,5,1)*3+--MID(A853,6,1)*5+--MID(A853,7,1)*9+--MID(A853,8,1)*4+--MID(A853,9,1)*6+--MID(A853,10,1)*8, ""))</f>
        <v/>
      </c>
      <c r="I853">
        <f>IF(LEN(TRIM(A853))=12, --MID(A853,1,1)*3+--MID(A853,2,1)*7+--MID(A853,3,1)*2+--MID(A853,4,1)*4+--MID(A853,5,1)*10+--MID(A853,6,1)*3+--MID(A853,7,1)*5+--MID(A853,8,1)*9+--MID(A853,9,1)*4+--MID(A853,10,1)*6+--MID(A853,11,1)*8, "")</f>
        <v/>
      </c>
    </row>
    <row r="854">
      <c r="A854">
        <f>SUBSTITUTE(SUBSTITUTE(SUBSTITUTE(SUBSTITUTE(TRIM(INDEX(Реестр!$B:$B,ROW())),CHAR(160),""),CHAR(9),""),CHAR(10),""),CHAR(13),"")</f>
        <v/>
      </c>
      <c r="B854">
        <f>SUBSTITUTE(SUBSTITUTE(SUBSTITUTE(SUBSTITUTE(SUBSTITUTE(SUBSTITUTE(SUBSTITUTE(TRIM(INDEX(Реестр!$D:$D, ROW())), "-", ""), " ", ""), CHAR(160), ""), CHAR(9), ""), CHAR(10), ""), CHAR(13), ""), CHAR(32), "")</f>
        <v/>
      </c>
      <c r="C854">
        <f>INDEX(Реестр!$H:$H, ROW())</f>
        <v/>
      </c>
      <c r="D854">
        <f>IF(OR(ISBLANK(INDEX(Реестр!$B:$B, ROW())), INDEX(Реестр!$B:$B, ROW())=""), " ", IF(IFERROR(ISNUMBER(--A854),FALSE), IF(LEN(A854)=10, IF(MOD(MOD(H854,11),10)=--RIGHT(A854,1), "OK", "ОШИБКА"), IF(LEN(A854)=12, IF(AND(MOD(MOD(H854,11),10)=--MID(A854,11,1), MOD(MOD(I854,11),10)=--RIGHT(A854,1)), "OK", "ОШИБКА"), "ДЛИНА (10 или 12)")), "НЕ ЦИФРЫ"))</f>
        <v/>
      </c>
      <c r="E854">
        <f>MID(B854,1,1)*9+MID(B854,2,1)*8+MID(B854,3,1)*7+MID(B854,4,1)*6+MID(B854,5,1)*5+MID(B854,6,1)*4+MID(B854,7,1)*3+MID(B854,8,1)*2+MID(B854,9,1)</f>
        <v/>
      </c>
      <c r="F854">
        <f>IF(B854="", " ", IF(LEN(B854)&lt;&gt;11, "ДЛИНА", IF(NOT(ISNUMBER(--B854)), "НЕ ЦИФРЫ", IF(LEFT(B854,9)*1&lt;=1001998, "OK", IF(RIGHT(B854,2)*1=IF(MOD(E854,101)&gt;=100,0,MOD(E854,101)),"OK","ОШИБКА")))))</f>
        <v/>
      </c>
      <c r="G8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4">
        <f>IF(LEN(TRIM(A854))=10, --MID(A854,1,1)*2+--MID(A854,2,1)*4+--MID(A854,3,1)*10+--MID(A854,4,1)*3+--MID(A854,5,1)*5+--MID(A854,6,1)*9+--MID(A854,7,1)*4+--MID(A854,8,1)*6+--MID(A854,9,1)*8, IF(LEN(TRIM(A854))=12, --MID(A854,1,1)*7+--MID(A854,2,1)*2+--MID(A854,3,1)*4+--MID(A854,4,1)*10+--MID(A854,5,1)*3+--MID(A854,6,1)*5+--MID(A854,7,1)*9+--MID(A854,8,1)*4+--MID(A854,9,1)*6+--MID(A854,10,1)*8, ""))</f>
        <v/>
      </c>
      <c r="I854">
        <f>IF(LEN(TRIM(A854))=12, --MID(A854,1,1)*3+--MID(A854,2,1)*7+--MID(A854,3,1)*2+--MID(A854,4,1)*4+--MID(A854,5,1)*10+--MID(A854,6,1)*3+--MID(A854,7,1)*5+--MID(A854,8,1)*9+--MID(A854,9,1)*4+--MID(A854,10,1)*6+--MID(A854,11,1)*8, "")</f>
        <v/>
      </c>
    </row>
    <row r="855">
      <c r="A855">
        <f>SUBSTITUTE(SUBSTITUTE(SUBSTITUTE(SUBSTITUTE(TRIM(INDEX(Реестр!$B:$B,ROW())),CHAR(160),""),CHAR(9),""),CHAR(10),""),CHAR(13),"")</f>
        <v/>
      </c>
      <c r="B855">
        <f>SUBSTITUTE(SUBSTITUTE(SUBSTITUTE(SUBSTITUTE(SUBSTITUTE(SUBSTITUTE(SUBSTITUTE(TRIM(INDEX(Реестр!$D:$D, ROW())), "-", ""), " ", ""), CHAR(160), ""), CHAR(9), ""), CHAR(10), ""), CHAR(13), ""), CHAR(32), "")</f>
        <v/>
      </c>
      <c r="C855">
        <f>INDEX(Реестр!$H:$H, ROW())</f>
        <v/>
      </c>
      <c r="D855">
        <f>IF(OR(ISBLANK(INDEX(Реестр!$B:$B, ROW())), INDEX(Реестр!$B:$B, ROW())=""), " ", IF(IFERROR(ISNUMBER(--A855),FALSE), IF(LEN(A855)=10, IF(MOD(MOD(H855,11),10)=--RIGHT(A855,1), "OK", "ОШИБКА"), IF(LEN(A855)=12, IF(AND(MOD(MOD(H855,11),10)=--MID(A855,11,1), MOD(MOD(I855,11),10)=--RIGHT(A855,1)), "OK", "ОШИБКА"), "ДЛИНА (10 или 12)")), "НЕ ЦИФРЫ"))</f>
        <v/>
      </c>
      <c r="E855">
        <f>MID(B855,1,1)*9+MID(B855,2,1)*8+MID(B855,3,1)*7+MID(B855,4,1)*6+MID(B855,5,1)*5+MID(B855,6,1)*4+MID(B855,7,1)*3+MID(B855,8,1)*2+MID(B855,9,1)</f>
        <v/>
      </c>
      <c r="F855">
        <f>IF(B855="", " ", IF(LEN(B855)&lt;&gt;11, "ДЛИНА", IF(NOT(ISNUMBER(--B855)), "НЕ ЦИФРЫ", IF(LEFT(B855,9)*1&lt;=1001998, "OK", IF(RIGHT(B855,2)*1=IF(MOD(E855,101)&gt;=100,0,MOD(E855,101)),"OK","ОШИБКА")))))</f>
        <v/>
      </c>
      <c r="G8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5">
        <f>IF(LEN(TRIM(A855))=10, --MID(A855,1,1)*2+--MID(A855,2,1)*4+--MID(A855,3,1)*10+--MID(A855,4,1)*3+--MID(A855,5,1)*5+--MID(A855,6,1)*9+--MID(A855,7,1)*4+--MID(A855,8,1)*6+--MID(A855,9,1)*8, IF(LEN(TRIM(A855))=12, --MID(A855,1,1)*7+--MID(A855,2,1)*2+--MID(A855,3,1)*4+--MID(A855,4,1)*10+--MID(A855,5,1)*3+--MID(A855,6,1)*5+--MID(A855,7,1)*9+--MID(A855,8,1)*4+--MID(A855,9,1)*6+--MID(A855,10,1)*8, ""))</f>
        <v/>
      </c>
      <c r="I855">
        <f>IF(LEN(TRIM(A855))=12, --MID(A855,1,1)*3+--MID(A855,2,1)*7+--MID(A855,3,1)*2+--MID(A855,4,1)*4+--MID(A855,5,1)*10+--MID(A855,6,1)*3+--MID(A855,7,1)*5+--MID(A855,8,1)*9+--MID(A855,9,1)*4+--MID(A855,10,1)*6+--MID(A855,11,1)*8, "")</f>
        <v/>
      </c>
    </row>
    <row r="856">
      <c r="A856">
        <f>SUBSTITUTE(SUBSTITUTE(SUBSTITUTE(SUBSTITUTE(TRIM(INDEX(Реестр!$B:$B,ROW())),CHAR(160),""),CHAR(9),""),CHAR(10),""),CHAR(13),"")</f>
        <v/>
      </c>
      <c r="B856">
        <f>SUBSTITUTE(SUBSTITUTE(SUBSTITUTE(SUBSTITUTE(SUBSTITUTE(SUBSTITUTE(SUBSTITUTE(TRIM(INDEX(Реестр!$D:$D, ROW())), "-", ""), " ", ""), CHAR(160), ""), CHAR(9), ""), CHAR(10), ""), CHAR(13), ""), CHAR(32), "")</f>
        <v/>
      </c>
      <c r="C856">
        <f>INDEX(Реестр!$H:$H, ROW())</f>
        <v/>
      </c>
      <c r="D856">
        <f>IF(OR(ISBLANK(INDEX(Реестр!$B:$B, ROW())), INDEX(Реестр!$B:$B, ROW())=""), " ", IF(IFERROR(ISNUMBER(--A856),FALSE), IF(LEN(A856)=10, IF(MOD(MOD(H856,11),10)=--RIGHT(A856,1), "OK", "ОШИБКА"), IF(LEN(A856)=12, IF(AND(MOD(MOD(H856,11),10)=--MID(A856,11,1), MOD(MOD(I856,11),10)=--RIGHT(A856,1)), "OK", "ОШИБКА"), "ДЛИНА (10 или 12)")), "НЕ ЦИФРЫ"))</f>
        <v/>
      </c>
      <c r="E856">
        <f>MID(B856,1,1)*9+MID(B856,2,1)*8+MID(B856,3,1)*7+MID(B856,4,1)*6+MID(B856,5,1)*5+MID(B856,6,1)*4+MID(B856,7,1)*3+MID(B856,8,1)*2+MID(B856,9,1)</f>
        <v/>
      </c>
      <c r="F856">
        <f>IF(B856="", " ", IF(LEN(B856)&lt;&gt;11, "ДЛИНА", IF(NOT(ISNUMBER(--B856)), "НЕ ЦИФРЫ", IF(LEFT(B856,9)*1&lt;=1001998, "OK", IF(RIGHT(B856,2)*1=IF(MOD(E856,101)&gt;=100,0,MOD(E856,101)),"OK","ОШИБКА")))))</f>
        <v/>
      </c>
      <c r="G8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6">
        <f>IF(LEN(TRIM(A856))=10, --MID(A856,1,1)*2+--MID(A856,2,1)*4+--MID(A856,3,1)*10+--MID(A856,4,1)*3+--MID(A856,5,1)*5+--MID(A856,6,1)*9+--MID(A856,7,1)*4+--MID(A856,8,1)*6+--MID(A856,9,1)*8, IF(LEN(TRIM(A856))=12, --MID(A856,1,1)*7+--MID(A856,2,1)*2+--MID(A856,3,1)*4+--MID(A856,4,1)*10+--MID(A856,5,1)*3+--MID(A856,6,1)*5+--MID(A856,7,1)*9+--MID(A856,8,1)*4+--MID(A856,9,1)*6+--MID(A856,10,1)*8, ""))</f>
        <v/>
      </c>
      <c r="I856">
        <f>IF(LEN(TRIM(A856))=12, --MID(A856,1,1)*3+--MID(A856,2,1)*7+--MID(A856,3,1)*2+--MID(A856,4,1)*4+--MID(A856,5,1)*10+--MID(A856,6,1)*3+--MID(A856,7,1)*5+--MID(A856,8,1)*9+--MID(A856,9,1)*4+--MID(A856,10,1)*6+--MID(A856,11,1)*8, "")</f>
        <v/>
      </c>
    </row>
    <row r="857">
      <c r="A857">
        <f>SUBSTITUTE(SUBSTITUTE(SUBSTITUTE(SUBSTITUTE(TRIM(INDEX(Реестр!$B:$B,ROW())),CHAR(160),""),CHAR(9),""),CHAR(10),""),CHAR(13),"")</f>
        <v/>
      </c>
      <c r="B857">
        <f>SUBSTITUTE(SUBSTITUTE(SUBSTITUTE(SUBSTITUTE(SUBSTITUTE(SUBSTITUTE(SUBSTITUTE(TRIM(INDEX(Реестр!$D:$D, ROW())), "-", ""), " ", ""), CHAR(160), ""), CHAR(9), ""), CHAR(10), ""), CHAR(13), ""), CHAR(32), "")</f>
        <v/>
      </c>
      <c r="C857">
        <f>INDEX(Реестр!$H:$H, ROW())</f>
        <v/>
      </c>
      <c r="D857">
        <f>IF(OR(ISBLANK(INDEX(Реестр!$B:$B, ROW())), INDEX(Реестр!$B:$B, ROW())=""), " ", IF(IFERROR(ISNUMBER(--A857),FALSE), IF(LEN(A857)=10, IF(MOD(MOD(H857,11),10)=--RIGHT(A857,1), "OK", "ОШИБКА"), IF(LEN(A857)=12, IF(AND(MOD(MOD(H857,11),10)=--MID(A857,11,1), MOD(MOD(I857,11),10)=--RIGHT(A857,1)), "OK", "ОШИБКА"), "ДЛИНА (10 или 12)")), "НЕ ЦИФРЫ"))</f>
        <v/>
      </c>
      <c r="E857">
        <f>MID(B857,1,1)*9+MID(B857,2,1)*8+MID(B857,3,1)*7+MID(B857,4,1)*6+MID(B857,5,1)*5+MID(B857,6,1)*4+MID(B857,7,1)*3+MID(B857,8,1)*2+MID(B857,9,1)</f>
        <v/>
      </c>
      <c r="F857">
        <f>IF(B857="", " ", IF(LEN(B857)&lt;&gt;11, "ДЛИНА", IF(NOT(ISNUMBER(--B857)), "НЕ ЦИФРЫ", IF(LEFT(B857,9)*1&lt;=1001998, "OK", IF(RIGHT(B857,2)*1=IF(MOD(E857,101)&gt;=100,0,MOD(E857,101)),"OK","ОШИБКА")))))</f>
        <v/>
      </c>
      <c r="G8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7">
        <f>IF(LEN(TRIM(A857))=10, --MID(A857,1,1)*2+--MID(A857,2,1)*4+--MID(A857,3,1)*10+--MID(A857,4,1)*3+--MID(A857,5,1)*5+--MID(A857,6,1)*9+--MID(A857,7,1)*4+--MID(A857,8,1)*6+--MID(A857,9,1)*8, IF(LEN(TRIM(A857))=12, --MID(A857,1,1)*7+--MID(A857,2,1)*2+--MID(A857,3,1)*4+--MID(A857,4,1)*10+--MID(A857,5,1)*3+--MID(A857,6,1)*5+--MID(A857,7,1)*9+--MID(A857,8,1)*4+--MID(A857,9,1)*6+--MID(A857,10,1)*8, ""))</f>
        <v/>
      </c>
      <c r="I857">
        <f>IF(LEN(TRIM(A857))=12, --MID(A857,1,1)*3+--MID(A857,2,1)*7+--MID(A857,3,1)*2+--MID(A857,4,1)*4+--MID(A857,5,1)*10+--MID(A857,6,1)*3+--MID(A857,7,1)*5+--MID(A857,8,1)*9+--MID(A857,9,1)*4+--MID(A857,10,1)*6+--MID(A857,11,1)*8, "")</f>
        <v/>
      </c>
    </row>
    <row r="858">
      <c r="A858">
        <f>SUBSTITUTE(SUBSTITUTE(SUBSTITUTE(SUBSTITUTE(TRIM(INDEX(Реестр!$B:$B,ROW())),CHAR(160),""),CHAR(9),""),CHAR(10),""),CHAR(13),"")</f>
        <v/>
      </c>
      <c r="B858">
        <f>SUBSTITUTE(SUBSTITUTE(SUBSTITUTE(SUBSTITUTE(SUBSTITUTE(SUBSTITUTE(SUBSTITUTE(TRIM(INDEX(Реестр!$D:$D, ROW())), "-", ""), " ", ""), CHAR(160), ""), CHAR(9), ""), CHAR(10), ""), CHAR(13), ""), CHAR(32), "")</f>
        <v/>
      </c>
      <c r="C858">
        <f>INDEX(Реестр!$H:$H, ROW())</f>
        <v/>
      </c>
      <c r="D858">
        <f>IF(OR(ISBLANK(INDEX(Реестр!$B:$B, ROW())), INDEX(Реестр!$B:$B, ROW())=""), " ", IF(IFERROR(ISNUMBER(--A858),FALSE), IF(LEN(A858)=10, IF(MOD(MOD(H858,11),10)=--RIGHT(A858,1), "OK", "ОШИБКА"), IF(LEN(A858)=12, IF(AND(MOD(MOD(H858,11),10)=--MID(A858,11,1), MOD(MOD(I858,11),10)=--RIGHT(A858,1)), "OK", "ОШИБКА"), "ДЛИНА (10 или 12)")), "НЕ ЦИФРЫ"))</f>
        <v/>
      </c>
      <c r="E858">
        <f>MID(B858,1,1)*9+MID(B858,2,1)*8+MID(B858,3,1)*7+MID(B858,4,1)*6+MID(B858,5,1)*5+MID(B858,6,1)*4+MID(B858,7,1)*3+MID(B858,8,1)*2+MID(B858,9,1)</f>
        <v/>
      </c>
      <c r="F858">
        <f>IF(B858="", " ", IF(LEN(B858)&lt;&gt;11, "ДЛИНА", IF(NOT(ISNUMBER(--B858)), "НЕ ЦИФРЫ", IF(LEFT(B858,9)*1&lt;=1001998, "OK", IF(RIGHT(B858,2)*1=IF(MOD(E858,101)&gt;=100,0,MOD(E858,101)),"OK","ОШИБКА")))))</f>
        <v/>
      </c>
      <c r="G8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8">
        <f>IF(LEN(TRIM(A858))=10, --MID(A858,1,1)*2+--MID(A858,2,1)*4+--MID(A858,3,1)*10+--MID(A858,4,1)*3+--MID(A858,5,1)*5+--MID(A858,6,1)*9+--MID(A858,7,1)*4+--MID(A858,8,1)*6+--MID(A858,9,1)*8, IF(LEN(TRIM(A858))=12, --MID(A858,1,1)*7+--MID(A858,2,1)*2+--MID(A858,3,1)*4+--MID(A858,4,1)*10+--MID(A858,5,1)*3+--MID(A858,6,1)*5+--MID(A858,7,1)*9+--MID(A858,8,1)*4+--MID(A858,9,1)*6+--MID(A858,10,1)*8, ""))</f>
        <v/>
      </c>
      <c r="I858">
        <f>IF(LEN(TRIM(A858))=12, --MID(A858,1,1)*3+--MID(A858,2,1)*7+--MID(A858,3,1)*2+--MID(A858,4,1)*4+--MID(A858,5,1)*10+--MID(A858,6,1)*3+--MID(A858,7,1)*5+--MID(A858,8,1)*9+--MID(A858,9,1)*4+--MID(A858,10,1)*6+--MID(A858,11,1)*8, "")</f>
        <v/>
      </c>
    </row>
    <row r="859">
      <c r="A859">
        <f>SUBSTITUTE(SUBSTITUTE(SUBSTITUTE(SUBSTITUTE(TRIM(INDEX(Реестр!$B:$B,ROW())),CHAR(160),""),CHAR(9),""),CHAR(10),""),CHAR(13),"")</f>
        <v/>
      </c>
      <c r="B859">
        <f>SUBSTITUTE(SUBSTITUTE(SUBSTITUTE(SUBSTITUTE(SUBSTITUTE(SUBSTITUTE(SUBSTITUTE(TRIM(INDEX(Реестр!$D:$D, ROW())), "-", ""), " ", ""), CHAR(160), ""), CHAR(9), ""), CHAR(10), ""), CHAR(13), ""), CHAR(32), "")</f>
        <v/>
      </c>
      <c r="C859">
        <f>INDEX(Реестр!$H:$H, ROW())</f>
        <v/>
      </c>
      <c r="D859">
        <f>IF(OR(ISBLANK(INDEX(Реестр!$B:$B, ROW())), INDEX(Реестр!$B:$B, ROW())=""), " ", IF(IFERROR(ISNUMBER(--A859),FALSE), IF(LEN(A859)=10, IF(MOD(MOD(H859,11),10)=--RIGHT(A859,1), "OK", "ОШИБКА"), IF(LEN(A859)=12, IF(AND(MOD(MOD(H859,11),10)=--MID(A859,11,1), MOD(MOD(I859,11),10)=--RIGHT(A859,1)), "OK", "ОШИБКА"), "ДЛИНА (10 или 12)")), "НЕ ЦИФРЫ"))</f>
        <v/>
      </c>
      <c r="E859">
        <f>MID(B859,1,1)*9+MID(B859,2,1)*8+MID(B859,3,1)*7+MID(B859,4,1)*6+MID(B859,5,1)*5+MID(B859,6,1)*4+MID(B859,7,1)*3+MID(B859,8,1)*2+MID(B859,9,1)</f>
        <v/>
      </c>
      <c r="F859">
        <f>IF(B859="", " ", IF(LEN(B859)&lt;&gt;11, "ДЛИНА", IF(NOT(ISNUMBER(--B859)), "НЕ ЦИФРЫ", IF(LEFT(B859,9)*1&lt;=1001998, "OK", IF(RIGHT(B859,2)*1=IF(MOD(E859,101)&gt;=100,0,MOD(E859,101)),"OK","ОШИБКА")))))</f>
        <v/>
      </c>
      <c r="G8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59">
        <f>IF(LEN(TRIM(A859))=10, --MID(A859,1,1)*2+--MID(A859,2,1)*4+--MID(A859,3,1)*10+--MID(A859,4,1)*3+--MID(A859,5,1)*5+--MID(A859,6,1)*9+--MID(A859,7,1)*4+--MID(A859,8,1)*6+--MID(A859,9,1)*8, IF(LEN(TRIM(A859))=12, --MID(A859,1,1)*7+--MID(A859,2,1)*2+--MID(A859,3,1)*4+--MID(A859,4,1)*10+--MID(A859,5,1)*3+--MID(A859,6,1)*5+--MID(A859,7,1)*9+--MID(A859,8,1)*4+--MID(A859,9,1)*6+--MID(A859,10,1)*8, ""))</f>
        <v/>
      </c>
      <c r="I859">
        <f>IF(LEN(TRIM(A859))=12, --MID(A859,1,1)*3+--MID(A859,2,1)*7+--MID(A859,3,1)*2+--MID(A859,4,1)*4+--MID(A859,5,1)*10+--MID(A859,6,1)*3+--MID(A859,7,1)*5+--MID(A859,8,1)*9+--MID(A859,9,1)*4+--MID(A859,10,1)*6+--MID(A859,11,1)*8, "")</f>
        <v/>
      </c>
    </row>
    <row r="860">
      <c r="A860">
        <f>SUBSTITUTE(SUBSTITUTE(SUBSTITUTE(SUBSTITUTE(TRIM(INDEX(Реестр!$B:$B,ROW())),CHAR(160),""),CHAR(9),""),CHAR(10),""),CHAR(13),"")</f>
        <v/>
      </c>
      <c r="B860">
        <f>SUBSTITUTE(SUBSTITUTE(SUBSTITUTE(SUBSTITUTE(SUBSTITUTE(SUBSTITUTE(SUBSTITUTE(TRIM(INDEX(Реестр!$D:$D, ROW())), "-", ""), " ", ""), CHAR(160), ""), CHAR(9), ""), CHAR(10), ""), CHAR(13), ""), CHAR(32), "")</f>
        <v/>
      </c>
      <c r="C860">
        <f>INDEX(Реестр!$H:$H, ROW())</f>
        <v/>
      </c>
      <c r="D860">
        <f>IF(OR(ISBLANK(INDEX(Реестр!$B:$B, ROW())), INDEX(Реестр!$B:$B, ROW())=""), " ", IF(IFERROR(ISNUMBER(--A860),FALSE), IF(LEN(A860)=10, IF(MOD(MOD(H860,11),10)=--RIGHT(A860,1), "OK", "ОШИБКА"), IF(LEN(A860)=12, IF(AND(MOD(MOD(H860,11),10)=--MID(A860,11,1), MOD(MOD(I860,11),10)=--RIGHT(A860,1)), "OK", "ОШИБКА"), "ДЛИНА (10 или 12)")), "НЕ ЦИФРЫ"))</f>
        <v/>
      </c>
      <c r="E860">
        <f>MID(B860,1,1)*9+MID(B860,2,1)*8+MID(B860,3,1)*7+MID(B860,4,1)*6+MID(B860,5,1)*5+MID(B860,6,1)*4+MID(B860,7,1)*3+MID(B860,8,1)*2+MID(B860,9,1)</f>
        <v/>
      </c>
      <c r="F860">
        <f>IF(B860="", " ", IF(LEN(B860)&lt;&gt;11, "ДЛИНА", IF(NOT(ISNUMBER(--B860)), "НЕ ЦИФРЫ", IF(LEFT(B860,9)*1&lt;=1001998, "OK", IF(RIGHT(B860,2)*1=IF(MOD(E860,101)&gt;=100,0,MOD(E860,101)),"OK","ОШИБКА")))))</f>
        <v/>
      </c>
      <c r="G8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0">
        <f>IF(LEN(TRIM(A860))=10, --MID(A860,1,1)*2+--MID(A860,2,1)*4+--MID(A860,3,1)*10+--MID(A860,4,1)*3+--MID(A860,5,1)*5+--MID(A860,6,1)*9+--MID(A860,7,1)*4+--MID(A860,8,1)*6+--MID(A860,9,1)*8, IF(LEN(TRIM(A860))=12, --MID(A860,1,1)*7+--MID(A860,2,1)*2+--MID(A860,3,1)*4+--MID(A860,4,1)*10+--MID(A860,5,1)*3+--MID(A860,6,1)*5+--MID(A860,7,1)*9+--MID(A860,8,1)*4+--MID(A860,9,1)*6+--MID(A860,10,1)*8, ""))</f>
        <v/>
      </c>
      <c r="I860">
        <f>IF(LEN(TRIM(A860))=12, --MID(A860,1,1)*3+--MID(A860,2,1)*7+--MID(A860,3,1)*2+--MID(A860,4,1)*4+--MID(A860,5,1)*10+--MID(A860,6,1)*3+--MID(A860,7,1)*5+--MID(A860,8,1)*9+--MID(A860,9,1)*4+--MID(A860,10,1)*6+--MID(A860,11,1)*8, "")</f>
        <v/>
      </c>
    </row>
    <row r="861">
      <c r="A861">
        <f>SUBSTITUTE(SUBSTITUTE(SUBSTITUTE(SUBSTITUTE(TRIM(INDEX(Реестр!$B:$B,ROW())),CHAR(160),""),CHAR(9),""),CHAR(10),""),CHAR(13),"")</f>
        <v/>
      </c>
      <c r="B861">
        <f>SUBSTITUTE(SUBSTITUTE(SUBSTITUTE(SUBSTITUTE(SUBSTITUTE(SUBSTITUTE(SUBSTITUTE(TRIM(INDEX(Реестр!$D:$D, ROW())), "-", ""), " ", ""), CHAR(160), ""), CHAR(9), ""), CHAR(10), ""), CHAR(13), ""), CHAR(32), "")</f>
        <v/>
      </c>
      <c r="C861">
        <f>INDEX(Реестр!$H:$H, ROW())</f>
        <v/>
      </c>
      <c r="D861">
        <f>IF(OR(ISBLANK(INDEX(Реестр!$B:$B, ROW())), INDEX(Реестр!$B:$B, ROW())=""), " ", IF(IFERROR(ISNUMBER(--A861),FALSE), IF(LEN(A861)=10, IF(MOD(MOD(H861,11),10)=--RIGHT(A861,1), "OK", "ОШИБКА"), IF(LEN(A861)=12, IF(AND(MOD(MOD(H861,11),10)=--MID(A861,11,1), MOD(MOD(I861,11),10)=--RIGHT(A861,1)), "OK", "ОШИБКА"), "ДЛИНА (10 или 12)")), "НЕ ЦИФРЫ"))</f>
        <v/>
      </c>
      <c r="E861">
        <f>MID(B861,1,1)*9+MID(B861,2,1)*8+MID(B861,3,1)*7+MID(B861,4,1)*6+MID(B861,5,1)*5+MID(B861,6,1)*4+MID(B861,7,1)*3+MID(B861,8,1)*2+MID(B861,9,1)</f>
        <v/>
      </c>
      <c r="F861">
        <f>IF(B861="", " ", IF(LEN(B861)&lt;&gt;11, "ДЛИНА", IF(NOT(ISNUMBER(--B861)), "НЕ ЦИФРЫ", IF(LEFT(B861,9)*1&lt;=1001998, "OK", IF(RIGHT(B861,2)*1=IF(MOD(E861,101)&gt;=100,0,MOD(E861,101)),"OK","ОШИБКА")))))</f>
        <v/>
      </c>
      <c r="G8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1">
        <f>IF(LEN(TRIM(A861))=10, --MID(A861,1,1)*2+--MID(A861,2,1)*4+--MID(A861,3,1)*10+--MID(A861,4,1)*3+--MID(A861,5,1)*5+--MID(A861,6,1)*9+--MID(A861,7,1)*4+--MID(A861,8,1)*6+--MID(A861,9,1)*8, IF(LEN(TRIM(A861))=12, --MID(A861,1,1)*7+--MID(A861,2,1)*2+--MID(A861,3,1)*4+--MID(A861,4,1)*10+--MID(A861,5,1)*3+--MID(A861,6,1)*5+--MID(A861,7,1)*9+--MID(A861,8,1)*4+--MID(A861,9,1)*6+--MID(A861,10,1)*8, ""))</f>
        <v/>
      </c>
      <c r="I861">
        <f>IF(LEN(TRIM(A861))=12, --MID(A861,1,1)*3+--MID(A861,2,1)*7+--MID(A861,3,1)*2+--MID(A861,4,1)*4+--MID(A861,5,1)*10+--MID(A861,6,1)*3+--MID(A861,7,1)*5+--MID(A861,8,1)*9+--MID(A861,9,1)*4+--MID(A861,10,1)*6+--MID(A861,11,1)*8, "")</f>
        <v/>
      </c>
    </row>
    <row r="862">
      <c r="A862">
        <f>SUBSTITUTE(SUBSTITUTE(SUBSTITUTE(SUBSTITUTE(TRIM(INDEX(Реестр!$B:$B,ROW())),CHAR(160),""),CHAR(9),""),CHAR(10),""),CHAR(13),"")</f>
        <v/>
      </c>
      <c r="B862">
        <f>SUBSTITUTE(SUBSTITUTE(SUBSTITUTE(SUBSTITUTE(SUBSTITUTE(SUBSTITUTE(SUBSTITUTE(TRIM(INDEX(Реестр!$D:$D, ROW())), "-", ""), " ", ""), CHAR(160), ""), CHAR(9), ""), CHAR(10), ""), CHAR(13), ""), CHAR(32), "")</f>
        <v/>
      </c>
      <c r="C862">
        <f>INDEX(Реестр!$H:$H, ROW())</f>
        <v/>
      </c>
      <c r="D862">
        <f>IF(OR(ISBLANK(INDEX(Реестр!$B:$B, ROW())), INDEX(Реестр!$B:$B, ROW())=""), " ", IF(IFERROR(ISNUMBER(--A862),FALSE), IF(LEN(A862)=10, IF(MOD(MOD(H862,11),10)=--RIGHT(A862,1), "OK", "ОШИБКА"), IF(LEN(A862)=12, IF(AND(MOD(MOD(H862,11),10)=--MID(A862,11,1), MOD(MOD(I862,11),10)=--RIGHT(A862,1)), "OK", "ОШИБКА"), "ДЛИНА (10 или 12)")), "НЕ ЦИФРЫ"))</f>
        <v/>
      </c>
      <c r="E862">
        <f>MID(B862,1,1)*9+MID(B862,2,1)*8+MID(B862,3,1)*7+MID(B862,4,1)*6+MID(B862,5,1)*5+MID(B862,6,1)*4+MID(B862,7,1)*3+MID(B862,8,1)*2+MID(B862,9,1)</f>
        <v/>
      </c>
      <c r="F862">
        <f>IF(B862="", " ", IF(LEN(B862)&lt;&gt;11, "ДЛИНА", IF(NOT(ISNUMBER(--B862)), "НЕ ЦИФРЫ", IF(LEFT(B862,9)*1&lt;=1001998, "OK", IF(RIGHT(B862,2)*1=IF(MOD(E862,101)&gt;=100,0,MOD(E862,101)),"OK","ОШИБКА")))))</f>
        <v/>
      </c>
      <c r="G8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2">
        <f>IF(LEN(TRIM(A862))=10, --MID(A862,1,1)*2+--MID(A862,2,1)*4+--MID(A862,3,1)*10+--MID(A862,4,1)*3+--MID(A862,5,1)*5+--MID(A862,6,1)*9+--MID(A862,7,1)*4+--MID(A862,8,1)*6+--MID(A862,9,1)*8, IF(LEN(TRIM(A862))=12, --MID(A862,1,1)*7+--MID(A862,2,1)*2+--MID(A862,3,1)*4+--MID(A862,4,1)*10+--MID(A862,5,1)*3+--MID(A862,6,1)*5+--MID(A862,7,1)*9+--MID(A862,8,1)*4+--MID(A862,9,1)*6+--MID(A862,10,1)*8, ""))</f>
        <v/>
      </c>
      <c r="I862">
        <f>IF(LEN(TRIM(A862))=12, --MID(A862,1,1)*3+--MID(A862,2,1)*7+--MID(A862,3,1)*2+--MID(A862,4,1)*4+--MID(A862,5,1)*10+--MID(A862,6,1)*3+--MID(A862,7,1)*5+--MID(A862,8,1)*9+--MID(A862,9,1)*4+--MID(A862,10,1)*6+--MID(A862,11,1)*8, "")</f>
        <v/>
      </c>
    </row>
    <row r="863">
      <c r="A863">
        <f>SUBSTITUTE(SUBSTITUTE(SUBSTITUTE(SUBSTITUTE(TRIM(INDEX(Реестр!$B:$B,ROW())),CHAR(160),""),CHAR(9),""),CHAR(10),""),CHAR(13),"")</f>
        <v/>
      </c>
      <c r="B863">
        <f>SUBSTITUTE(SUBSTITUTE(SUBSTITUTE(SUBSTITUTE(SUBSTITUTE(SUBSTITUTE(SUBSTITUTE(TRIM(INDEX(Реестр!$D:$D, ROW())), "-", ""), " ", ""), CHAR(160), ""), CHAR(9), ""), CHAR(10), ""), CHAR(13), ""), CHAR(32), "")</f>
        <v/>
      </c>
      <c r="C863">
        <f>INDEX(Реестр!$H:$H, ROW())</f>
        <v/>
      </c>
      <c r="D863">
        <f>IF(OR(ISBLANK(INDEX(Реестр!$B:$B, ROW())), INDEX(Реестр!$B:$B, ROW())=""), " ", IF(IFERROR(ISNUMBER(--A863),FALSE), IF(LEN(A863)=10, IF(MOD(MOD(H863,11),10)=--RIGHT(A863,1), "OK", "ОШИБКА"), IF(LEN(A863)=12, IF(AND(MOD(MOD(H863,11),10)=--MID(A863,11,1), MOD(MOD(I863,11),10)=--RIGHT(A863,1)), "OK", "ОШИБКА"), "ДЛИНА (10 или 12)")), "НЕ ЦИФРЫ"))</f>
        <v/>
      </c>
      <c r="E863">
        <f>MID(B863,1,1)*9+MID(B863,2,1)*8+MID(B863,3,1)*7+MID(B863,4,1)*6+MID(B863,5,1)*5+MID(B863,6,1)*4+MID(B863,7,1)*3+MID(B863,8,1)*2+MID(B863,9,1)</f>
        <v/>
      </c>
      <c r="F863">
        <f>IF(B863="", " ", IF(LEN(B863)&lt;&gt;11, "ДЛИНА", IF(NOT(ISNUMBER(--B863)), "НЕ ЦИФРЫ", IF(LEFT(B863,9)*1&lt;=1001998, "OK", IF(RIGHT(B863,2)*1=IF(MOD(E863,101)&gt;=100,0,MOD(E863,101)),"OK","ОШИБКА")))))</f>
        <v/>
      </c>
      <c r="G8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3">
        <f>IF(LEN(TRIM(A863))=10, --MID(A863,1,1)*2+--MID(A863,2,1)*4+--MID(A863,3,1)*10+--MID(A863,4,1)*3+--MID(A863,5,1)*5+--MID(A863,6,1)*9+--MID(A863,7,1)*4+--MID(A863,8,1)*6+--MID(A863,9,1)*8, IF(LEN(TRIM(A863))=12, --MID(A863,1,1)*7+--MID(A863,2,1)*2+--MID(A863,3,1)*4+--MID(A863,4,1)*10+--MID(A863,5,1)*3+--MID(A863,6,1)*5+--MID(A863,7,1)*9+--MID(A863,8,1)*4+--MID(A863,9,1)*6+--MID(A863,10,1)*8, ""))</f>
        <v/>
      </c>
      <c r="I863">
        <f>IF(LEN(TRIM(A863))=12, --MID(A863,1,1)*3+--MID(A863,2,1)*7+--MID(A863,3,1)*2+--MID(A863,4,1)*4+--MID(A863,5,1)*10+--MID(A863,6,1)*3+--MID(A863,7,1)*5+--MID(A863,8,1)*9+--MID(A863,9,1)*4+--MID(A863,10,1)*6+--MID(A863,11,1)*8, "")</f>
        <v/>
      </c>
    </row>
    <row r="864">
      <c r="A864">
        <f>SUBSTITUTE(SUBSTITUTE(SUBSTITUTE(SUBSTITUTE(TRIM(INDEX(Реестр!$B:$B,ROW())),CHAR(160),""),CHAR(9),""),CHAR(10),""),CHAR(13),"")</f>
        <v/>
      </c>
      <c r="B864">
        <f>SUBSTITUTE(SUBSTITUTE(SUBSTITUTE(SUBSTITUTE(SUBSTITUTE(SUBSTITUTE(SUBSTITUTE(TRIM(INDEX(Реестр!$D:$D, ROW())), "-", ""), " ", ""), CHAR(160), ""), CHAR(9), ""), CHAR(10), ""), CHAR(13), ""), CHAR(32), "")</f>
        <v/>
      </c>
      <c r="C864">
        <f>INDEX(Реестр!$H:$H, ROW())</f>
        <v/>
      </c>
      <c r="D864">
        <f>IF(OR(ISBLANK(INDEX(Реестр!$B:$B, ROW())), INDEX(Реестр!$B:$B, ROW())=""), " ", IF(IFERROR(ISNUMBER(--A864),FALSE), IF(LEN(A864)=10, IF(MOD(MOD(H864,11),10)=--RIGHT(A864,1), "OK", "ОШИБКА"), IF(LEN(A864)=12, IF(AND(MOD(MOD(H864,11),10)=--MID(A864,11,1), MOD(MOD(I864,11),10)=--RIGHT(A864,1)), "OK", "ОШИБКА"), "ДЛИНА (10 или 12)")), "НЕ ЦИФРЫ"))</f>
        <v/>
      </c>
      <c r="E864">
        <f>MID(B864,1,1)*9+MID(B864,2,1)*8+MID(B864,3,1)*7+MID(B864,4,1)*6+MID(B864,5,1)*5+MID(B864,6,1)*4+MID(B864,7,1)*3+MID(B864,8,1)*2+MID(B864,9,1)</f>
        <v/>
      </c>
      <c r="F864">
        <f>IF(B864="", " ", IF(LEN(B864)&lt;&gt;11, "ДЛИНА", IF(NOT(ISNUMBER(--B864)), "НЕ ЦИФРЫ", IF(LEFT(B864,9)*1&lt;=1001998, "OK", IF(RIGHT(B864,2)*1=IF(MOD(E864,101)&gt;=100,0,MOD(E864,101)),"OK","ОШИБКА")))))</f>
        <v/>
      </c>
      <c r="G8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4">
        <f>IF(LEN(TRIM(A864))=10, --MID(A864,1,1)*2+--MID(A864,2,1)*4+--MID(A864,3,1)*10+--MID(A864,4,1)*3+--MID(A864,5,1)*5+--MID(A864,6,1)*9+--MID(A864,7,1)*4+--MID(A864,8,1)*6+--MID(A864,9,1)*8, IF(LEN(TRIM(A864))=12, --MID(A864,1,1)*7+--MID(A864,2,1)*2+--MID(A864,3,1)*4+--MID(A864,4,1)*10+--MID(A864,5,1)*3+--MID(A864,6,1)*5+--MID(A864,7,1)*9+--MID(A864,8,1)*4+--MID(A864,9,1)*6+--MID(A864,10,1)*8, ""))</f>
        <v/>
      </c>
      <c r="I864">
        <f>IF(LEN(TRIM(A864))=12, --MID(A864,1,1)*3+--MID(A864,2,1)*7+--MID(A864,3,1)*2+--MID(A864,4,1)*4+--MID(A864,5,1)*10+--MID(A864,6,1)*3+--MID(A864,7,1)*5+--MID(A864,8,1)*9+--MID(A864,9,1)*4+--MID(A864,10,1)*6+--MID(A864,11,1)*8, "")</f>
        <v/>
      </c>
    </row>
    <row r="865">
      <c r="A865">
        <f>SUBSTITUTE(SUBSTITUTE(SUBSTITUTE(SUBSTITUTE(TRIM(INDEX(Реестр!$B:$B,ROW())),CHAR(160),""),CHAR(9),""),CHAR(10),""),CHAR(13),"")</f>
        <v/>
      </c>
      <c r="B865">
        <f>SUBSTITUTE(SUBSTITUTE(SUBSTITUTE(SUBSTITUTE(SUBSTITUTE(SUBSTITUTE(SUBSTITUTE(TRIM(INDEX(Реестр!$D:$D, ROW())), "-", ""), " ", ""), CHAR(160), ""), CHAR(9), ""), CHAR(10), ""), CHAR(13), ""), CHAR(32), "")</f>
        <v/>
      </c>
      <c r="C865">
        <f>INDEX(Реестр!$H:$H, ROW())</f>
        <v/>
      </c>
      <c r="D865">
        <f>IF(OR(ISBLANK(INDEX(Реестр!$B:$B, ROW())), INDEX(Реестр!$B:$B, ROW())=""), " ", IF(IFERROR(ISNUMBER(--A865),FALSE), IF(LEN(A865)=10, IF(MOD(MOD(H865,11),10)=--RIGHT(A865,1), "OK", "ОШИБКА"), IF(LEN(A865)=12, IF(AND(MOD(MOD(H865,11),10)=--MID(A865,11,1), MOD(MOD(I865,11),10)=--RIGHT(A865,1)), "OK", "ОШИБКА"), "ДЛИНА (10 или 12)")), "НЕ ЦИФРЫ"))</f>
        <v/>
      </c>
      <c r="E865">
        <f>MID(B865,1,1)*9+MID(B865,2,1)*8+MID(B865,3,1)*7+MID(B865,4,1)*6+MID(B865,5,1)*5+MID(B865,6,1)*4+MID(B865,7,1)*3+MID(B865,8,1)*2+MID(B865,9,1)</f>
        <v/>
      </c>
      <c r="F865">
        <f>IF(B865="", " ", IF(LEN(B865)&lt;&gt;11, "ДЛИНА", IF(NOT(ISNUMBER(--B865)), "НЕ ЦИФРЫ", IF(LEFT(B865,9)*1&lt;=1001998, "OK", IF(RIGHT(B865,2)*1=IF(MOD(E865,101)&gt;=100,0,MOD(E865,101)),"OK","ОШИБКА")))))</f>
        <v/>
      </c>
      <c r="G8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5">
        <f>IF(LEN(TRIM(A865))=10, --MID(A865,1,1)*2+--MID(A865,2,1)*4+--MID(A865,3,1)*10+--MID(A865,4,1)*3+--MID(A865,5,1)*5+--MID(A865,6,1)*9+--MID(A865,7,1)*4+--MID(A865,8,1)*6+--MID(A865,9,1)*8, IF(LEN(TRIM(A865))=12, --MID(A865,1,1)*7+--MID(A865,2,1)*2+--MID(A865,3,1)*4+--MID(A865,4,1)*10+--MID(A865,5,1)*3+--MID(A865,6,1)*5+--MID(A865,7,1)*9+--MID(A865,8,1)*4+--MID(A865,9,1)*6+--MID(A865,10,1)*8, ""))</f>
        <v/>
      </c>
      <c r="I865">
        <f>IF(LEN(TRIM(A865))=12, --MID(A865,1,1)*3+--MID(A865,2,1)*7+--MID(A865,3,1)*2+--MID(A865,4,1)*4+--MID(A865,5,1)*10+--MID(A865,6,1)*3+--MID(A865,7,1)*5+--MID(A865,8,1)*9+--MID(A865,9,1)*4+--MID(A865,10,1)*6+--MID(A865,11,1)*8, "")</f>
        <v/>
      </c>
    </row>
    <row r="866">
      <c r="A866">
        <f>SUBSTITUTE(SUBSTITUTE(SUBSTITUTE(SUBSTITUTE(TRIM(INDEX(Реестр!$B:$B,ROW())),CHAR(160),""),CHAR(9),""),CHAR(10),""),CHAR(13),"")</f>
        <v/>
      </c>
      <c r="B866">
        <f>SUBSTITUTE(SUBSTITUTE(SUBSTITUTE(SUBSTITUTE(SUBSTITUTE(SUBSTITUTE(SUBSTITUTE(TRIM(INDEX(Реестр!$D:$D, ROW())), "-", ""), " ", ""), CHAR(160), ""), CHAR(9), ""), CHAR(10), ""), CHAR(13), ""), CHAR(32), "")</f>
        <v/>
      </c>
      <c r="C866">
        <f>INDEX(Реестр!$H:$H, ROW())</f>
        <v/>
      </c>
      <c r="D866">
        <f>IF(OR(ISBLANK(INDEX(Реестр!$B:$B, ROW())), INDEX(Реестр!$B:$B, ROW())=""), " ", IF(IFERROR(ISNUMBER(--A866),FALSE), IF(LEN(A866)=10, IF(MOD(MOD(H866,11),10)=--RIGHT(A866,1), "OK", "ОШИБКА"), IF(LEN(A866)=12, IF(AND(MOD(MOD(H866,11),10)=--MID(A866,11,1), MOD(MOD(I866,11),10)=--RIGHT(A866,1)), "OK", "ОШИБКА"), "ДЛИНА (10 или 12)")), "НЕ ЦИФРЫ"))</f>
        <v/>
      </c>
      <c r="E866">
        <f>MID(B866,1,1)*9+MID(B866,2,1)*8+MID(B866,3,1)*7+MID(B866,4,1)*6+MID(B866,5,1)*5+MID(B866,6,1)*4+MID(B866,7,1)*3+MID(B866,8,1)*2+MID(B866,9,1)</f>
        <v/>
      </c>
      <c r="F866">
        <f>IF(B866="", " ", IF(LEN(B866)&lt;&gt;11, "ДЛИНА", IF(NOT(ISNUMBER(--B866)), "НЕ ЦИФРЫ", IF(LEFT(B866,9)*1&lt;=1001998, "OK", IF(RIGHT(B866,2)*1=IF(MOD(E866,101)&gt;=100,0,MOD(E866,101)),"OK","ОШИБКА")))))</f>
        <v/>
      </c>
      <c r="G8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6">
        <f>IF(LEN(TRIM(A866))=10, --MID(A866,1,1)*2+--MID(A866,2,1)*4+--MID(A866,3,1)*10+--MID(A866,4,1)*3+--MID(A866,5,1)*5+--MID(A866,6,1)*9+--MID(A866,7,1)*4+--MID(A866,8,1)*6+--MID(A866,9,1)*8, IF(LEN(TRIM(A866))=12, --MID(A866,1,1)*7+--MID(A866,2,1)*2+--MID(A866,3,1)*4+--MID(A866,4,1)*10+--MID(A866,5,1)*3+--MID(A866,6,1)*5+--MID(A866,7,1)*9+--MID(A866,8,1)*4+--MID(A866,9,1)*6+--MID(A866,10,1)*8, ""))</f>
        <v/>
      </c>
      <c r="I866">
        <f>IF(LEN(TRIM(A866))=12, --MID(A866,1,1)*3+--MID(A866,2,1)*7+--MID(A866,3,1)*2+--MID(A866,4,1)*4+--MID(A866,5,1)*10+--MID(A866,6,1)*3+--MID(A866,7,1)*5+--MID(A866,8,1)*9+--MID(A866,9,1)*4+--MID(A866,10,1)*6+--MID(A866,11,1)*8, "")</f>
        <v/>
      </c>
    </row>
    <row r="867">
      <c r="A867">
        <f>SUBSTITUTE(SUBSTITUTE(SUBSTITUTE(SUBSTITUTE(TRIM(INDEX(Реестр!$B:$B,ROW())),CHAR(160),""),CHAR(9),""),CHAR(10),""),CHAR(13),"")</f>
        <v/>
      </c>
      <c r="B867">
        <f>SUBSTITUTE(SUBSTITUTE(SUBSTITUTE(SUBSTITUTE(SUBSTITUTE(SUBSTITUTE(SUBSTITUTE(TRIM(INDEX(Реестр!$D:$D, ROW())), "-", ""), " ", ""), CHAR(160), ""), CHAR(9), ""), CHAR(10), ""), CHAR(13), ""), CHAR(32), "")</f>
        <v/>
      </c>
      <c r="C867">
        <f>INDEX(Реестр!$H:$H, ROW())</f>
        <v/>
      </c>
      <c r="D867">
        <f>IF(OR(ISBLANK(INDEX(Реестр!$B:$B, ROW())), INDEX(Реестр!$B:$B, ROW())=""), " ", IF(IFERROR(ISNUMBER(--A867),FALSE), IF(LEN(A867)=10, IF(MOD(MOD(H867,11),10)=--RIGHT(A867,1), "OK", "ОШИБКА"), IF(LEN(A867)=12, IF(AND(MOD(MOD(H867,11),10)=--MID(A867,11,1), MOD(MOD(I867,11),10)=--RIGHT(A867,1)), "OK", "ОШИБКА"), "ДЛИНА (10 или 12)")), "НЕ ЦИФРЫ"))</f>
        <v/>
      </c>
      <c r="E867">
        <f>MID(B867,1,1)*9+MID(B867,2,1)*8+MID(B867,3,1)*7+MID(B867,4,1)*6+MID(B867,5,1)*5+MID(B867,6,1)*4+MID(B867,7,1)*3+MID(B867,8,1)*2+MID(B867,9,1)</f>
        <v/>
      </c>
      <c r="F867">
        <f>IF(B867="", " ", IF(LEN(B867)&lt;&gt;11, "ДЛИНА", IF(NOT(ISNUMBER(--B867)), "НЕ ЦИФРЫ", IF(LEFT(B867,9)*1&lt;=1001998, "OK", IF(RIGHT(B867,2)*1=IF(MOD(E867,101)&gt;=100,0,MOD(E867,101)),"OK","ОШИБКА")))))</f>
        <v/>
      </c>
      <c r="G8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7">
        <f>IF(LEN(TRIM(A867))=10, --MID(A867,1,1)*2+--MID(A867,2,1)*4+--MID(A867,3,1)*10+--MID(A867,4,1)*3+--MID(A867,5,1)*5+--MID(A867,6,1)*9+--MID(A867,7,1)*4+--MID(A867,8,1)*6+--MID(A867,9,1)*8, IF(LEN(TRIM(A867))=12, --MID(A867,1,1)*7+--MID(A867,2,1)*2+--MID(A867,3,1)*4+--MID(A867,4,1)*10+--MID(A867,5,1)*3+--MID(A867,6,1)*5+--MID(A867,7,1)*9+--MID(A867,8,1)*4+--MID(A867,9,1)*6+--MID(A867,10,1)*8, ""))</f>
        <v/>
      </c>
      <c r="I867">
        <f>IF(LEN(TRIM(A867))=12, --MID(A867,1,1)*3+--MID(A867,2,1)*7+--MID(A867,3,1)*2+--MID(A867,4,1)*4+--MID(A867,5,1)*10+--MID(A867,6,1)*3+--MID(A867,7,1)*5+--MID(A867,8,1)*9+--MID(A867,9,1)*4+--MID(A867,10,1)*6+--MID(A867,11,1)*8, "")</f>
        <v/>
      </c>
    </row>
    <row r="868">
      <c r="A868">
        <f>SUBSTITUTE(SUBSTITUTE(SUBSTITUTE(SUBSTITUTE(TRIM(INDEX(Реестр!$B:$B,ROW())),CHAR(160),""),CHAR(9),""),CHAR(10),""),CHAR(13),"")</f>
        <v/>
      </c>
      <c r="B868">
        <f>SUBSTITUTE(SUBSTITUTE(SUBSTITUTE(SUBSTITUTE(SUBSTITUTE(SUBSTITUTE(SUBSTITUTE(TRIM(INDEX(Реестр!$D:$D, ROW())), "-", ""), " ", ""), CHAR(160), ""), CHAR(9), ""), CHAR(10), ""), CHAR(13), ""), CHAR(32), "")</f>
        <v/>
      </c>
      <c r="C868">
        <f>INDEX(Реестр!$H:$H, ROW())</f>
        <v/>
      </c>
      <c r="D868">
        <f>IF(OR(ISBLANK(INDEX(Реестр!$B:$B, ROW())), INDEX(Реестр!$B:$B, ROW())=""), " ", IF(IFERROR(ISNUMBER(--A868),FALSE), IF(LEN(A868)=10, IF(MOD(MOD(H868,11),10)=--RIGHT(A868,1), "OK", "ОШИБКА"), IF(LEN(A868)=12, IF(AND(MOD(MOD(H868,11),10)=--MID(A868,11,1), MOD(MOD(I868,11),10)=--RIGHT(A868,1)), "OK", "ОШИБКА"), "ДЛИНА (10 или 12)")), "НЕ ЦИФРЫ"))</f>
        <v/>
      </c>
      <c r="E868">
        <f>MID(B868,1,1)*9+MID(B868,2,1)*8+MID(B868,3,1)*7+MID(B868,4,1)*6+MID(B868,5,1)*5+MID(B868,6,1)*4+MID(B868,7,1)*3+MID(B868,8,1)*2+MID(B868,9,1)</f>
        <v/>
      </c>
      <c r="F868">
        <f>IF(B868="", " ", IF(LEN(B868)&lt;&gt;11, "ДЛИНА", IF(NOT(ISNUMBER(--B868)), "НЕ ЦИФРЫ", IF(LEFT(B868,9)*1&lt;=1001998, "OK", IF(RIGHT(B868,2)*1=IF(MOD(E868,101)&gt;=100,0,MOD(E868,101)),"OK","ОШИБКА")))))</f>
        <v/>
      </c>
      <c r="G8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8">
        <f>IF(LEN(TRIM(A868))=10, --MID(A868,1,1)*2+--MID(A868,2,1)*4+--MID(A868,3,1)*10+--MID(A868,4,1)*3+--MID(A868,5,1)*5+--MID(A868,6,1)*9+--MID(A868,7,1)*4+--MID(A868,8,1)*6+--MID(A868,9,1)*8, IF(LEN(TRIM(A868))=12, --MID(A868,1,1)*7+--MID(A868,2,1)*2+--MID(A868,3,1)*4+--MID(A868,4,1)*10+--MID(A868,5,1)*3+--MID(A868,6,1)*5+--MID(A868,7,1)*9+--MID(A868,8,1)*4+--MID(A868,9,1)*6+--MID(A868,10,1)*8, ""))</f>
        <v/>
      </c>
      <c r="I868">
        <f>IF(LEN(TRIM(A868))=12, --MID(A868,1,1)*3+--MID(A868,2,1)*7+--MID(A868,3,1)*2+--MID(A868,4,1)*4+--MID(A868,5,1)*10+--MID(A868,6,1)*3+--MID(A868,7,1)*5+--MID(A868,8,1)*9+--MID(A868,9,1)*4+--MID(A868,10,1)*6+--MID(A868,11,1)*8, "")</f>
        <v/>
      </c>
    </row>
    <row r="869">
      <c r="A869">
        <f>SUBSTITUTE(SUBSTITUTE(SUBSTITUTE(SUBSTITUTE(TRIM(INDEX(Реестр!$B:$B,ROW())),CHAR(160),""),CHAR(9),""),CHAR(10),""),CHAR(13),"")</f>
        <v/>
      </c>
      <c r="B869">
        <f>SUBSTITUTE(SUBSTITUTE(SUBSTITUTE(SUBSTITUTE(SUBSTITUTE(SUBSTITUTE(SUBSTITUTE(TRIM(INDEX(Реестр!$D:$D, ROW())), "-", ""), " ", ""), CHAR(160), ""), CHAR(9), ""), CHAR(10), ""), CHAR(13), ""), CHAR(32), "")</f>
        <v/>
      </c>
      <c r="C869">
        <f>INDEX(Реестр!$H:$H, ROW())</f>
        <v/>
      </c>
      <c r="D869">
        <f>IF(OR(ISBLANK(INDEX(Реестр!$B:$B, ROW())), INDEX(Реестр!$B:$B, ROW())=""), " ", IF(IFERROR(ISNUMBER(--A869),FALSE), IF(LEN(A869)=10, IF(MOD(MOD(H869,11),10)=--RIGHT(A869,1), "OK", "ОШИБКА"), IF(LEN(A869)=12, IF(AND(MOD(MOD(H869,11),10)=--MID(A869,11,1), MOD(MOD(I869,11),10)=--RIGHT(A869,1)), "OK", "ОШИБКА"), "ДЛИНА (10 или 12)")), "НЕ ЦИФРЫ"))</f>
        <v/>
      </c>
      <c r="E869">
        <f>MID(B869,1,1)*9+MID(B869,2,1)*8+MID(B869,3,1)*7+MID(B869,4,1)*6+MID(B869,5,1)*5+MID(B869,6,1)*4+MID(B869,7,1)*3+MID(B869,8,1)*2+MID(B869,9,1)</f>
        <v/>
      </c>
      <c r="F869">
        <f>IF(B869="", " ", IF(LEN(B869)&lt;&gt;11, "ДЛИНА", IF(NOT(ISNUMBER(--B869)), "НЕ ЦИФРЫ", IF(LEFT(B869,9)*1&lt;=1001998, "OK", IF(RIGHT(B869,2)*1=IF(MOD(E869,101)&gt;=100,0,MOD(E869,101)),"OK","ОШИБКА")))))</f>
        <v/>
      </c>
      <c r="G8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69">
        <f>IF(LEN(TRIM(A869))=10, --MID(A869,1,1)*2+--MID(A869,2,1)*4+--MID(A869,3,1)*10+--MID(A869,4,1)*3+--MID(A869,5,1)*5+--MID(A869,6,1)*9+--MID(A869,7,1)*4+--MID(A869,8,1)*6+--MID(A869,9,1)*8, IF(LEN(TRIM(A869))=12, --MID(A869,1,1)*7+--MID(A869,2,1)*2+--MID(A869,3,1)*4+--MID(A869,4,1)*10+--MID(A869,5,1)*3+--MID(A869,6,1)*5+--MID(A869,7,1)*9+--MID(A869,8,1)*4+--MID(A869,9,1)*6+--MID(A869,10,1)*8, ""))</f>
        <v/>
      </c>
      <c r="I869">
        <f>IF(LEN(TRIM(A869))=12, --MID(A869,1,1)*3+--MID(A869,2,1)*7+--MID(A869,3,1)*2+--MID(A869,4,1)*4+--MID(A869,5,1)*10+--MID(A869,6,1)*3+--MID(A869,7,1)*5+--MID(A869,8,1)*9+--MID(A869,9,1)*4+--MID(A869,10,1)*6+--MID(A869,11,1)*8, "")</f>
        <v/>
      </c>
    </row>
    <row r="870">
      <c r="A870">
        <f>SUBSTITUTE(SUBSTITUTE(SUBSTITUTE(SUBSTITUTE(TRIM(INDEX(Реестр!$B:$B,ROW())),CHAR(160),""),CHAR(9),""),CHAR(10),""),CHAR(13),"")</f>
        <v/>
      </c>
      <c r="B870">
        <f>SUBSTITUTE(SUBSTITUTE(SUBSTITUTE(SUBSTITUTE(SUBSTITUTE(SUBSTITUTE(SUBSTITUTE(TRIM(INDEX(Реестр!$D:$D, ROW())), "-", ""), " ", ""), CHAR(160), ""), CHAR(9), ""), CHAR(10), ""), CHAR(13), ""), CHAR(32), "")</f>
        <v/>
      </c>
      <c r="C870">
        <f>INDEX(Реестр!$H:$H, ROW())</f>
        <v/>
      </c>
      <c r="D870">
        <f>IF(OR(ISBLANK(INDEX(Реестр!$B:$B, ROW())), INDEX(Реестр!$B:$B, ROW())=""), " ", IF(IFERROR(ISNUMBER(--A870),FALSE), IF(LEN(A870)=10, IF(MOD(MOD(H870,11),10)=--RIGHT(A870,1), "OK", "ОШИБКА"), IF(LEN(A870)=12, IF(AND(MOD(MOD(H870,11),10)=--MID(A870,11,1), MOD(MOD(I870,11),10)=--RIGHT(A870,1)), "OK", "ОШИБКА"), "ДЛИНА (10 или 12)")), "НЕ ЦИФРЫ"))</f>
        <v/>
      </c>
      <c r="E870">
        <f>MID(B870,1,1)*9+MID(B870,2,1)*8+MID(B870,3,1)*7+MID(B870,4,1)*6+MID(B870,5,1)*5+MID(B870,6,1)*4+MID(B870,7,1)*3+MID(B870,8,1)*2+MID(B870,9,1)</f>
        <v/>
      </c>
      <c r="F870">
        <f>IF(B870="", " ", IF(LEN(B870)&lt;&gt;11, "ДЛИНА", IF(NOT(ISNUMBER(--B870)), "НЕ ЦИФРЫ", IF(LEFT(B870,9)*1&lt;=1001998, "OK", IF(RIGHT(B870,2)*1=IF(MOD(E870,101)&gt;=100,0,MOD(E870,101)),"OK","ОШИБКА")))))</f>
        <v/>
      </c>
      <c r="G8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0">
        <f>IF(LEN(TRIM(A870))=10, --MID(A870,1,1)*2+--MID(A870,2,1)*4+--MID(A870,3,1)*10+--MID(A870,4,1)*3+--MID(A870,5,1)*5+--MID(A870,6,1)*9+--MID(A870,7,1)*4+--MID(A870,8,1)*6+--MID(A870,9,1)*8, IF(LEN(TRIM(A870))=12, --MID(A870,1,1)*7+--MID(A870,2,1)*2+--MID(A870,3,1)*4+--MID(A870,4,1)*10+--MID(A870,5,1)*3+--MID(A870,6,1)*5+--MID(A870,7,1)*9+--MID(A870,8,1)*4+--MID(A870,9,1)*6+--MID(A870,10,1)*8, ""))</f>
        <v/>
      </c>
      <c r="I870">
        <f>IF(LEN(TRIM(A870))=12, --MID(A870,1,1)*3+--MID(A870,2,1)*7+--MID(A870,3,1)*2+--MID(A870,4,1)*4+--MID(A870,5,1)*10+--MID(A870,6,1)*3+--MID(A870,7,1)*5+--MID(A870,8,1)*9+--MID(A870,9,1)*4+--MID(A870,10,1)*6+--MID(A870,11,1)*8, "")</f>
        <v/>
      </c>
    </row>
    <row r="871">
      <c r="A871">
        <f>SUBSTITUTE(SUBSTITUTE(SUBSTITUTE(SUBSTITUTE(TRIM(INDEX(Реестр!$B:$B,ROW())),CHAR(160),""),CHAR(9),""),CHAR(10),""),CHAR(13),"")</f>
        <v/>
      </c>
      <c r="B871">
        <f>SUBSTITUTE(SUBSTITUTE(SUBSTITUTE(SUBSTITUTE(SUBSTITUTE(SUBSTITUTE(SUBSTITUTE(TRIM(INDEX(Реестр!$D:$D, ROW())), "-", ""), " ", ""), CHAR(160), ""), CHAR(9), ""), CHAR(10), ""), CHAR(13), ""), CHAR(32), "")</f>
        <v/>
      </c>
      <c r="C871">
        <f>INDEX(Реестр!$H:$H, ROW())</f>
        <v/>
      </c>
      <c r="D871">
        <f>IF(OR(ISBLANK(INDEX(Реестр!$B:$B, ROW())), INDEX(Реестр!$B:$B, ROW())=""), " ", IF(IFERROR(ISNUMBER(--A871),FALSE), IF(LEN(A871)=10, IF(MOD(MOD(H871,11),10)=--RIGHT(A871,1), "OK", "ОШИБКА"), IF(LEN(A871)=12, IF(AND(MOD(MOD(H871,11),10)=--MID(A871,11,1), MOD(MOD(I871,11),10)=--RIGHT(A871,1)), "OK", "ОШИБКА"), "ДЛИНА (10 или 12)")), "НЕ ЦИФРЫ"))</f>
        <v/>
      </c>
      <c r="E871">
        <f>MID(B871,1,1)*9+MID(B871,2,1)*8+MID(B871,3,1)*7+MID(B871,4,1)*6+MID(B871,5,1)*5+MID(B871,6,1)*4+MID(B871,7,1)*3+MID(B871,8,1)*2+MID(B871,9,1)</f>
        <v/>
      </c>
      <c r="F871">
        <f>IF(B871="", " ", IF(LEN(B871)&lt;&gt;11, "ДЛИНА", IF(NOT(ISNUMBER(--B871)), "НЕ ЦИФРЫ", IF(LEFT(B871,9)*1&lt;=1001998, "OK", IF(RIGHT(B871,2)*1=IF(MOD(E871,101)&gt;=100,0,MOD(E871,101)),"OK","ОШИБКА")))))</f>
        <v/>
      </c>
      <c r="G8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1">
        <f>IF(LEN(TRIM(A871))=10, --MID(A871,1,1)*2+--MID(A871,2,1)*4+--MID(A871,3,1)*10+--MID(A871,4,1)*3+--MID(A871,5,1)*5+--MID(A871,6,1)*9+--MID(A871,7,1)*4+--MID(A871,8,1)*6+--MID(A871,9,1)*8, IF(LEN(TRIM(A871))=12, --MID(A871,1,1)*7+--MID(A871,2,1)*2+--MID(A871,3,1)*4+--MID(A871,4,1)*10+--MID(A871,5,1)*3+--MID(A871,6,1)*5+--MID(A871,7,1)*9+--MID(A871,8,1)*4+--MID(A871,9,1)*6+--MID(A871,10,1)*8, ""))</f>
        <v/>
      </c>
      <c r="I871">
        <f>IF(LEN(TRIM(A871))=12, --MID(A871,1,1)*3+--MID(A871,2,1)*7+--MID(A871,3,1)*2+--MID(A871,4,1)*4+--MID(A871,5,1)*10+--MID(A871,6,1)*3+--MID(A871,7,1)*5+--MID(A871,8,1)*9+--MID(A871,9,1)*4+--MID(A871,10,1)*6+--MID(A871,11,1)*8, "")</f>
        <v/>
      </c>
    </row>
    <row r="872">
      <c r="A872">
        <f>SUBSTITUTE(SUBSTITUTE(SUBSTITUTE(SUBSTITUTE(TRIM(INDEX(Реестр!$B:$B,ROW())),CHAR(160),""),CHAR(9),""),CHAR(10),""),CHAR(13),"")</f>
        <v/>
      </c>
      <c r="B872">
        <f>SUBSTITUTE(SUBSTITUTE(SUBSTITUTE(SUBSTITUTE(SUBSTITUTE(SUBSTITUTE(SUBSTITUTE(TRIM(INDEX(Реестр!$D:$D, ROW())), "-", ""), " ", ""), CHAR(160), ""), CHAR(9), ""), CHAR(10), ""), CHAR(13), ""), CHAR(32), "")</f>
        <v/>
      </c>
      <c r="C872">
        <f>INDEX(Реестр!$H:$H, ROW())</f>
        <v/>
      </c>
      <c r="D872">
        <f>IF(OR(ISBLANK(INDEX(Реестр!$B:$B, ROW())), INDEX(Реестр!$B:$B, ROW())=""), " ", IF(IFERROR(ISNUMBER(--A872),FALSE), IF(LEN(A872)=10, IF(MOD(MOD(H872,11),10)=--RIGHT(A872,1), "OK", "ОШИБКА"), IF(LEN(A872)=12, IF(AND(MOD(MOD(H872,11),10)=--MID(A872,11,1), MOD(MOD(I872,11),10)=--RIGHT(A872,1)), "OK", "ОШИБКА"), "ДЛИНА (10 или 12)")), "НЕ ЦИФРЫ"))</f>
        <v/>
      </c>
      <c r="E872">
        <f>MID(B872,1,1)*9+MID(B872,2,1)*8+MID(B872,3,1)*7+MID(B872,4,1)*6+MID(B872,5,1)*5+MID(B872,6,1)*4+MID(B872,7,1)*3+MID(B872,8,1)*2+MID(B872,9,1)</f>
        <v/>
      </c>
      <c r="F872">
        <f>IF(B872="", " ", IF(LEN(B872)&lt;&gt;11, "ДЛИНА", IF(NOT(ISNUMBER(--B872)), "НЕ ЦИФРЫ", IF(LEFT(B872,9)*1&lt;=1001998, "OK", IF(RIGHT(B872,2)*1=IF(MOD(E872,101)&gt;=100,0,MOD(E872,101)),"OK","ОШИБКА")))))</f>
        <v/>
      </c>
      <c r="G8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2">
        <f>IF(LEN(TRIM(A872))=10, --MID(A872,1,1)*2+--MID(A872,2,1)*4+--MID(A872,3,1)*10+--MID(A872,4,1)*3+--MID(A872,5,1)*5+--MID(A872,6,1)*9+--MID(A872,7,1)*4+--MID(A872,8,1)*6+--MID(A872,9,1)*8, IF(LEN(TRIM(A872))=12, --MID(A872,1,1)*7+--MID(A872,2,1)*2+--MID(A872,3,1)*4+--MID(A872,4,1)*10+--MID(A872,5,1)*3+--MID(A872,6,1)*5+--MID(A872,7,1)*9+--MID(A872,8,1)*4+--MID(A872,9,1)*6+--MID(A872,10,1)*8, ""))</f>
        <v/>
      </c>
      <c r="I872">
        <f>IF(LEN(TRIM(A872))=12, --MID(A872,1,1)*3+--MID(A872,2,1)*7+--MID(A872,3,1)*2+--MID(A872,4,1)*4+--MID(A872,5,1)*10+--MID(A872,6,1)*3+--MID(A872,7,1)*5+--MID(A872,8,1)*9+--MID(A872,9,1)*4+--MID(A872,10,1)*6+--MID(A872,11,1)*8, "")</f>
        <v/>
      </c>
    </row>
    <row r="873">
      <c r="A873">
        <f>SUBSTITUTE(SUBSTITUTE(SUBSTITUTE(SUBSTITUTE(TRIM(INDEX(Реестр!$B:$B,ROW())),CHAR(160),""),CHAR(9),""),CHAR(10),""),CHAR(13),"")</f>
        <v/>
      </c>
      <c r="B873">
        <f>SUBSTITUTE(SUBSTITUTE(SUBSTITUTE(SUBSTITUTE(SUBSTITUTE(SUBSTITUTE(SUBSTITUTE(TRIM(INDEX(Реестр!$D:$D, ROW())), "-", ""), " ", ""), CHAR(160), ""), CHAR(9), ""), CHAR(10), ""), CHAR(13), ""), CHAR(32), "")</f>
        <v/>
      </c>
      <c r="C873">
        <f>INDEX(Реестр!$H:$H, ROW())</f>
        <v/>
      </c>
      <c r="D873">
        <f>IF(OR(ISBLANK(INDEX(Реестр!$B:$B, ROW())), INDEX(Реестр!$B:$B, ROW())=""), " ", IF(IFERROR(ISNUMBER(--A873),FALSE), IF(LEN(A873)=10, IF(MOD(MOD(H873,11),10)=--RIGHT(A873,1), "OK", "ОШИБКА"), IF(LEN(A873)=12, IF(AND(MOD(MOD(H873,11),10)=--MID(A873,11,1), MOD(MOD(I873,11),10)=--RIGHT(A873,1)), "OK", "ОШИБКА"), "ДЛИНА (10 или 12)")), "НЕ ЦИФРЫ"))</f>
        <v/>
      </c>
      <c r="E873">
        <f>MID(B873,1,1)*9+MID(B873,2,1)*8+MID(B873,3,1)*7+MID(B873,4,1)*6+MID(B873,5,1)*5+MID(B873,6,1)*4+MID(B873,7,1)*3+MID(B873,8,1)*2+MID(B873,9,1)</f>
        <v/>
      </c>
      <c r="F873">
        <f>IF(B873="", " ", IF(LEN(B873)&lt;&gt;11, "ДЛИНА", IF(NOT(ISNUMBER(--B873)), "НЕ ЦИФРЫ", IF(LEFT(B873,9)*1&lt;=1001998, "OK", IF(RIGHT(B873,2)*1=IF(MOD(E873,101)&gt;=100,0,MOD(E873,101)),"OK","ОШИБКА")))))</f>
        <v/>
      </c>
      <c r="G8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3">
        <f>IF(LEN(TRIM(A873))=10, --MID(A873,1,1)*2+--MID(A873,2,1)*4+--MID(A873,3,1)*10+--MID(A873,4,1)*3+--MID(A873,5,1)*5+--MID(A873,6,1)*9+--MID(A873,7,1)*4+--MID(A873,8,1)*6+--MID(A873,9,1)*8, IF(LEN(TRIM(A873))=12, --MID(A873,1,1)*7+--MID(A873,2,1)*2+--MID(A873,3,1)*4+--MID(A873,4,1)*10+--MID(A873,5,1)*3+--MID(A873,6,1)*5+--MID(A873,7,1)*9+--MID(A873,8,1)*4+--MID(A873,9,1)*6+--MID(A873,10,1)*8, ""))</f>
        <v/>
      </c>
      <c r="I873">
        <f>IF(LEN(TRIM(A873))=12, --MID(A873,1,1)*3+--MID(A873,2,1)*7+--MID(A873,3,1)*2+--MID(A873,4,1)*4+--MID(A873,5,1)*10+--MID(A873,6,1)*3+--MID(A873,7,1)*5+--MID(A873,8,1)*9+--MID(A873,9,1)*4+--MID(A873,10,1)*6+--MID(A873,11,1)*8, "")</f>
        <v/>
      </c>
    </row>
    <row r="874">
      <c r="A874">
        <f>SUBSTITUTE(SUBSTITUTE(SUBSTITUTE(SUBSTITUTE(TRIM(INDEX(Реестр!$B:$B,ROW())),CHAR(160),""),CHAR(9),""),CHAR(10),""),CHAR(13),"")</f>
        <v/>
      </c>
      <c r="B874">
        <f>SUBSTITUTE(SUBSTITUTE(SUBSTITUTE(SUBSTITUTE(SUBSTITUTE(SUBSTITUTE(SUBSTITUTE(TRIM(INDEX(Реестр!$D:$D, ROW())), "-", ""), " ", ""), CHAR(160), ""), CHAR(9), ""), CHAR(10), ""), CHAR(13), ""), CHAR(32), "")</f>
        <v/>
      </c>
      <c r="C874">
        <f>INDEX(Реестр!$H:$H, ROW())</f>
        <v/>
      </c>
      <c r="D874">
        <f>IF(OR(ISBLANK(INDEX(Реестр!$B:$B, ROW())), INDEX(Реестр!$B:$B, ROW())=""), " ", IF(IFERROR(ISNUMBER(--A874),FALSE), IF(LEN(A874)=10, IF(MOD(MOD(H874,11),10)=--RIGHT(A874,1), "OK", "ОШИБКА"), IF(LEN(A874)=12, IF(AND(MOD(MOD(H874,11),10)=--MID(A874,11,1), MOD(MOD(I874,11),10)=--RIGHT(A874,1)), "OK", "ОШИБКА"), "ДЛИНА (10 или 12)")), "НЕ ЦИФРЫ"))</f>
        <v/>
      </c>
      <c r="E874">
        <f>MID(B874,1,1)*9+MID(B874,2,1)*8+MID(B874,3,1)*7+MID(B874,4,1)*6+MID(B874,5,1)*5+MID(B874,6,1)*4+MID(B874,7,1)*3+MID(B874,8,1)*2+MID(B874,9,1)</f>
        <v/>
      </c>
      <c r="F874">
        <f>IF(B874="", " ", IF(LEN(B874)&lt;&gt;11, "ДЛИНА", IF(NOT(ISNUMBER(--B874)), "НЕ ЦИФРЫ", IF(LEFT(B874,9)*1&lt;=1001998, "OK", IF(RIGHT(B874,2)*1=IF(MOD(E874,101)&gt;=100,0,MOD(E874,101)),"OK","ОШИБКА")))))</f>
        <v/>
      </c>
      <c r="G8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4">
        <f>IF(LEN(TRIM(A874))=10, --MID(A874,1,1)*2+--MID(A874,2,1)*4+--MID(A874,3,1)*10+--MID(A874,4,1)*3+--MID(A874,5,1)*5+--MID(A874,6,1)*9+--MID(A874,7,1)*4+--MID(A874,8,1)*6+--MID(A874,9,1)*8, IF(LEN(TRIM(A874))=12, --MID(A874,1,1)*7+--MID(A874,2,1)*2+--MID(A874,3,1)*4+--MID(A874,4,1)*10+--MID(A874,5,1)*3+--MID(A874,6,1)*5+--MID(A874,7,1)*9+--MID(A874,8,1)*4+--MID(A874,9,1)*6+--MID(A874,10,1)*8, ""))</f>
        <v/>
      </c>
      <c r="I874">
        <f>IF(LEN(TRIM(A874))=12, --MID(A874,1,1)*3+--MID(A874,2,1)*7+--MID(A874,3,1)*2+--MID(A874,4,1)*4+--MID(A874,5,1)*10+--MID(A874,6,1)*3+--MID(A874,7,1)*5+--MID(A874,8,1)*9+--MID(A874,9,1)*4+--MID(A874,10,1)*6+--MID(A874,11,1)*8, "")</f>
        <v/>
      </c>
    </row>
    <row r="875">
      <c r="A875">
        <f>SUBSTITUTE(SUBSTITUTE(SUBSTITUTE(SUBSTITUTE(TRIM(INDEX(Реестр!$B:$B,ROW())),CHAR(160),""),CHAR(9),""),CHAR(10),""),CHAR(13),"")</f>
        <v/>
      </c>
      <c r="B875">
        <f>SUBSTITUTE(SUBSTITUTE(SUBSTITUTE(SUBSTITUTE(SUBSTITUTE(SUBSTITUTE(SUBSTITUTE(TRIM(INDEX(Реестр!$D:$D, ROW())), "-", ""), " ", ""), CHAR(160), ""), CHAR(9), ""), CHAR(10), ""), CHAR(13), ""), CHAR(32), "")</f>
        <v/>
      </c>
      <c r="C875">
        <f>INDEX(Реестр!$H:$H, ROW())</f>
        <v/>
      </c>
      <c r="D875">
        <f>IF(OR(ISBLANK(INDEX(Реестр!$B:$B, ROW())), INDEX(Реестр!$B:$B, ROW())=""), " ", IF(IFERROR(ISNUMBER(--A875),FALSE), IF(LEN(A875)=10, IF(MOD(MOD(H875,11),10)=--RIGHT(A875,1), "OK", "ОШИБКА"), IF(LEN(A875)=12, IF(AND(MOD(MOD(H875,11),10)=--MID(A875,11,1), MOD(MOD(I875,11),10)=--RIGHT(A875,1)), "OK", "ОШИБКА"), "ДЛИНА (10 или 12)")), "НЕ ЦИФРЫ"))</f>
        <v/>
      </c>
      <c r="E875">
        <f>MID(B875,1,1)*9+MID(B875,2,1)*8+MID(B875,3,1)*7+MID(B875,4,1)*6+MID(B875,5,1)*5+MID(B875,6,1)*4+MID(B875,7,1)*3+MID(B875,8,1)*2+MID(B875,9,1)</f>
        <v/>
      </c>
      <c r="F875">
        <f>IF(B875="", " ", IF(LEN(B875)&lt;&gt;11, "ДЛИНА", IF(NOT(ISNUMBER(--B875)), "НЕ ЦИФРЫ", IF(LEFT(B875,9)*1&lt;=1001998, "OK", IF(RIGHT(B875,2)*1=IF(MOD(E875,101)&gt;=100,0,MOD(E875,101)),"OK","ОШИБКА")))))</f>
        <v/>
      </c>
      <c r="G8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5">
        <f>IF(LEN(TRIM(A875))=10, --MID(A875,1,1)*2+--MID(A875,2,1)*4+--MID(A875,3,1)*10+--MID(A875,4,1)*3+--MID(A875,5,1)*5+--MID(A875,6,1)*9+--MID(A875,7,1)*4+--MID(A875,8,1)*6+--MID(A875,9,1)*8, IF(LEN(TRIM(A875))=12, --MID(A875,1,1)*7+--MID(A875,2,1)*2+--MID(A875,3,1)*4+--MID(A875,4,1)*10+--MID(A875,5,1)*3+--MID(A875,6,1)*5+--MID(A875,7,1)*9+--MID(A875,8,1)*4+--MID(A875,9,1)*6+--MID(A875,10,1)*8, ""))</f>
        <v/>
      </c>
      <c r="I875">
        <f>IF(LEN(TRIM(A875))=12, --MID(A875,1,1)*3+--MID(A875,2,1)*7+--MID(A875,3,1)*2+--MID(A875,4,1)*4+--MID(A875,5,1)*10+--MID(A875,6,1)*3+--MID(A875,7,1)*5+--MID(A875,8,1)*9+--MID(A875,9,1)*4+--MID(A875,10,1)*6+--MID(A875,11,1)*8, "")</f>
        <v/>
      </c>
    </row>
    <row r="876">
      <c r="A876">
        <f>SUBSTITUTE(SUBSTITUTE(SUBSTITUTE(SUBSTITUTE(TRIM(INDEX(Реестр!$B:$B,ROW())),CHAR(160),""),CHAR(9),""),CHAR(10),""),CHAR(13),"")</f>
        <v/>
      </c>
      <c r="B876">
        <f>SUBSTITUTE(SUBSTITUTE(SUBSTITUTE(SUBSTITUTE(SUBSTITUTE(SUBSTITUTE(SUBSTITUTE(TRIM(INDEX(Реестр!$D:$D, ROW())), "-", ""), " ", ""), CHAR(160), ""), CHAR(9), ""), CHAR(10), ""), CHAR(13), ""), CHAR(32), "")</f>
        <v/>
      </c>
      <c r="C876">
        <f>INDEX(Реестр!$H:$H, ROW())</f>
        <v/>
      </c>
      <c r="D876">
        <f>IF(OR(ISBLANK(INDEX(Реестр!$B:$B, ROW())), INDEX(Реестр!$B:$B, ROW())=""), " ", IF(IFERROR(ISNUMBER(--A876),FALSE), IF(LEN(A876)=10, IF(MOD(MOD(H876,11),10)=--RIGHT(A876,1), "OK", "ОШИБКА"), IF(LEN(A876)=12, IF(AND(MOD(MOD(H876,11),10)=--MID(A876,11,1), MOD(MOD(I876,11),10)=--RIGHT(A876,1)), "OK", "ОШИБКА"), "ДЛИНА (10 или 12)")), "НЕ ЦИФРЫ"))</f>
        <v/>
      </c>
      <c r="E876">
        <f>MID(B876,1,1)*9+MID(B876,2,1)*8+MID(B876,3,1)*7+MID(B876,4,1)*6+MID(B876,5,1)*5+MID(B876,6,1)*4+MID(B876,7,1)*3+MID(B876,8,1)*2+MID(B876,9,1)</f>
        <v/>
      </c>
      <c r="F876">
        <f>IF(B876="", " ", IF(LEN(B876)&lt;&gt;11, "ДЛИНА", IF(NOT(ISNUMBER(--B876)), "НЕ ЦИФРЫ", IF(LEFT(B876,9)*1&lt;=1001998, "OK", IF(RIGHT(B876,2)*1=IF(MOD(E876,101)&gt;=100,0,MOD(E876,101)),"OK","ОШИБКА")))))</f>
        <v/>
      </c>
      <c r="G8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6">
        <f>IF(LEN(TRIM(A876))=10, --MID(A876,1,1)*2+--MID(A876,2,1)*4+--MID(A876,3,1)*10+--MID(A876,4,1)*3+--MID(A876,5,1)*5+--MID(A876,6,1)*9+--MID(A876,7,1)*4+--MID(A876,8,1)*6+--MID(A876,9,1)*8, IF(LEN(TRIM(A876))=12, --MID(A876,1,1)*7+--MID(A876,2,1)*2+--MID(A876,3,1)*4+--MID(A876,4,1)*10+--MID(A876,5,1)*3+--MID(A876,6,1)*5+--MID(A876,7,1)*9+--MID(A876,8,1)*4+--MID(A876,9,1)*6+--MID(A876,10,1)*8, ""))</f>
        <v/>
      </c>
      <c r="I876">
        <f>IF(LEN(TRIM(A876))=12, --MID(A876,1,1)*3+--MID(A876,2,1)*7+--MID(A876,3,1)*2+--MID(A876,4,1)*4+--MID(A876,5,1)*10+--MID(A876,6,1)*3+--MID(A876,7,1)*5+--MID(A876,8,1)*9+--MID(A876,9,1)*4+--MID(A876,10,1)*6+--MID(A876,11,1)*8, "")</f>
        <v/>
      </c>
    </row>
    <row r="877">
      <c r="A877">
        <f>SUBSTITUTE(SUBSTITUTE(SUBSTITUTE(SUBSTITUTE(TRIM(INDEX(Реестр!$B:$B,ROW())),CHAR(160),""),CHAR(9),""),CHAR(10),""),CHAR(13),"")</f>
        <v/>
      </c>
      <c r="B877">
        <f>SUBSTITUTE(SUBSTITUTE(SUBSTITUTE(SUBSTITUTE(SUBSTITUTE(SUBSTITUTE(SUBSTITUTE(TRIM(INDEX(Реестр!$D:$D, ROW())), "-", ""), " ", ""), CHAR(160), ""), CHAR(9), ""), CHAR(10), ""), CHAR(13), ""), CHAR(32), "")</f>
        <v/>
      </c>
      <c r="C877">
        <f>INDEX(Реестр!$H:$H, ROW())</f>
        <v/>
      </c>
      <c r="D877">
        <f>IF(OR(ISBLANK(INDEX(Реестр!$B:$B, ROW())), INDEX(Реестр!$B:$B, ROW())=""), " ", IF(IFERROR(ISNUMBER(--A877),FALSE), IF(LEN(A877)=10, IF(MOD(MOD(H877,11),10)=--RIGHT(A877,1), "OK", "ОШИБКА"), IF(LEN(A877)=12, IF(AND(MOD(MOD(H877,11),10)=--MID(A877,11,1), MOD(MOD(I877,11),10)=--RIGHT(A877,1)), "OK", "ОШИБКА"), "ДЛИНА (10 или 12)")), "НЕ ЦИФРЫ"))</f>
        <v/>
      </c>
      <c r="E877">
        <f>MID(B877,1,1)*9+MID(B877,2,1)*8+MID(B877,3,1)*7+MID(B877,4,1)*6+MID(B877,5,1)*5+MID(B877,6,1)*4+MID(B877,7,1)*3+MID(B877,8,1)*2+MID(B877,9,1)</f>
        <v/>
      </c>
      <c r="F877">
        <f>IF(B877="", " ", IF(LEN(B877)&lt;&gt;11, "ДЛИНА", IF(NOT(ISNUMBER(--B877)), "НЕ ЦИФРЫ", IF(LEFT(B877,9)*1&lt;=1001998, "OK", IF(RIGHT(B877,2)*1=IF(MOD(E877,101)&gt;=100,0,MOD(E877,101)),"OK","ОШИБКА")))))</f>
        <v/>
      </c>
      <c r="G8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7">
        <f>IF(LEN(TRIM(A877))=10, --MID(A877,1,1)*2+--MID(A877,2,1)*4+--MID(A877,3,1)*10+--MID(A877,4,1)*3+--MID(A877,5,1)*5+--MID(A877,6,1)*9+--MID(A877,7,1)*4+--MID(A877,8,1)*6+--MID(A877,9,1)*8, IF(LEN(TRIM(A877))=12, --MID(A877,1,1)*7+--MID(A877,2,1)*2+--MID(A877,3,1)*4+--MID(A877,4,1)*10+--MID(A877,5,1)*3+--MID(A877,6,1)*5+--MID(A877,7,1)*9+--MID(A877,8,1)*4+--MID(A877,9,1)*6+--MID(A877,10,1)*8, ""))</f>
        <v/>
      </c>
      <c r="I877">
        <f>IF(LEN(TRIM(A877))=12, --MID(A877,1,1)*3+--MID(A877,2,1)*7+--MID(A877,3,1)*2+--MID(A877,4,1)*4+--MID(A877,5,1)*10+--MID(A877,6,1)*3+--MID(A877,7,1)*5+--MID(A877,8,1)*9+--MID(A877,9,1)*4+--MID(A877,10,1)*6+--MID(A877,11,1)*8, "")</f>
        <v/>
      </c>
    </row>
    <row r="878">
      <c r="A878">
        <f>SUBSTITUTE(SUBSTITUTE(SUBSTITUTE(SUBSTITUTE(TRIM(INDEX(Реестр!$B:$B,ROW())),CHAR(160),""),CHAR(9),""),CHAR(10),""),CHAR(13),"")</f>
        <v/>
      </c>
      <c r="B878">
        <f>SUBSTITUTE(SUBSTITUTE(SUBSTITUTE(SUBSTITUTE(SUBSTITUTE(SUBSTITUTE(SUBSTITUTE(TRIM(INDEX(Реестр!$D:$D, ROW())), "-", ""), " ", ""), CHAR(160), ""), CHAR(9), ""), CHAR(10), ""), CHAR(13), ""), CHAR(32), "")</f>
        <v/>
      </c>
      <c r="C878">
        <f>INDEX(Реестр!$H:$H, ROW())</f>
        <v/>
      </c>
      <c r="D878">
        <f>IF(OR(ISBLANK(INDEX(Реестр!$B:$B, ROW())), INDEX(Реестр!$B:$B, ROW())=""), " ", IF(IFERROR(ISNUMBER(--A878),FALSE), IF(LEN(A878)=10, IF(MOD(MOD(H878,11),10)=--RIGHT(A878,1), "OK", "ОШИБКА"), IF(LEN(A878)=12, IF(AND(MOD(MOD(H878,11),10)=--MID(A878,11,1), MOD(MOD(I878,11),10)=--RIGHT(A878,1)), "OK", "ОШИБКА"), "ДЛИНА (10 или 12)")), "НЕ ЦИФРЫ"))</f>
        <v/>
      </c>
      <c r="E878">
        <f>MID(B878,1,1)*9+MID(B878,2,1)*8+MID(B878,3,1)*7+MID(B878,4,1)*6+MID(B878,5,1)*5+MID(B878,6,1)*4+MID(B878,7,1)*3+MID(B878,8,1)*2+MID(B878,9,1)</f>
        <v/>
      </c>
      <c r="F878">
        <f>IF(B878="", " ", IF(LEN(B878)&lt;&gt;11, "ДЛИНА", IF(NOT(ISNUMBER(--B878)), "НЕ ЦИФРЫ", IF(LEFT(B878,9)*1&lt;=1001998, "OK", IF(RIGHT(B878,2)*1=IF(MOD(E878,101)&gt;=100,0,MOD(E878,101)),"OK","ОШИБКА")))))</f>
        <v/>
      </c>
      <c r="G8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8">
        <f>IF(LEN(TRIM(A878))=10, --MID(A878,1,1)*2+--MID(A878,2,1)*4+--MID(A878,3,1)*10+--MID(A878,4,1)*3+--MID(A878,5,1)*5+--MID(A878,6,1)*9+--MID(A878,7,1)*4+--MID(A878,8,1)*6+--MID(A878,9,1)*8, IF(LEN(TRIM(A878))=12, --MID(A878,1,1)*7+--MID(A878,2,1)*2+--MID(A878,3,1)*4+--MID(A878,4,1)*10+--MID(A878,5,1)*3+--MID(A878,6,1)*5+--MID(A878,7,1)*9+--MID(A878,8,1)*4+--MID(A878,9,1)*6+--MID(A878,10,1)*8, ""))</f>
        <v/>
      </c>
      <c r="I878">
        <f>IF(LEN(TRIM(A878))=12, --MID(A878,1,1)*3+--MID(A878,2,1)*7+--MID(A878,3,1)*2+--MID(A878,4,1)*4+--MID(A878,5,1)*10+--MID(A878,6,1)*3+--MID(A878,7,1)*5+--MID(A878,8,1)*9+--MID(A878,9,1)*4+--MID(A878,10,1)*6+--MID(A878,11,1)*8, "")</f>
        <v/>
      </c>
    </row>
    <row r="879">
      <c r="A879">
        <f>SUBSTITUTE(SUBSTITUTE(SUBSTITUTE(SUBSTITUTE(TRIM(INDEX(Реестр!$B:$B,ROW())),CHAR(160),""),CHAR(9),""),CHAR(10),""),CHAR(13),"")</f>
        <v/>
      </c>
      <c r="B879">
        <f>SUBSTITUTE(SUBSTITUTE(SUBSTITUTE(SUBSTITUTE(SUBSTITUTE(SUBSTITUTE(SUBSTITUTE(TRIM(INDEX(Реестр!$D:$D, ROW())), "-", ""), " ", ""), CHAR(160), ""), CHAR(9), ""), CHAR(10), ""), CHAR(13), ""), CHAR(32), "")</f>
        <v/>
      </c>
      <c r="C879">
        <f>INDEX(Реестр!$H:$H, ROW())</f>
        <v/>
      </c>
      <c r="D879">
        <f>IF(OR(ISBLANK(INDEX(Реестр!$B:$B, ROW())), INDEX(Реестр!$B:$B, ROW())=""), " ", IF(IFERROR(ISNUMBER(--A879),FALSE), IF(LEN(A879)=10, IF(MOD(MOD(H879,11),10)=--RIGHT(A879,1), "OK", "ОШИБКА"), IF(LEN(A879)=12, IF(AND(MOD(MOD(H879,11),10)=--MID(A879,11,1), MOD(MOD(I879,11),10)=--RIGHT(A879,1)), "OK", "ОШИБКА"), "ДЛИНА (10 или 12)")), "НЕ ЦИФРЫ"))</f>
        <v/>
      </c>
      <c r="E879">
        <f>MID(B879,1,1)*9+MID(B879,2,1)*8+MID(B879,3,1)*7+MID(B879,4,1)*6+MID(B879,5,1)*5+MID(B879,6,1)*4+MID(B879,7,1)*3+MID(B879,8,1)*2+MID(B879,9,1)</f>
        <v/>
      </c>
      <c r="F879">
        <f>IF(B879="", " ", IF(LEN(B879)&lt;&gt;11, "ДЛИНА", IF(NOT(ISNUMBER(--B879)), "НЕ ЦИФРЫ", IF(LEFT(B879,9)*1&lt;=1001998, "OK", IF(RIGHT(B879,2)*1=IF(MOD(E879,101)&gt;=100,0,MOD(E879,101)),"OK","ОШИБКА")))))</f>
        <v/>
      </c>
      <c r="G8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79">
        <f>IF(LEN(TRIM(A879))=10, --MID(A879,1,1)*2+--MID(A879,2,1)*4+--MID(A879,3,1)*10+--MID(A879,4,1)*3+--MID(A879,5,1)*5+--MID(A879,6,1)*9+--MID(A879,7,1)*4+--MID(A879,8,1)*6+--MID(A879,9,1)*8, IF(LEN(TRIM(A879))=12, --MID(A879,1,1)*7+--MID(A879,2,1)*2+--MID(A879,3,1)*4+--MID(A879,4,1)*10+--MID(A879,5,1)*3+--MID(A879,6,1)*5+--MID(A879,7,1)*9+--MID(A879,8,1)*4+--MID(A879,9,1)*6+--MID(A879,10,1)*8, ""))</f>
        <v/>
      </c>
      <c r="I879">
        <f>IF(LEN(TRIM(A879))=12, --MID(A879,1,1)*3+--MID(A879,2,1)*7+--MID(A879,3,1)*2+--MID(A879,4,1)*4+--MID(A879,5,1)*10+--MID(A879,6,1)*3+--MID(A879,7,1)*5+--MID(A879,8,1)*9+--MID(A879,9,1)*4+--MID(A879,10,1)*6+--MID(A879,11,1)*8, "")</f>
        <v/>
      </c>
    </row>
    <row r="880">
      <c r="A880">
        <f>SUBSTITUTE(SUBSTITUTE(SUBSTITUTE(SUBSTITUTE(TRIM(INDEX(Реестр!$B:$B,ROW())),CHAR(160),""),CHAR(9),""),CHAR(10),""),CHAR(13),"")</f>
        <v/>
      </c>
      <c r="B880">
        <f>SUBSTITUTE(SUBSTITUTE(SUBSTITUTE(SUBSTITUTE(SUBSTITUTE(SUBSTITUTE(SUBSTITUTE(TRIM(INDEX(Реестр!$D:$D, ROW())), "-", ""), " ", ""), CHAR(160), ""), CHAR(9), ""), CHAR(10), ""), CHAR(13), ""), CHAR(32), "")</f>
        <v/>
      </c>
      <c r="C880">
        <f>INDEX(Реестр!$H:$H, ROW())</f>
        <v/>
      </c>
      <c r="D880">
        <f>IF(OR(ISBLANK(INDEX(Реестр!$B:$B, ROW())), INDEX(Реестр!$B:$B, ROW())=""), " ", IF(IFERROR(ISNUMBER(--A880),FALSE), IF(LEN(A880)=10, IF(MOD(MOD(H880,11),10)=--RIGHT(A880,1), "OK", "ОШИБКА"), IF(LEN(A880)=12, IF(AND(MOD(MOD(H880,11),10)=--MID(A880,11,1), MOD(MOD(I880,11),10)=--RIGHT(A880,1)), "OK", "ОШИБКА"), "ДЛИНА (10 или 12)")), "НЕ ЦИФРЫ"))</f>
        <v/>
      </c>
      <c r="E880">
        <f>MID(B880,1,1)*9+MID(B880,2,1)*8+MID(B880,3,1)*7+MID(B880,4,1)*6+MID(B880,5,1)*5+MID(B880,6,1)*4+MID(B880,7,1)*3+MID(B880,8,1)*2+MID(B880,9,1)</f>
        <v/>
      </c>
      <c r="F880">
        <f>IF(B880="", " ", IF(LEN(B880)&lt;&gt;11, "ДЛИНА", IF(NOT(ISNUMBER(--B880)), "НЕ ЦИФРЫ", IF(LEFT(B880,9)*1&lt;=1001998, "OK", IF(RIGHT(B880,2)*1=IF(MOD(E880,101)&gt;=100,0,MOD(E880,101)),"OK","ОШИБКА")))))</f>
        <v/>
      </c>
      <c r="G8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0">
        <f>IF(LEN(TRIM(A880))=10, --MID(A880,1,1)*2+--MID(A880,2,1)*4+--MID(A880,3,1)*10+--MID(A880,4,1)*3+--MID(A880,5,1)*5+--MID(A880,6,1)*9+--MID(A880,7,1)*4+--MID(A880,8,1)*6+--MID(A880,9,1)*8, IF(LEN(TRIM(A880))=12, --MID(A880,1,1)*7+--MID(A880,2,1)*2+--MID(A880,3,1)*4+--MID(A880,4,1)*10+--MID(A880,5,1)*3+--MID(A880,6,1)*5+--MID(A880,7,1)*9+--MID(A880,8,1)*4+--MID(A880,9,1)*6+--MID(A880,10,1)*8, ""))</f>
        <v/>
      </c>
      <c r="I880">
        <f>IF(LEN(TRIM(A880))=12, --MID(A880,1,1)*3+--MID(A880,2,1)*7+--MID(A880,3,1)*2+--MID(A880,4,1)*4+--MID(A880,5,1)*10+--MID(A880,6,1)*3+--MID(A880,7,1)*5+--MID(A880,8,1)*9+--MID(A880,9,1)*4+--MID(A880,10,1)*6+--MID(A880,11,1)*8, "")</f>
        <v/>
      </c>
    </row>
    <row r="881">
      <c r="A881">
        <f>SUBSTITUTE(SUBSTITUTE(SUBSTITUTE(SUBSTITUTE(TRIM(INDEX(Реестр!$B:$B,ROW())),CHAR(160),""),CHAR(9),""),CHAR(10),""),CHAR(13),"")</f>
        <v/>
      </c>
      <c r="B881">
        <f>SUBSTITUTE(SUBSTITUTE(SUBSTITUTE(SUBSTITUTE(SUBSTITUTE(SUBSTITUTE(SUBSTITUTE(TRIM(INDEX(Реестр!$D:$D, ROW())), "-", ""), " ", ""), CHAR(160), ""), CHAR(9), ""), CHAR(10), ""), CHAR(13), ""), CHAR(32), "")</f>
        <v/>
      </c>
      <c r="C881">
        <f>INDEX(Реестр!$H:$H, ROW())</f>
        <v/>
      </c>
      <c r="D881">
        <f>IF(OR(ISBLANK(INDEX(Реестр!$B:$B, ROW())), INDEX(Реестр!$B:$B, ROW())=""), " ", IF(IFERROR(ISNUMBER(--A881),FALSE), IF(LEN(A881)=10, IF(MOD(MOD(H881,11),10)=--RIGHT(A881,1), "OK", "ОШИБКА"), IF(LEN(A881)=12, IF(AND(MOD(MOD(H881,11),10)=--MID(A881,11,1), MOD(MOD(I881,11),10)=--RIGHT(A881,1)), "OK", "ОШИБКА"), "ДЛИНА (10 или 12)")), "НЕ ЦИФРЫ"))</f>
        <v/>
      </c>
      <c r="E881">
        <f>MID(B881,1,1)*9+MID(B881,2,1)*8+MID(B881,3,1)*7+MID(B881,4,1)*6+MID(B881,5,1)*5+MID(B881,6,1)*4+MID(B881,7,1)*3+MID(B881,8,1)*2+MID(B881,9,1)</f>
        <v/>
      </c>
      <c r="F881">
        <f>IF(B881="", " ", IF(LEN(B881)&lt;&gt;11, "ДЛИНА", IF(NOT(ISNUMBER(--B881)), "НЕ ЦИФРЫ", IF(LEFT(B881,9)*1&lt;=1001998, "OK", IF(RIGHT(B881,2)*1=IF(MOD(E881,101)&gt;=100,0,MOD(E881,101)),"OK","ОШИБКА")))))</f>
        <v/>
      </c>
      <c r="G8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1">
        <f>IF(LEN(TRIM(A881))=10, --MID(A881,1,1)*2+--MID(A881,2,1)*4+--MID(A881,3,1)*10+--MID(A881,4,1)*3+--MID(A881,5,1)*5+--MID(A881,6,1)*9+--MID(A881,7,1)*4+--MID(A881,8,1)*6+--MID(A881,9,1)*8, IF(LEN(TRIM(A881))=12, --MID(A881,1,1)*7+--MID(A881,2,1)*2+--MID(A881,3,1)*4+--MID(A881,4,1)*10+--MID(A881,5,1)*3+--MID(A881,6,1)*5+--MID(A881,7,1)*9+--MID(A881,8,1)*4+--MID(A881,9,1)*6+--MID(A881,10,1)*8, ""))</f>
        <v/>
      </c>
      <c r="I881">
        <f>IF(LEN(TRIM(A881))=12, --MID(A881,1,1)*3+--MID(A881,2,1)*7+--MID(A881,3,1)*2+--MID(A881,4,1)*4+--MID(A881,5,1)*10+--MID(A881,6,1)*3+--MID(A881,7,1)*5+--MID(A881,8,1)*9+--MID(A881,9,1)*4+--MID(A881,10,1)*6+--MID(A881,11,1)*8, "")</f>
        <v/>
      </c>
    </row>
    <row r="882">
      <c r="A882">
        <f>SUBSTITUTE(SUBSTITUTE(SUBSTITUTE(SUBSTITUTE(TRIM(INDEX(Реестр!$B:$B,ROW())),CHAR(160),""),CHAR(9),""),CHAR(10),""),CHAR(13),"")</f>
        <v/>
      </c>
      <c r="B882">
        <f>SUBSTITUTE(SUBSTITUTE(SUBSTITUTE(SUBSTITUTE(SUBSTITUTE(SUBSTITUTE(SUBSTITUTE(TRIM(INDEX(Реестр!$D:$D, ROW())), "-", ""), " ", ""), CHAR(160), ""), CHAR(9), ""), CHAR(10), ""), CHAR(13), ""), CHAR(32), "")</f>
        <v/>
      </c>
      <c r="C882">
        <f>INDEX(Реестр!$H:$H, ROW())</f>
        <v/>
      </c>
      <c r="D882">
        <f>IF(OR(ISBLANK(INDEX(Реестр!$B:$B, ROW())), INDEX(Реестр!$B:$B, ROW())=""), " ", IF(IFERROR(ISNUMBER(--A882),FALSE), IF(LEN(A882)=10, IF(MOD(MOD(H882,11),10)=--RIGHT(A882,1), "OK", "ОШИБКА"), IF(LEN(A882)=12, IF(AND(MOD(MOD(H882,11),10)=--MID(A882,11,1), MOD(MOD(I882,11),10)=--RIGHT(A882,1)), "OK", "ОШИБКА"), "ДЛИНА (10 или 12)")), "НЕ ЦИФРЫ"))</f>
        <v/>
      </c>
      <c r="E882">
        <f>MID(B882,1,1)*9+MID(B882,2,1)*8+MID(B882,3,1)*7+MID(B882,4,1)*6+MID(B882,5,1)*5+MID(B882,6,1)*4+MID(B882,7,1)*3+MID(B882,8,1)*2+MID(B882,9,1)</f>
        <v/>
      </c>
      <c r="F882">
        <f>IF(B882="", " ", IF(LEN(B882)&lt;&gt;11, "ДЛИНА", IF(NOT(ISNUMBER(--B882)), "НЕ ЦИФРЫ", IF(LEFT(B882,9)*1&lt;=1001998, "OK", IF(RIGHT(B882,2)*1=IF(MOD(E882,101)&gt;=100,0,MOD(E882,101)),"OK","ОШИБКА")))))</f>
        <v/>
      </c>
      <c r="G8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2">
        <f>IF(LEN(TRIM(A882))=10, --MID(A882,1,1)*2+--MID(A882,2,1)*4+--MID(A882,3,1)*10+--MID(A882,4,1)*3+--MID(A882,5,1)*5+--MID(A882,6,1)*9+--MID(A882,7,1)*4+--MID(A882,8,1)*6+--MID(A882,9,1)*8, IF(LEN(TRIM(A882))=12, --MID(A882,1,1)*7+--MID(A882,2,1)*2+--MID(A882,3,1)*4+--MID(A882,4,1)*10+--MID(A882,5,1)*3+--MID(A882,6,1)*5+--MID(A882,7,1)*9+--MID(A882,8,1)*4+--MID(A882,9,1)*6+--MID(A882,10,1)*8, ""))</f>
        <v/>
      </c>
      <c r="I882">
        <f>IF(LEN(TRIM(A882))=12, --MID(A882,1,1)*3+--MID(A882,2,1)*7+--MID(A882,3,1)*2+--MID(A882,4,1)*4+--MID(A882,5,1)*10+--MID(A882,6,1)*3+--MID(A882,7,1)*5+--MID(A882,8,1)*9+--MID(A882,9,1)*4+--MID(A882,10,1)*6+--MID(A882,11,1)*8, "")</f>
        <v/>
      </c>
    </row>
    <row r="883">
      <c r="A883">
        <f>SUBSTITUTE(SUBSTITUTE(SUBSTITUTE(SUBSTITUTE(TRIM(INDEX(Реестр!$B:$B,ROW())),CHAR(160),""),CHAR(9),""),CHAR(10),""),CHAR(13),"")</f>
        <v/>
      </c>
      <c r="B883">
        <f>SUBSTITUTE(SUBSTITUTE(SUBSTITUTE(SUBSTITUTE(SUBSTITUTE(SUBSTITUTE(SUBSTITUTE(TRIM(INDEX(Реестр!$D:$D, ROW())), "-", ""), " ", ""), CHAR(160), ""), CHAR(9), ""), CHAR(10), ""), CHAR(13), ""), CHAR(32), "")</f>
        <v/>
      </c>
      <c r="C883">
        <f>INDEX(Реестр!$H:$H, ROW())</f>
        <v/>
      </c>
      <c r="D883">
        <f>IF(OR(ISBLANK(INDEX(Реестр!$B:$B, ROW())), INDEX(Реестр!$B:$B, ROW())=""), " ", IF(IFERROR(ISNUMBER(--A883),FALSE), IF(LEN(A883)=10, IF(MOD(MOD(H883,11),10)=--RIGHT(A883,1), "OK", "ОШИБКА"), IF(LEN(A883)=12, IF(AND(MOD(MOD(H883,11),10)=--MID(A883,11,1), MOD(MOD(I883,11),10)=--RIGHT(A883,1)), "OK", "ОШИБКА"), "ДЛИНА (10 или 12)")), "НЕ ЦИФРЫ"))</f>
        <v/>
      </c>
      <c r="E883">
        <f>MID(B883,1,1)*9+MID(B883,2,1)*8+MID(B883,3,1)*7+MID(B883,4,1)*6+MID(B883,5,1)*5+MID(B883,6,1)*4+MID(B883,7,1)*3+MID(B883,8,1)*2+MID(B883,9,1)</f>
        <v/>
      </c>
      <c r="F883">
        <f>IF(B883="", " ", IF(LEN(B883)&lt;&gt;11, "ДЛИНА", IF(NOT(ISNUMBER(--B883)), "НЕ ЦИФРЫ", IF(LEFT(B883,9)*1&lt;=1001998, "OK", IF(RIGHT(B883,2)*1=IF(MOD(E883,101)&gt;=100,0,MOD(E883,101)),"OK","ОШИБКА")))))</f>
        <v/>
      </c>
      <c r="G8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3">
        <f>IF(LEN(TRIM(A883))=10, --MID(A883,1,1)*2+--MID(A883,2,1)*4+--MID(A883,3,1)*10+--MID(A883,4,1)*3+--MID(A883,5,1)*5+--MID(A883,6,1)*9+--MID(A883,7,1)*4+--MID(A883,8,1)*6+--MID(A883,9,1)*8, IF(LEN(TRIM(A883))=12, --MID(A883,1,1)*7+--MID(A883,2,1)*2+--MID(A883,3,1)*4+--MID(A883,4,1)*10+--MID(A883,5,1)*3+--MID(A883,6,1)*5+--MID(A883,7,1)*9+--MID(A883,8,1)*4+--MID(A883,9,1)*6+--MID(A883,10,1)*8, ""))</f>
        <v/>
      </c>
      <c r="I883">
        <f>IF(LEN(TRIM(A883))=12, --MID(A883,1,1)*3+--MID(A883,2,1)*7+--MID(A883,3,1)*2+--MID(A883,4,1)*4+--MID(A883,5,1)*10+--MID(A883,6,1)*3+--MID(A883,7,1)*5+--MID(A883,8,1)*9+--MID(A883,9,1)*4+--MID(A883,10,1)*6+--MID(A883,11,1)*8, "")</f>
        <v/>
      </c>
    </row>
    <row r="884">
      <c r="A884">
        <f>SUBSTITUTE(SUBSTITUTE(SUBSTITUTE(SUBSTITUTE(TRIM(INDEX(Реестр!$B:$B,ROW())),CHAR(160),""),CHAR(9),""),CHAR(10),""),CHAR(13),"")</f>
        <v/>
      </c>
      <c r="B884">
        <f>SUBSTITUTE(SUBSTITUTE(SUBSTITUTE(SUBSTITUTE(SUBSTITUTE(SUBSTITUTE(SUBSTITUTE(TRIM(INDEX(Реестр!$D:$D, ROW())), "-", ""), " ", ""), CHAR(160), ""), CHAR(9), ""), CHAR(10), ""), CHAR(13), ""), CHAR(32), "")</f>
        <v/>
      </c>
      <c r="C884">
        <f>INDEX(Реестр!$H:$H, ROW())</f>
        <v/>
      </c>
      <c r="D884">
        <f>IF(OR(ISBLANK(INDEX(Реестр!$B:$B, ROW())), INDEX(Реестр!$B:$B, ROW())=""), " ", IF(IFERROR(ISNUMBER(--A884),FALSE), IF(LEN(A884)=10, IF(MOD(MOD(H884,11),10)=--RIGHT(A884,1), "OK", "ОШИБКА"), IF(LEN(A884)=12, IF(AND(MOD(MOD(H884,11),10)=--MID(A884,11,1), MOD(MOD(I884,11),10)=--RIGHT(A884,1)), "OK", "ОШИБКА"), "ДЛИНА (10 или 12)")), "НЕ ЦИФРЫ"))</f>
        <v/>
      </c>
      <c r="E884">
        <f>MID(B884,1,1)*9+MID(B884,2,1)*8+MID(B884,3,1)*7+MID(B884,4,1)*6+MID(B884,5,1)*5+MID(B884,6,1)*4+MID(B884,7,1)*3+MID(B884,8,1)*2+MID(B884,9,1)</f>
        <v/>
      </c>
      <c r="F884">
        <f>IF(B884="", " ", IF(LEN(B884)&lt;&gt;11, "ДЛИНА", IF(NOT(ISNUMBER(--B884)), "НЕ ЦИФРЫ", IF(LEFT(B884,9)*1&lt;=1001998, "OK", IF(RIGHT(B884,2)*1=IF(MOD(E884,101)&gt;=100,0,MOD(E884,101)),"OK","ОШИБКА")))))</f>
        <v/>
      </c>
      <c r="G8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4">
        <f>IF(LEN(TRIM(A884))=10, --MID(A884,1,1)*2+--MID(A884,2,1)*4+--MID(A884,3,1)*10+--MID(A884,4,1)*3+--MID(A884,5,1)*5+--MID(A884,6,1)*9+--MID(A884,7,1)*4+--MID(A884,8,1)*6+--MID(A884,9,1)*8, IF(LEN(TRIM(A884))=12, --MID(A884,1,1)*7+--MID(A884,2,1)*2+--MID(A884,3,1)*4+--MID(A884,4,1)*10+--MID(A884,5,1)*3+--MID(A884,6,1)*5+--MID(A884,7,1)*9+--MID(A884,8,1)*4+--MID(A884,9,1)*6+--MID(A884,10,1)*8, ""))</f>
        <v/>
      </c>
      <c r="I884">
        <f>IF(LEN(TRIM(A884))=12, --MID(A884,1,1)*3+--MID(A884,2,1)*7+--MID(A884,3,1)*2+--MID(A884,4,1)*4+--MID(A884,5,1)*10+--MID(A884,6,1)*3+--MID(A884,7,1)*5+--MID(A884,8,1)*9+--MID(A884,9,1)*4+--MID(A884,10,1)*6+--MID(A884,11,1)*8, "")</f>
        <v/>
      </c>
    </row>
    <row r="885">
      <c r="A885">
        <f>SUBSTITUTE(SUBSTITUTE(SUBSTITUTE(SUBSTITUTE(TRIM(INDEX(Реестр!$B:$B,ROW())),CHAR(160),""),CHAR(9),""),CHAR(10),""),CHAR(13),"")</f>
        <v/>
      </c>
      <c r="B885">
        <f>SUBSTITUTE(SUBSTITUTE(SUBSTITUTE(SUBSTITUTE(SUBSTITUTE(SUBSTITUTE(SUBSTITUTE(TRIM(INDEX(Реестр!$D:$D, ROW())), "-", ""), " ", ""), CHAR(160), ""), CHAR(9), ""), CHAR(10), ""), CHAR(13), ""), CHAR(32), "")</f>
        <v/>
      </c>
      <c r="C885">
        <f>INDEX(Реестр!$H:$H, ROW())</f>
        <v/>
      </c>
      <c r="D885">
        <f>IF(OR(ISBLANK(INDEX(Реестр!$B:$B, ROW())), INDEX(Реестр!$B:$B, ROW())=""), " ", IF(IFERROR(ISNUMBER(--A885),FALSE), IF(LEN(A885)=10, IF(MOD(MOD(H885,11),10)=--RIGHT(A885,1), "OK", "ОШИБКА"), IF(LEN(A885)=12, IF(AND(MOD(MOD(H885,11),10)=--MID(A885,11,1), MOD(MOD(I885,11),10)=--RIGHT(A885,1)), "OK", "ОШИБКА"), "ДЛИНА (10 или 12)")), "НЕ ЦИФРЫ"))</f>
        <v/>
      </c>
      <c r="E885">
        <f>MID(B885,1,1)*9+MID(B885,2,1)*8+MID(B885,3,1)*7+MID(B885,4,1)*6+MID(B885,5,1)*5+MID(B885,6,1)*4+MID(B885,7,1)*3+MID(B885,8,1)*2+MID(B885,9,1)</f>
        <v/>
      </c>
      <c r="F885">
        <f>IF(B885="", " ", IF(LEN(B885)&lt;&gt;11, "ДЛИНА", IF(NOT(ISNUMBER(--B885)), "НЕ ЦИФРЫ", IF(LEFT(B885,9)*1&lt;=1001998, "OK", IF(RIGHT(B885,2)*1=IF(MOD(E885,101)&gt;=100,0,MOD(E885,101)),"OK","ОШИБКА")))))</f>
        <v/>
      </c>
      <c r="G8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5">
        <f>IF(LEN(TRIM(A885))=10, --MID(A885,1,1)*2+--MID(A885,2,1)*4+--MID(A885,3,1)*10+--MID(A885,4,1)*3+--MID(A885,5,1)*5+--MID(A885,6,1)*9+--MID(A885,7,1)*4+--MID(A885,8,1)*6+--MID(A885,9,1)*8, IF(LEN(TRIM(A885))=12, --MID(A885,1,1)*7+--MID(A885,2,1)*2+--MID(A885,3,1)*4+--MID(A885,4,1)*10+--MID(A885,5,1)*3+--MID(A885,6,1)*5+--MID(A885,7,1)*9+--MID(A885,8,1)*4+--MID(A885,9,1)*6+--MID(A885,10,1)*8, ""))</f>
        <v/>
      </c>
      <c r="I885">
        <f>IF(LEN(TRIM(A885))=12, --MID(A885,1,1)*3+--MID(A885,2,1)*7+--MID(A885,3,1)*2+--MID(A885,4,1)*4+--MID(A885,5,1)*10+--MID(A885,6,1)*3+--MID(A885,7,1)*5+--MID(A885,8,1)*9+--MID(A885,9,1)*4+--MID(A885,10,1)*6+--MID(A885,11,1)*8, "")</f>
        <v/>
      </c>
    </row>
    <row r="886">
      <c r="A886">
        <f>SUBSTITUTE(SUBSTITUTE(SUBSTITUTE(SUBSTITUTE(TRIM(INDEX(Реестр!$B:$B,ROW())),CHAR(160),""),CHAR(9),""),CHAR(10),""),CHAR(13),"")</f>
        <v/>
      </c>
      <c r="B886">
        <f>SUBSTITUTE(SUBSTITUTE(SUBSTITUTE(SUBSTITUTE(SUBSTITUTE(SUBSTITUTE(SUBSTITUTE(TRIM(INDEX(Реестр!$D:$D, ROW())), "-", ""), " ", ""), CHAR(160), ""), CHAR(9), ""), CHAR(10), ""), CHAR(13), ""), CHAR(32), "")</f>
        <v/>
      </c>
      <c r="C886">
        <f>INDEX(Реестр!$H:$H, ROW())</f>
        <v/>
      </c>
      <c r="D886">
        <f>IF(OR(ISBLANK(INDEX(Реестр!$B:$B, ROW())), INDEX(Реестр!$B:$B, ROW())=""), " ", IF(IFERROR(ISNUMBER(--A886),FALSE), IF(LEN(A886)=10, IF(MOD(MOD(H886,11),10)=--RIGHT(A886,1), "OK", "ОШИБКА"), IF(LEN(A886)=12, IF(AND(MOD(MOD(H886,11),10)=--MID(A886,11,1), MOD(MOD(I886,11),10)=--RIGHT(A886,1)), "OK", "ОШИБКА"), "ДЛИНА (10 или 12)")), "НЕ ЦИФРЫ"))</f>
        <v/>
      </c>
      <c r="E886">
        <f>MID(B886,1,1)*9+MID(B886,2,1)*8+MID(B886,3,1)*7+MID(B886,4,1)*6+MID(B886,5,1)*5+MID(B886,6,1)*4+MID(B886,7,1)*3+MID(B886,8,1)*2+MID(B886,9,1)</f>
        <v/>
      </c>
      <c r="F886">
        <f>IF(B886="", " ", IF(LEN(B886)&lt;&gt;11, "ДЛИНА", IF(NOT(ISNUMBER(--B886)), "НЕ ЦИФРЫ", IF(LEFT(B886,9)*1&lt;=1001998, "OK", IF(RIGHT(B886,2)*1=IF(MOD(E886,101)&gt;=100,0,MOD(E886,101)),"OK","ОШИБКА")))))</f>
        <v/>
      </c>
      <c r="G8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6">
        <f>IF(LEN(TRIM(A886))=10, --MID(A886,1,1)*2+--MID(A886,2,1)*4+--MID(A886,3,1)*10+--MID(A886,4,1)*3+--MID(A886,5,1)*5+--MID(A886,6,1)*9+--MID(A886,7,1)*4+--MID(A886,8,1)*6+--MID(A886,9,1)*8, IF(LEN(TRIM(A886))=12, --MID(A886,1,1)*7+--MID(A886,2,1)*2+--MID(A886,3,1)*4+--MID(A886,4,1)*10+--MID(A886,5,1)*3+--MID(A886,6,1)*5+--MID(A886,7,1)*9+--MID(A886,8,1)*4+--MID(A886,9,1)*6+--MID(A886,10,1)*8, ""))</f>
        <v/>
      </c>
      <c r="I886">
        <f>IF(LEN(TRIM(A886))=12, --MID(A886,1,1)*3+--MID(A886,2,1)*7+--MID(A886,3,1)*2+--MID(A886,4,1)*4+--MID(A886,5,1)*10+--MID(A886,6,1)*3+--MID(A886,7,1)*5+--MID(A886,8,1)*9+--MID(A886,9,1)*4+--MID(A886,10,1)*6+--MID(A886,11,1)*8, "")</f>
        <v/>
      </c>
    </row>
    <row r="887">
      <c r="A887">
        <f>SUBSTITUTE(SUBSTITUTE(SUBSTITUTE(SUBSTITUTE(TRIM(INDEX(Реестр!$B:$B,ROW())),CHAR(160),""),CHAR(9),""),CHAR(10),""),CHAR(13),"")</f>
        <v/>
      </c>
      <c r="B887">
        <f>SUBSTITUTE(SUBSTITUTE(SUBSTITUTE(SUBSTITUTE(SUBSTITUTE(SUBSTITUTE(SUBSTITUTE(TRIM(INDEX(Реестр!$D:$D, ROW())), "-", ""), " ", ""), CHAR(160), ""), CHAR(9), ""), CHAR(10), ""), CHAR(13), ""), CHAR(32), "")</f>
        <v/>
      </c>
      <c r="C887">
        <f>INDEX(Реестр!$H:$H, ROW())</f>
        <v/>
      </c>
      <c r="D887">
        <f>IF(OR(ISBLANK(INDEX(Реестр!$B:$B, ROW())), INDEX(Реестр!$B:$B, ROW())=""), " ", IF(IFERROR(ISNUMBER(--A887),FALSE), IF(LEN(A887)=10, IF(MOD(MOD(H887,11),10)=--RIGHT(A887,1), "OK", "ОШИБКА"), IF(LEN(A887)=12, IF(AND(MOD(MOD(H887,11),10)=--MID(A887,11,1), MOD(MOD(I887,11),10)=--RIGHT(A887,1)), "OK", "ОШИБКА"), "ДЛИНА (10 или 12)")), "НЕ ЦИФРЫ"))</f>
        <v/>
      </c>
      <c r="E887">
        <f>MID(B887,1,1)*9+MID(B887,2,1)*8+MID(B887,3,1)*7+MID(B887,4,1)*6+MID(B887,5,1)*5+MID(B887,6,1)*4+MID(B887,7,1)*3+MID(B887,8,1)*2+MID(B887,9,1)</f>
        <v/>
      </c>
      <c r="F887">
        <f>IF(B887="", " ", IF(LEN(B887)&lt;&gt;11, "ДЛИНА", IF(NOT(ISNUMBER(--B887)), "НЕ ЦИФРЫ", IF(LEFT(B887,9)*1&lt;=1001998, "OK", IF(RIGHT(B887,2)*1=IF(MOD(E887,101)&gt;=100,0,MOD(E887,101)),"OK","ОШИБКА")))))</f>
        <v/>
      </c>
      <c r="G8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7">
        <f>IF(LEN(TRIM(A887))=10, --MID(A887,1,1)*2+--MID(A887,2,1)*4+--MID(A887,3,1)*10+--MID(A887,4,1)*3+--MID(A887,5,1)*5+--MID(A887,6,1)*9+--MID(A887,7,1)*4+--MID(A887,8,1)*6+--MID(A887,9,1)*8, IF(LEN(TRIM(A887))=12, --MID(A887,1,1)*7+--MID(A887,2,1)*2+--MID(A887,3,1)*4+--MID(A887,4,1)*10+--MID(A887,5,1)*3+--MID(A887,6,1)*5+--MID(A887,7,1)*9+--MID(A887,8,1)*4+--MID(A887,9,1)*6+--MID(A887,10,1)*8, ""))</f>
        <v/>
      </c>
      <c r="I887">
        <f>IF(LEN(TRIM(A887))=12, --MID(A887,1,1)*3+--MID(A887,2,1)*7+--MID(A887,3,1)*2+--MID(A887,4,1)*4+--MID(A887,5,1)*10+--MID(A887,6,1)*3+--MID(A887,7,1)*5+--MID(A887,8,1)*9+--MID(A887,9,1)*4+--MID(A887,10,1)*6+--MID(A887,11,1)*8, "")</f>
        <v/>
      </c>
    </row>
    <row r="888">
      <c r="A888">
        <f>SUBSTITUTE(SUBSTITUTE(SUBSTITUTE(SUBSTITUTE(TRIM(INDEX(Реестр!$B:$B,ROW())),CHAR(160),""),CHAR(9),""),CHAR(10),""),CHAR(13),"")</f>
        <v/>
      </c>
      <c r="B888">
        <f>SUBSTITUTE(SUBSTITUTE(SUBSTITUTE(SUBSTITUTE(SUBSTITUTE(SUBSTITUTE(SUBSTITUTE(TRIM(INDEX(Реестр!$D:$D, ROW())), "-", ""), " ", ""), CHAR(160), ""), CHAR(9), ""), CHAR(10), ""), CHAR(13), ""), CHAR(32), "")</f>
        <v/>
      </c>
      <c r="C888">
        <f>INDEX(Реестр!$H:$H, ROW())</f>
        <v/>
      </c>
      <c r="D888">
        <f>IF(OR(ISBLANK(INDEX(Реестр!$B:$B, ROW())), INDEX(Реестр!$B:$B, ROW())=""), " ", IF(IFERROR(ISNUMBER(--A888),FALSE), IF(LEN(A888)=10, IF(MOD(MOD(H888,11),10)=--RIGHT(A888,1), "OK", "ОШИБКА"), IF(LEN(A888)=12, IF(AND(MOD(MOD(H888,11),10)=--MID(A888,11,1), MOD(MOD(I888,11),10)=--RIGHT(A888,1)), "OK", "ОШИБКА"), "ДЛИНА (10 или 12)")), "НЕ ЦИФРЫ"))</f>
        <v/>
      </c>
      <c r="E888">
        <f>MID(B888,1,1)*9+MID(B888,2,1)*8+MID(B888,3,1)*7+MID(B888,4,1)*6+MID(B888,5,1)*5+MID(B888,6,1)*4+MID(B888,7,1)*3+MID(B888,8,1)*2+MID(B888,9,1)</f>
        <v/>
      </c>
      <c r="F888">
        <f>IF(B888="", " ", IF(LEN(B888)&lt;&gt;11, "ДЛИНА", IF(NOT(ISNUMBER(--B888)), "НЕ ЦИФРЫ", IF(LEFT(B888,9)*1&lt;=1001998, "OK", IF(RIGHT(B888,2)*1=IF(MOD(E888,101)&gt;=100,0,MOD(E888,101)),"OK","ОШИБКА")))))</f>
        <v/>
      </c>
      <c r="G8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8">
        <f>IF(LEN(TRIM(A888))=10, --MID(A888,1,1)*2+--MID(A888,2,1)*4+--MID(A888,3,1)*10+--MID(A888,4,1)*3+--MID(A888,5,1)*5+--MID(A888,6,1)*9+--MID(A888,7,1)*4+--MID(A888,8,1)*6+--MID(A888,9,1)*8, IF(LEN(TRIM(A888))=12, --MID(A888,1,1)*7+--MID(A888,2,1)*2+--MID(A888,3,1)*4+--MID(A888,4,1)*10+--MID(A888,5,1)*3+--MID(A888,6,1)*5+--MID(A888,7,1)*9+--MID(A888,8,1)*4+--MID(A888,9,1)*6+--MID(A888,10,1)*8, ""))</f>
        <v/>
      </c>
      <c r="I888">
        <f>IF(LEN(TRIM(A888))=12, --MID(A888,1,1)*3+--MID(A888,2,1)*7+--MID(A888,3,1)*2+--MID(A888,4,1)*4+--MID(A888,5,1)*10+--MID(A888,6,1)*3+--MID(A888,7,1)*5+--MID(A888,8,1)*9+--MID(A888,9,1)*4+--MID(A888,10,1)*6+--MID(A888,11,1)*8, "")</f>
        <v/>
      </c>
    </row>
    <row r="889">
      <c r="A889">
        <f>SUBSTITUTE(SUBSTITUTE(SUBSTITUTE(SUBSTITUTE(TRIM(INDEX(Реестр!$B:$B,ROW())),CHAR(160),""),CHAR(9),""),CHAR(10),""),CHAR(13),"")</f>
        <v/>
      </c>
      <c r="B889">
        <f>SUBSTITUTE(SUBSTITUTE(SUBSTITUTE(SUBSTITUTE(SUBSTITUTE(SUBSTITUTE(SUBSTITUTE(TRIM(INDEX(Реестр!$D:$D, ROW())), "-", ""), " ", ""), CHAR(160), ""), CHAR(9), ""), CHAR(10), ""), CHAR(13), ""), CHAR(32), "")</f>
        <v/>
      </c>
      <c r="C889">
        <f>INDEX(Реестр!$H:$H, ROW())</f>
        <v/>
      </c>
      <c r="D889">
        <f>IF(OR(ISBLANK(INDEX(Реестр!$B:$B, ROW())), INDEX(Реестр!$B:$B, ROW())=""), " ", IF(IFERROR(ISNUMBER(--A889),FALSE), IF(LEN(A889)=10, IF(MOD(MOD(H889,11),10)=--RIGHT(A889,1), "OK", "ОШИБКА"), IF(LEN(A889)=12, IF(AND(MOD(MOD(H889,11),10)=--MID(A889,11,1), MOD(MOD(I889,11),10)=--RIGHT(A889,1)), "OK", "ОШИБКА"), "ДЛИНА (10 или 12)")), "НЕ ЦИФРЫ"))</f>
        <v/>
      </c>
      <c r="E889">
        <f>MID(B889,1,1)*9+MID(B889,2,1)*8+MID(B889,3,1)*7+MID(B889,4,1)*6+MID(B889,5,1)*5+MID(B889,6,1)*4+MID(B889,7,1)*3+MID(B889,8,1)*2+MID(B889,9,1)</f>
        <v/>
      </c>
      <c r="F889">
        <f>IF(B889="", " ", IF(LEN(B889)&lt;&gt;11, "ДЛИНА", IF(NOT(ISNUMBER(--B889)), "НЕ ЦИФРЫ", IF(LEFT(B889,9)*1&lt;=1001998, "OK", IF(RIGHT(B889,2)*1=IF(MOD(E889,101)&gt;=100,0,MOD(E889,101)),"OK","ОШИБКА")))))</f>
        <v/>
      </c>
      <c r="G8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89">
        <f>IF(LEN(TRIM(A889))=10, --MID(A889,1,1)*2+--MID(A889,2,1)*4+--MID(A889,3,1)*10+--MID(A889,4,1)*3+--MID(A889,5,1)*5+--MID(A889,6,1)*9+--MID(A889,7,1)*4+--MID(A889,8,1)*6+--MID(A889,9,1)*8, IF(LEN(TRIM(A889))=12, --MID(A889,1,1)*7+--MID(A889,2,1)*2+--MID(A889,3,1)*4+--MID(A889,4,1)*10+--MID(A889,5,1)*3+--MID(A889,6,1)*5+--MID(A889,7,1)*9+--MID(A889,8,1)*4+--MID(A889,9,1)*6+--MID(A889,10,1)*8, ""))</f>
        <v/>
      </c>
      <c r="I889">
        <f>IF(LEN(TRIM(A889))=12, --MID(A889,1,1)*3+--MID(A889,2,1)*7+--MID(A889,3,1)*2+--MID(A889,4,1)*4+--MID(A889,5,1)*10+--MID(A889,6,1)*3+--MID(A889,7,1)*5+--MID(A889,8,1)*9+--MID(A889,9,1)*4+--MID(A889,10,1)*6+--MID(A889,11,1)*8, "")</f>
        <v/>
      </c>
    </row>
    <row r="890">
      <c r="A890">
        <f>SUBSTITUTE(SUBSTITUTE(SUBSTITUTE(SUBSTITUTE(TRIM(INDEX(Реестр!$B:$B,ROW())),CHAR(160),""),CHAR(9),""),CHAR(10),""),CHAR(13),"")</f>
        <v/>
      </c>
      <c r="B890">
        <f>SUBSTITUTE(SUBSTITUTE(SUBSTITUTE(SUBSTITUTE(SUBSTITUTE(SUBSTITUTE(SUBSTITUTE(TRIM(INDEX(Реестр!$D:$D, ROW())), "-", ""), " ", ""), CHAR(160), ""), CHAR(9), ""), CHAR(10), ""), CHAR(13), ""), CHAR(32), "")</f>
        <v/>
      </c>
      <c r="C890">
        <f>INDEX(Реестр!$H:$H, ROW())</f>
        <v/>
      </c>
      <c r="D890">
        <f>IF(OR(ISBLANK(INDEX(Реестр!$B:$B, ROW())), INDEX(Реестр!$B:$B, ROW())=""), " ", IF(IFERROR(ISNUMBER(--A890),FALSE), IF(LEN(A890)=10, IF(MOD(MOD(H890,11),10)=--RIGHT(A890,1), "OK", "ОШИБКА"), IF(LEN(A890)=12, IF(AND(MOD(MOD(H890,11),10)=--MID(A890,11,1), MOD(MOD(I890,11),10)=--RIGHT(A890,1)), "OK", "ОШИБКА"), "ДЛИНА (10 или 12)")), "НЕ ЦИФРЫ"))</f>
        <v/>
      </c>
      <c r="E890">
        <f>MID(B890,1,1)*9+MID(B890,2,1)*8+MID(B890,3,1)*7+MID(B890,4,1)*6+MID(B890,5,1)*5+MID(B890,6,1)*4+MID(B890,7,1)*3+MID(B890,8,1)*2+MID(B890,9,1)</f>
        <v/>
      </c>
      <c r="F890">
        <f>IF(B890="", " ", IF(LEN(B890)&lt;&gt;11, "ДЛИНА", IF(NOT(ISNUMBER(--B890)), "НЕ ЦИФРЫ", IF(LEFT(B890,9)*1&lt;=1001998, "OK", IF(RIGHT(B890,2)*1=IF(MOD(E890,101)&gt;=100,0,MOD(E890,101)),"OK","ОШИБКА")))))</f>
        <v/>
      </c>
      <c r="G8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0">
        <f>IF(LEN(TRIM(A890))=10, --MID(A890,1,1)*2+--MID(A890,2,1)*4+--MID(A890,3,1)*10+--MID(A890,4,1)*3+--MID(A890,5,1)*5+--MID(A890,6,1)*9+--MID(A890,7,1)*4+--MID(A890,8,1)*6+--MID(A890,9,1)*8, IF(LEN(TRIM(A890))=12, --MID(A890,1,1)*7+--MID(A890,2,1)*2+--MID(A890,3,1)*4+--MID(A890,4,1)*10+--MID(A890,5,1)*3+--MID(A890,6,1)*5+--MID(A890,7,1)*9+--MID(A890,8,1)*4+--MID(A890,9,1)*6+--MID(A890,10,1)*8, ""))</f>
        <v/>
      </c>
      <c r="I890">
        <f>IF(LEN(TRIM(A890))=12, --MID(A890,1,1)*3+--MID(A890,2,1)*7+--MID(A890,3,1)*2+--MID(A890,4,1)*4+--MID(A890,5,1)*10+--MID(A890,6,1)*3+--MID(A890,7,1)*5+--MID(A890,8,1)*9+--MID(A890,9,1)*4+--MID(A890,10,1)*6+--MID(A890,11,1)*8, "")</f>
        <v/>
      </c>
    </row>
    <row r="891">
      <c r="A891">
        <f>SUBSTITUTE(SUBSTITUTE(SUBSTITUTE(SUBSTITUTE(TRIM(INDEX(Реестр!$B:$B,ROW())),CHAR(160),""),CHAR(9),""),CHAR(10),""),CHAR(13),"")</f>
        <v/>
      </c>
      <c r="B891">
        <f>SUBSTITUTE(SUBSTITUTE(SUBSTITUTE(SUBSTITUTE(SUBSTITUTE(SUBSTITUTE(SUBSTITUTE(TRIM(INDEX(Реестр!$D:$D, ROW())), "-", ""), " ", ""), CHAR(160), ""), CHAR(9), ""), CHAR(10), ""), CHAR(13), ""), CHAR(32), "")</f>
        <v/>
      </c>
      <c r="C891">
        <f>INDEX(Реестр!$H:$H, ROW())</f>
        <v/>
      </c>
      <c r="D891">
        <f>IF(OR(ISBLANK(INDEX(Реестр!$B:$B, ROW())), INDEX(Реестр!$B:$B, ROW())=""), " ", IF(IFERROR(ISNUMBER(--A891),FALSE), IF(LEN(A891)=10, IF(MOD(MOD(H891,11),10)=--RIGHT(A891,1), "OK", "ОШИБКА"), IF(LEN(A891)=12, IF(AND(MOD(MOD(H891,11),10)=--MID(A891,11,1), MOD(MOD(I891,11),10)=--RIGHT(A891,1)), "OK", "ОШИБКА"), "ДЛИНА (10 или 12)")), "НЕ ЦИФРЫ"))</f>
        <v/>
      </c>
      <c r="E891">
        <f>MID(B891,1,1)*9+MID(B891,2,1)*8+MID(B891,3,1)*7+MID(B891,4,1)*6+MID(B891,5,1)*5+MID(B891,6,1)*4+MID(B891,7,1)*3+MID(B891,8,1)*2+MID(B891,9,1)</f>
        <v/>
      </c>
      <c r="F891">
        <f>IF(B891="", " ", IF(LEN(B891)&lt;&gt;11, "ДЛИНА", IF(NOT(ISNUMBER(--B891)), "НЕ ЦИФРЫ", IF(LEFT(B891,9)*1&lt;=1001998, "OK", IF(RIGHT(B891,2)*1=IF(MOD(E891,101)&gt;=100,0,MOD(E891,101)),"OK","ОШИБКА")))))</f>
        <v/>
      </c>
      <c r="G8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1">
        <f>IF(LEN(TRIM(A891))=10, --MID(A891,1,1)*2+--MID(A891,2,1)*4+--MID(A891,3,1)*10+--MID(A891,4,1)*3+--MID(A891,5,1)*5+--MID(A891,6,1)*9+--MID(A891,7,1)*4+--MID(A891,8,1)*6+--MID(A891,9,1)*8, IF(LEN(TRIM(A891))=12, --MID(A891,1,1)*7+--MID(A891,2,1)*2+--MID(A891,3,1)*4+--MID(A891,4,1)*10+--MID(A891,5,1)*3+--MID(A891,6,1)*5+--MID(A891,7,1)*9+--MID(A891,8,1)*4+--MID(A891,9,1)*6+--MID(A891,10,1)*8, ""))</f>
        <v/>
      </c>
      <c r="I891">
        <f>IF(LEN(TRIM(A891))=12, --MID(A891,1,1)*3+--MID(A891,2,1)*7+--MID(A891,3,1)*2+--MID(A891,4,1)*4+--MID(A891,5,1)*10+--MID(A891,6,1)*3+--MID(A891,7,1)*5+--MID(A891,8,1)*9+--MID(A891,9,1)*4+--MID(A891,10,1)*6+--MID(A891,11,1)*8, "")</f>
        <v/>
      </c>
    </row>
    <row r="892">
      <c r="A892">
        <f>SUBSTITUTE(SUBSTITUTE(SUBSTITUTE(SUBSTITUTE(TRIM(INDEX(Реестр!$B:$B,ROW())),CHAR(160),""),CHAR(9),""),CHAR(10),""),CHAR(13),"")</f>
        <v/>
      </c>
      <c r="B892">
        <f>SUBSTITUTE(SUBSTITUTE(SUBSTITUTE(SUBSTITUTE(SUBSTITUTE(SUBSTITUTE(SUBSTITUTE(TRIM(INDEX(Реестр!$D:$D, ROW())), "-", ""), " ", ""), CHAR(160), ""), CHAR(9), ""), CHAR(10), ""), CHAR(13), ""), CHAR(32), "")</f>
        <v/>
      </c>
      <c r="C892">
        <f>INDEX(Реестр!$H:$H, ROW())</f>
        <v/>
      </c>
      <c r="D892">
        <f>IF(OR(ISBLANK(INDEX(Реестр!$B:$B, ROW())), INDEX(Реестр!$B:$B, ROW())=""), " ", IF(IFERROR(ISNUMBER(--A892),FALSE), IF(LEN(A892)=10, IF(MOD(MOD(H892,11),10)=--RIGHT(A892,1), "OK", "ОШИБКА"), IF(LEN(A892)=12, IF(AND(MOD(MOD(H892,11),10)=--MID(A892,11,1), MOD(MOD(I892,11),10)=--RIGHT(A892,1)), "OK", "ОШИБКА"), "ДЛИНА (10 или 12)")), "НЕ ЦИФРЫ"))</f>
        <v/>
      </c>
      <c r="E892">
        <f>MID(B892,1,1)*9+MID(B892,2,1)*8+MID(B892,3,1)*7+MID(B892,4,1)*6+MID(B892,5,1)*5+MID(B892,6,1)*4+MID(B892,7,1)*3+MID(B892,8,1)*2+MID(B892,9,1)</f>
        <v/>
      </c>
      <c r="F892">
        <f>IF(B892="", " ", IF(LEN(B892)&lt;&gt;11, "ДЛИНА", IF(NOT(ISNUMBER(--B892)), "НЕ ЦИФРЫ", IF(LEFT(B892,9)*1&lt;=1001998, "OK", IF(RIGHT(B892,2)*1=IF(MOD(E892,101)&gt;=100,0,MOD(E892,101)),"OK","ОШИБКА")))))</f>
        <v/>
      </c>
      <c r="G8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2">
        <f>IF(LEN(TRIM(A892))=10, --MID(A892,1,1)*2+--MID(A892,2,1)*4+--MID(A892,3,1)*10+--MID(A892,4,1)*3+--MID(A892,5,1)*5+--MID(A892,6,1)*9+--MID(A892,7,1)*4+--MID(A892,8,1)*6+--MID(A892,9,1)*8, IF(LEN(TRIM(A892))=12, --MID(A892,1,1)*7+--MID(A892,2,1)*2+--MID(A892,3,1)*4+--MID(A892,4,1)*10+--MID(A892,5,1)*3+--MID(A892,6,1)*5+--MID(A892,7,1)*9+--MID(A892,8,1)*4+--MID(A892,9,1)*6+--MID(A892,10,1)*8, ""))</f>
        <v/>
      </c>
      <c r="I892">
        <f>IF(LEN(TRIM(A892))=12, --MID(A892,1,1)*3+--MID(A892,2,1)*7+--MID(A892,3,1)*2+--MID(A892,4,1)*4+--MID(A892,5,1)*10+--MID(A892,6,1)*3+--MID(A892,7,1)*5+--MID(A892,8,1)*9+--MID(A892,9,1)*4+--MID(A892,10,1)*6+--MID(A892,11,1)*8, "")</f>
        <v/>
      </c>
    </row>
    <row r="893">
      <c r="A893">
        <f>SUBSTITUTE(SUBSTITUTE(SUBSTITUTE(SUBSTITUTE(TRIM(INDEX(Реестр!$B:$B,ROW())),CHAR(160),""),CHAR(9),""),CHAR(10),""),CHAR(13),"")</f>
        <v/>
      </c>
      <c r="B893">
        <f>SUBSTITUTE(SUBSTITUTE(SUBSTITUTE(SUBSTITUTE(SUBSTITUTE(SUBSTITUTE(SUBSTITUTE(TRIM(INDEX(Реестр!$D:$D, ROW())), "-", ""), " ", ""), CHAR(160), ""), CHAR(9), ""), CHAR(10), ""), CHAR(13), ""), CHAR(32), "")</f>
        <v/>
      </c>
      <c r="C893">
        <f>INDEX(Реестр!$H:$H, ROW())</f>
        <v/>
      </c>
      <c r="D893">
        <f>IF(OR(ISBLANK(INDEX(Реестр!$B:$B, ROW())), INDEX(Реестр!$B:$B, ROW())=""), " ", IF(IFERROR(ISNUMBER(--A893),FALSE), IF(LEN(A893)=10, IF(MOD(MOD(H893,11),10)=--RIGHT(A893,1), "OK", "ОШИБКА"), IF(LEN(A893)=12, IF(AND(MOD(MOD(H893,11),10)=--MID(A893,11,1), MOD(MOD(I893,11),10)=--RIGHT(A893,1)), "OK", "ОШИБКА"), "ДЛИНА (10 или 12)")), "НЕ ЦИФРЫ"))</f>
        <v/>
      </c>
      <c r="E893">
        <f>MID(B893,1,1)*9+MID(B893,2,1)*8+MID(B893,3,1)*7+MID(B893,4,1)*6+MID(B893,5,1)*5+MID(B893,6,1)*4+MID(B893,7,1)*3+MID(B893,8,1)*2+MID(B893,9,1)</f>
        <v/>
      </c>
      <c r="F893">
        <f>IF(B893="", " ", IF(LEN(B893)&lt;&gt;11, "ДЛИНА", IF(NOT(ISNUMBER(--B893)), "НЕ ЦИФРЫ", IF(LEFT(B893,9)*1&lt;=1001998, "OK", IF(RIGHT(B893,2)*1=IF(MOD(E893,101)&gt;=100,0,MOD(E893,101)),"OK","ОШИБКА")))))</f>
        <v/>
      </c>
      <c r="G8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3">
        <f>IF(LEN(TRIM(A893))=10, --MID(A893,1,1)*2+--MID(A893,2,1)*4+--MID(A893,3,1)*10+--MID(A893,4,1)*3+--MID(A893,5,1)*5+--MID(A893,6,1)*9+--MID(A893,7,1)*4+--MID(A893,8,1)*6+--MID(A893,9,1)*8, IF(LEN(TRIM(A893))=12, --MID(A893,1,1)*7+--MID(A893,2,1)*2+--MID(A893,3,1)*4+--MID(A893,4,1)*10+--MID(A893,5,1)*3+--MID(A893,6,1)*5+--MID(A893,7,1)*9+--MID(A893,8,1)*4+--MID(A893,9,1)*6+--MID(A893,10,1)*8, ""))</f>
        <v/>
      </c>
      <c r="I893">
        <f>IF(LEN(TRIM(A893))=12, --MID(A893,1,1)*3+--MID(A893,2,1)*7+--MID(A893,3,1)*2+--MID(A893,4,1)*4+--MID(A893,5,1)*10+--MID(A893,6,1)*3+--MID(A893,7,1)*5+--MID(A893,8,1)*9+--MID(A893,9,1)*4+--MID(A893,10,1)*6+--MID(A893,11,1)*8, "")</f>
        <v/>
      </c>
    </row>
    <row r="894">
      <c r="A894">
        <f>SUBSTITUTE(SUBSTITUTE(SUBSTITUTE(SUBSTITUTE(TRIM(INDEX(Реестр!$B:$B,ROW())),CHAR(160),""),CHAR(9),""),CHAR(10),""),CHAR(13),"")</f>
        <v/>
      </c>
      <c r="B894">
        <f>SUBSTITUTE(SUBSTITUTE(SUBSTITUTE(SUBSTITUTE(SUBSTITUTE(SUBSTITUTE(SUBSTITUTE(TRIM(INDEX(Реестр!$D:$D, ROW())), "-", ""), " ", ""), CHAR(160), ""), CHAR(9), ""), CHAR(10), ""), CHAR(13), ""), CHAR(32), "")</f>
        <v/>
      </c>
      <c r="C894">
        <f>INDEX(Реестр!$H:$H, ROW())</f>
        <v/>
      </c>
      <c r="D894">
        <f>IF(OR(ISBLANK(INDEX(Реестр!$B:$B, ROW())), INDEX(Реестр!$B:$B, ROW())=""), " ", IF(IFERROR(ISNUMBER(--A894),FALSE), IF(LEN(A894)=10, IF(MOD(MOD(H894,11),10)=--RIGHT(A894,1), "OK", "ОШИБКА"), IF(LEN(A894)=12, IF(AND(MOD(MOD(H894,11),10)=--MID(A894,11,1), MOD(MOD(I894,11),10)=--RIGHT(A894,1)), "OK", "ОШИБКА"), "ДЛИНА (10 или 12)")), "НЕ ЦИФРЫ"))</f>
        <v/>
      </c>
      <c r="E894">
        <f>MID(B894,1,1)*9+MID(B894,2,1)*8+MID(B894,3,1)*7+MID(B894,4,1)*6+MID(B894,5,1)*5+MID(B894,6,1)*4+MID(B894,7,1)*3+MID(B894,8,1)*2+MID(B894,9,1)</f>
        <v/>
      </c>
      <c r="F894">
        <f>IF(B894="", " ", IF(LEN(B894)&lt;&gt;11, "ДЛИНА", IF(NOT(ISNUMBER(--B894)), "НЕ ЦИФРЫ", IF(LEFT(B894,9)*1&lt;=1001998, "OK", IF(RIGHT(B894,2)*1=IF(MOD(E894,101)&gt;=100,0,MOD(E894,101)),"OK","ОШИБКА")))))</f>
        <v/>
      </c>
      <c r="G8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4">
        <f>IF(LEN(TRIM(A894))=10, --MID(A894,1,1)*2+--MID(A894,2,1)*4+--MID(A894,3,1)*10+--MID(A894,4,1)*3+--MID(A894,5,1)*5+--MID(A894,6,1)*9+--MID(A894,7,1)*4+--MID(A894,8,1)*6+--MID(A894,9,1)*8, IF(LEN(TRIM(A894))=12, --MID(A894,1,1)*7+--MID(A894,2,1)*2+--MID(A894,3,1)*4+--MID(A894,4,1)*10+--MID(A894,5,1)*3+--MID(A894,6,1)*5+--MID(A894,7,1)*9+--MID(A894,8,1)*4+--MID(A894,9,1)*6+--MID(A894,10,1)*8, ""))</f>
        <v/>
      </c>
      <c r="I894">
        <f>IF(LEN(TRIM(A894))=12, --MID(A894,1,1)*3+--MID(A894,2,1)*7+--MID(A894,3,1)*2+--MID(A894,4,1)*4+--MID(A894,5,1)*10+--MID(A894,6,1)*3+--MID(A894,7,1)*5+--MID(A894,8,1)*9+--MID(A894,9,1)*4+--MID(A894,10,1)*6+--MID(A894,11,1)*8, "")</f>
        <v/>
      </c>
    </row>
    <row r="895">
      <c r="A895">
        <f>SUBSTITUTE(SUBSTITUTE(SUBSTITUTE(SUBSTITUTE(TRIM(INDEX(Реестр!$B:$B,ROW())),CHAR(160),""),CHAR(9),""),CHAR(10),""),CHAR(13),"")</f>
        <v/>
      </c>
      <c r="B895">
        <f>SUBSTITUTE(SUBSTITUTE(SUBSTITUTE(SUBSTITUTE(SUBSTITUTE(SUBSTITUTE(SUBSTITUTE(TRIM(INDEX(Реестр!$D:$D, ROW())), "-", ""), " ", ""), CHAR(160), ""), CHAR(9), ""), CHAR(10), ""), CHAR(13), ""), CHAR(32), "")</f>
        <v/>
      </c>
      <c r="C895">
        <f>INDEX(Реестр!$H:$H, ROW())</f>
        <v/>
      </c>
      <c r="D895">
        <f>IF(OR(ISBLANK(INDEX(Реестр!$B:$B, ROW())), INDEX(Реестр!$B:$B, ROW())=""), " ", IF(IFERROR(ISNUMBER(--A895),FALSE), IF(LEN(A895)=10, IF(MOD(MOD(H895,11),10)=--RIGHT(A895,1), "OK", "ОШИБКА"), IF(LEN(A895)=12, IF(AND(MOD(MOD(H895,11),10)=--MID(A895,11,1), MOD(MOD(I895,11),10)=--RIGHT(A895,1)), "OK", "ОШИБКА"), "ДЛИНА (10 или 12)")), "НЕ ЦИФРЫ"))</f>
        <v/>
      </c>
      <c r="E895">
        <f>MID(B895,1,1)*9+MID(B895,2,1)*8+MID(B895,3,1)*7+MID(B895,4,1)*6+MID(B895,5,1)*5+MID(B895,6,1)*4+MID(B895,7,1)*3+MID(B895,8,1)*2+MID(B895,9,1)</f>
        <v/>
      </c>
      <c r="F895">
        <f>IF(B895="", " ", IF(LEN(B895)&lt;&gt;11, "ДЛИНА", IF(NOT(ISNUMBER(--B895)), "НЕ ЦИФРЫ", IF(LEFT(B895,9)*1&lt;=1001998, "OK", IF(RIGHT(B895,2)*1=IF(MOD(E895,101)&gt;=100,0,MOD(E895,101)),"OK","ОШИБКА")))))</f>
        <v/>
      </c>
      <c r="G8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5">
        <f>IF(LEN(TRIM(A895))=10, --MID(A895,1,1)*2+--MID(A895,2,1)*4+--MID(A895,3,1)*10+--MID(A895,4,1)*3+--MID(A895,5,1)*5+--MID(A895,6,1)*9+--MID(A895,7,1)*4+--MID(A895,8,1)*6+--MID(A895,9,1)*8, IF(LEN(TRIM(A895))=12, --MID(A895,1,1)*7+--MID(A895,2,1)*2+--MID(A895,3,1)*4+--MID(A895,4,1)*10+--MID(A895,5,1)*3+--MID(A895,6,1)*5+--MID(A895,7,1)*9+--MID(A895,8,1)*4+--MID(A895,9,1)*6+--MID(A895,10,1)*8, ""))</f>
        <v/>
      </c>
      <c r="I895">
        <f>IF(LEN(TRIM(A895))=12, --MID(A895,1,1)*3+--MID(A895,2,1)*7+--MID(A895,3,1)*2+--MID(A895,4,1)*4+--MID(A895,5,1)*10+--MID(A895,6,1)*3+--MID(A895,7,1)*5+--MID(A895,8,1)*9+--MID(A895,9,1)*4+--MID(A895,10,1)*6+--MID(A895,11,1)*8, "")</f>
        <v/>
      </c>
    </row>
    <row r="896">
      <c r="A896">
        <f>SUBSTITUTE(SUBSTITUTE(SUBSTITUTE(SUBSTITUTE(TRIM(INDEX(Реестр!$B:$B,ROW())),CHAR(160),""),CHAR(9),""),CHAR(10),""),CHAR(13),"")</f>
        <v/>
      </c>
      <c r="B896">
        <f>SUBSTITUTE(SUBSTITUTE(SUBSTITUTE(SUBSTITUTE(SUBSTITUTE(SUBSTITUTE(SUBSTITUTE(TRIM(INDEX(Реестр!$D:$D, ROW())), "-", ""), " ", ""), CHAR(160), ""), CHAR(9), ""), CHAR(10), ""), CHAR(13), ""), CHAR(32), "")</f>
        <v/>
      </c>
      <c r="C896">
        <f>INDEX(Реестр!$H:$H, ROW())</f>
        <v/>
      </c>
      <c r="D896">
        <f>IF(OR(ISBLANK(INDEX(Реестр!$B:$B, ROW())), INDEX(Реестр!$B:$B, ROW())=""), " ", IF(IFERROR(ISNUMBER(--A896),FALSE), IF(LEN(A896)=10, IF(MOD(MOD(H896,11),10)=--RIGHT(A896,1), "OK", "ОШИБКА"), IF(LEN(A896)=12, IF(AND(MOD(MOD(H896,11),10)=--MID(A896,11,1), MOD(MOD(I896,11),10)=--RIGHT(A896,1)), "OK", "ОШИБКА"), "ДЛИНА (10 или 12)")), "НЕ ЦИФРЫ"))</f>
        <v/>
      </c>
      <c r="E896">
        <f>MID(B896,1,1)*9+MID(B896,2,1)*8+MID(B896,3,1)*7+MID(B896,4,1)*6+MID(B896,5,1)*5+MID(B896,6,1)*4+MID(B896,7,1)*3+MID(B896,8,1)*2+MID(B896,9,1)</f>
        <v/>
      </c>
      <c r="F896">
        <f>IF(B896="", " ", IF(LEN(B896)&lt;&gt;11, "ДЛИНА", IF(NOT(ISNUMBER(--B896)), "НЕ ЦИФРЫ", IF(LEFT(B896,9)*1&lt;=1001998, "OK", IF(RIGHT(B896,2)*1=IF(MOD(E896,101)&gt;=100,0,MOD(E896,101)),"OK","ОШИБКА")))))</f>
        <v/>
      </c>
      <c r="G8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6">
        <f>IF(LEN(TRIM(A896))=10, --MID(A896,1,1)*2+--MID(A896,2,1)*4+--MID(A896,3,1)*10+--MID(A896,4,1)*3+--MID(A896,5,1)*5+--MID(A896,6,1)*9+--MID(A896,7,1)*4+--MID(A896,8,1)*6+--MID(A896,9,1)*8, IF(LEN(TRIM(A896))=12, --MID(A896,1,1)*7+--MID(A896,2,1)*2+--MID(A896,3,1)*4+--MID(A896,4,1)*10+--MID(A896,5,1)*3+--MID(A896,6,1)*5+--MID(A896,7,1)*9+--MID(A896,8,1)*4+--MID(A896,9,1)*6+--MID(A896,10,1)*8, ""))</f>
        <v/>
      </c>
      <c r="I896">
        <f>IF(LEN(TRIM(A896))=12, --MID(A896,1,1)*3+--MID(A896,2,1)*7+--MID(A896,3,1)*2+--MID(A896,4,1)*4+--MID(A896,5,1)*10+--MID(A896,6,1)*3+--MID(A896,7,1)*5+--MID(A896,8,1)*9+--MID(A896,9,1)*4+--MID(A896,10,1)*6+--MID(A896,11,1)*8, "")</f>
        <v/>
      </c>
    </row>
    <row r="897">
      <c r="A897">
        <f>SUBSTITUTE(SUBSTITUTE(SUBSTITUTE(SUBSTITUTE(TRIM(INDEX(Реестр!$B:$B,ROW())),CHAR(160),""),CHAR(9),""),CHAR(10),""),CHAR(13),"")</f>
        <v/>
      </c>
      <c r="B897">
        <f>SUBSTITUTE(SUBSTITUTE(SUBSTITUTE(SUBSTITUTE(SUBSTITUTE(SUBSTITUTE(SUBSTITUTE(TRIM(INDEX(Реестр!$D:$D, ROW())), "-", ""), " ", ""), CHAR(160), ""), CHAR(9), ""), CHAR(10), ""), CHAR(13), ""), CHAR(32), "")</f>
        <v/>
      </c>
      <c r="C897">
        <f>INDEX(Реестр!$H:$H, ROW())</f>
        <v/>
      </c>
      <c r="D897">
        <f>IF(OR(ISBLANK(INDEX(Реестр!$B:$B, ROW())), INDEX(Реестр!$B:$B, ROW())=""), " ", IF(IFERROR(ISNUMBER(--A897),FALSE), IF(LEN(A897)=10, IF(MOD(MOD(H897,11),10)=--RIGHT(A897,1), "OK", "ОШИБКА"), IF(LEN(A897)=12, IF(AND(MOD(MOD(H897,11),10)=--MID(A897,11,1), MOD(MOD(I897,11),10)=--RIGHT(A897,1)), "OK", "ОШИБКА"), "ДЛИНА (10 или 12)")), "НЕ ЦИФРЫ"))</f>
        <v/>
      </c>
      <c r="E897">
        <f>MID(B897,1,1)*9+MID(B897,2,1)*8+MID(B897,3,1)*7+MID(B897,4,1)*6+MID(B897,5,1)*5+MID(B897,6,1)*4+MID(B897,7,1)*3+MID(B897,8,1)*2+MID(B897,9,1)</f>
        <v/>
      </c>
      <c r="F897">
        <f>IF(B897="", " ", IF(LEN(B897)&lt;&gt;11, "ДЛИНА", IF(NOT(ISNUMBER(--B897)), "НЕ ЦИФРЫ", IF(LEFT(B897,9)*1&lt;=1001998, "OK", IF(RIGHT(B897,2)*1=IF(MOD(E897,101)&gt;=100,0,MOD(E897,101)),"OK","ОШИБКА")))))</f>
        <v/>
      </c>
      <c r="G8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7">
        <f>IF(LEN(TRIM(A897))=10, --MID(A897,1,1)*2+--MID(A897,2,1)*4+--MID(A897,3,1)*10+--MID(A897,4,1)*3+--MID(A897,5,1)*5+--MID(A897,6,1)*9+--MID(A897,7,1)*4+--MID(A897,8,1)*6+--MID(A897,9,1)*8, IF(LEN(TRIM(A897))=12, --MID(A897,1,1)*7+--MID(A897,2,1)*2+--MID(A897,3,1)*4+--MID(A897,4,1)*10+--MID(A897,5,1)*3+--MID(A897,6,1)*5+--MID(A897,7,1)*9+--MID(A897,8,1)*4+--MID(A897,9,1)*6+--MID(A897,10,1)*8, ""))</f>
        <v/>
      </c>
      <c r="I897">
        <f>IF(LEN(TRIM(A897))=12, --MID(A897,1,1)*3+--MID(A897,2,1)*7+--MID(A897,3,1)*2+--MID(A897,4,1)*4+--MID(A897,5,1)*10+--MID(A897,6,1)*3+--MID(A897,7,1)*5+--MID(A897,8,1)*9+--MID(A897,9,1)*4+--MID(A897,10,1)*6+--MID(A897,11,1)*8, "")</f>
        <v/>
      </c>
    </row>
    <row r="898">
      <c r="A898">
        <f>SUBSTITUTE(SUBSTITUTE(SUBSTITUTE(SUBSTITUTE(TRIM(INDEX(Реестр!$B:$B,ROW())),CHAR(160),""),CHAR(9),""),CHAR(10),""),CHAR(13),"")</f>
        <v/>
      </c>
      <c r="B898">
        <f>SUBSTITUTE(SUBSTITUTE(SUBSTITUTE(SUBSTITUTE(SUBSTITUTE(SUBSTITUTE(SUBSTITUTE(TRIM(INDEX(Реестр!$D:$D, ROW())), "-", ""), " ", ""), CHAR(160), ""), CHAR(9), ""), CHAR(10), ""), CHAR(13), ""), CHAR(32), "")</f>
        <v/>
      </c>
      <c r="C898">
        <f>INDEX(Реестр!$H:$H, ROW())</f>
        <v/>
      </c>
      <c r="D898">
        <f>IF(OR(ISBLANK(INDEX(Реестр!$B:$B, ROW())), INDEX(Реестр!$B:$B, ROW())=""), " ", IF(IFERROR(ISNUMBER(--A898),FALSE), IF(LEN(A898)=10, IF(MOD(MOD(H898,11),10)=--RIGHT(A898,1), "OK", "ОШИБКА"), IF(LEN(A898)=12, IF(AND(MOD(MOD(H898,11),10)=--MID(A898,11,1), MOD(MOD(I898,11),10)=--RIGHT(A898,1)), "OK", "ОШИБКА"), "ДЛИНА (10 или 12)")), "НЕ ЦИФРЫ"))</f>
        <v/>
      </c>
      <c r="E898">
        <f>MID(B898,1,1)*9+MID(B898,2,1)*8+MID(B898,3,1)*7+MID(B898,4,1)*6+MID(B898,5,1)*5+MID(B898,6,1)*4+MID(B898,7,1)*3+MID(B898,8,1)*2+MID(B898,9,1)</f>
        <v/>
      </c>
      <c r="F898">
        <f>IF(B898="", " ", IF(LEN(B898)&lt;&gt;11, "ДЛИНА", IF(NOT(ISNUMBER(--B898)), "НЕ ЦИФРЫ", IF(LEFT(B898,9)*1&lt;=1001998, "OK", IF(RIGHT(B898,2)*1=IF(MOD(E898,101)&gt;=100,0,MOD(E898,101)),"OK","ОШИБКА")))))</f>
        <v/>
      </c>
      <c r="G8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8">
        <f>IF(LEN(TRIM(A898))=10, --MID(A898,1,1)*2+--MID(A898,2,1)*4+--MID(A898,3,1)*10+--MID(A898,4,1)*3+--MID(A898,5,1)*5+--MID(A898,6,1)*9+--MID(A898,7,1)*4+--MID(A898,8,1)*6+--MID(A898,9,1)*8, IF(LEN(TRIM(A898))=12, --MID(A898,1,1)*7+--MID(A898,2,1)*2+--MID(A898,3,1)*4+--MID(A898,4,1)*10+--MID(A898,5,1)*3+--MID(A898,6,1)*5+--MID(A898,7,1)*9+--MID(A898,8,1)*4+--MID(A898,9,1)*6+--MID(A898,10,1)*8, ""))</f>
        <v/>
      </c>
      <c r="I898">
        <f>IF(LEN(TRIM(A898))=12, --MID(A898,1,1)*3+--MID(A898,2,1)*7+--MID(A898,3,1)*2+--MID(A898,4,1)*4+--MID(A898,5,1)*10+--MID(A898,6,1)*3+--MID(A898,7,1)*5+--MID(A898,8,1)*9+--MID(A898,9,1)*4+--MID(A898,10,1)*6+--MID(A898,11,1)*8, "")</f>
        <v/>
      </c>
    </row>
    <row r="899">
      <c r="A899">
        <f>SUBSTITUTE(SUBSTITUTE(SUBSTITUTE(SUBSTITUTE(TRIM(INDEX(Реестр!$B:$B,ROW())),CHAR(160),""),CHAR(9),""),CHAR(10),""),CHAR(13),"")</f>
        <v/>
      </c>
      <c r="B899">
        <f>SUBSTITUTE(SUBSTITUTE(SUBSTITUTE(SUBSTITUTE(SUBSTITUTE(SUBSTITUTE(SUBSTITUTE(TRIM(INDEX(Реестр!$D:$D, ROW())), "-", ""), " ", ""), CHAR(160), ""), CHAR(9), ""), CHAR(10), ""), CHAR(13), ""), CHAR(32), "")</f>
        <v/>
      </c>
      <c r="C899">
        <f>INDEX(Реестр!$H:$H, ROW())</f>
        <v/>
      </c>
      <c r="D899">
        <f>IF(OR(ISBLANK(INDEX(Реестр!$B:$B, ROW())), INDEX(Реестр!$B:$B, ROW())=""), " ", IF(IFERROR(ISNUMBER(--A899),FALSE), IF(LEN(A899)=10, IF(MOD(MOD(H899,11),10)=--RIGHT(A899,1), "OK", "ОШИБКА"), IF(LEN(A899)=12, IF(AND(MOD(MOD(H899,11),10)=--MID(A899,11,1), MOD(MOD(I899,11),10)=--RIGHT(A899,1)), "OK", "ОШИБКА"), "ДЛИНА (10 или 12)")), "НЕ ЦИФРЫ"))</f>
        <v/>
      </c>
      <c r="E899">
        <f>MID(B899,1,1)*9+MID(B899,2,1)*8+MID(B899,3,1)*7+MID(B899,4,1)*6+MID(B899,5,1)*5+MID(B899,6,1)*4+MID(B899,7,1)*3+MID(B899,8,1)*2+MID(B899,9,1)</f>
        <v/>
      </c>
      <c r="F899">
        <f>IF(B899="", " ", IF(LEN(B899)&lt;&gt;11, "ДЛИНА", IF(NOT(ISNUMBER(--B899)), "НЕ ЦИФРЫ", IF(LEFT(B899,9)*1&lt;=1001998, "OK", IF(RIGHT(B899,2)*1=IF(MOD(E899,101)&gt;=100,0,MOD(E899,101)),"OK","ОШИБКА")))))</f>
        <v/>
      </c>
      <c r="G8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899">
        <f>IF(LEN(TRIM(A899))=10, --MID(A899,1,1)*2+--MID(A899,2,1)*4+--MID(A899,3,1)*10+--MID(A899,4,1)*3+--MID(A899,5,1)*5+--MID(A899,6,1)*9+--MID(A899,7,1)*4+--MID(A899,8,1)*6+--MID(A899,9,1)*8, IF(LEN(TRIM(A899))=12, --MID(A899,1,1)*7+--MID(A899,2,1)*2+--MID(A899,3,1)*4+--MID(A899,4,1)*10+--MID(A899,5,1)*3+--MID(A899,6,1)*5+--MID(A899,7,1)*9+--MID(A899,8,1)*4+--MID(A899,9,1)*6+--MID(A899,10,1)*8, ""))</f>
        <v/>
      </c>
      <c r="I899">
        <f>IF(LEN(TRIM(A899))=12, --MID(A899,1,1)*3+--MID(A899,2,1)*7+--MID(A899,3,1)*2+--MID(A899,4,1)*4+--MID(A899,5,1)*10+--MID(A899,6,1)*3+--MID(A899,7,1)*5+--MID(A899,8,1)*9+--MID(A899,9,1)*4+--MID(A899,10,1)*6+--MID(A899,11,1)*8, "")</f>
        <v/>
      </c>
    </row>
    <row r="900">
      <c r="A900">
        <f>SUBSTITUTE(SUBSTITUTE(SUBSTITUTE(SUBSTITUTE(TRIM(INDEX(Реестр!$B:$B,ROW())),CHAR(160),""),CHAR(9),""),CHAR(10),""),CHAR(13),"")</f>
        <v/>
      </c>
      <c r="B900">
        <f>SUBSTITUTE(SUBSTITUTE(SUBSTITUTE(SUBSTITUTE(SUBSTITUTE(SUBSTITUTE(SUBSTITUTE(TRIM(INDEX(Реестр!$D:$D, ROW())), "-", ""), " ", ""), CHAR(160), ""), CHAR(9), ""), CHAR(10), ""), CHAR(13), ""), CHAR(32), "")</f>
        <v/>
      </c>
      <c r="C900">
        <f>INDEX(Реестр!$H:$H, ROW())</f>
        <v/>
      </c>
      <c r="D900">
        <f>IF(OR(ISBLANK(INDEX(Реестр!$B:$B, ROW())), INDEX(Реестр!$B:$B, ROW())=""), " ", IF(IFERROR(ISNUMBER(--A900),FALSE), IF(LEN(A900)=10, IF(MOD(MOD(H900,11),10)=--RIGHT(A900,1), "OK", "ОШИБКА"), IF(LEN(A900)=12, IF(AND(MOD(MOD(H900,11),10)=--MID(A900,11,1), MOD(MOD(I900,11),10)=--RIGHT(A900,1)), "OK", "ОШИБКА"), "ДЛИНА (10 или 12)")), "НЕ ЦИФРЫ"))</f>
        <v/>
      </c>
      <c r="E900">
        <f>MID(B900,1,1)*9+MID(B900,2,1)*8+MID(B900,3,1)*7+MID(B900,4,1)*6+MID(B900,5,1)*5+MID(B900,6,1)*4+MID(B900,7,1)*3+MID(B900,8,1)*2+MID(B900,9,1)</f>
        <v/>
      </c>
      <c r="F900">
        <f>IF(B900="", " ", IF(LEN(B900)&lt;&gt;11, "ДЛИНА", IF(NOT(ISNUMBER(--B900)), "НЕ ЦИФРЫ", IF(LEFT(B900,9)*1&lt;=1001998, "OK", IF(RIGHT(B900,2)*1=IF(MOD(E900,101)&gt;=100,0,MOD(E900,101)),"OK","ОШИБКА")))))</f>
        <v/>
      </c>
      <c r="G9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0">
        <f>IF(LEN(TRIM(A900))=10, --MID(A900,1,1)*2+--MID(A900,2,1)*4+--MID(A900,3,1)*10+--MID(A900,4,1)*3+--MID(A900,5,1)*5+--MID(A900,6,1)*9+--MID(A900,7,1)*4+--MID(A900,8,1)*6+--MID(A900,9,1)*8, IF(LEN(TRIM(A900))=12, --MID(A900,1,1)*7+--MID(A900,2,1)*2+--MID(A900,3,1)*4+--MID(A900,4,1)*10+--MID(A900,5,1)*3+--MID(A900,6,1)*5+--MID(A900,7,1)*9+--MID(A900,8,1)*4+--MID(A900,9,1)*6+--MID(A900,10,1)*8, ""))</f>
        <v/>
      </c>
      <c r="I900">
        <f>IF(LEN(TRIM(A900))=12, --MID(A900,1,1)*3+--MID(A900,2,1)*7+--MID(A900,3,1)*2+--MID(A900,4,1)*4+--MID(A900,5,1)*10+--MID(A900,6,1)*3+--MID(A900,7,1)*5+--MID(A900,8,1)*9+--MID(A900,9,1)*4+--MID(A900,10,1)*6+--MID(A900,11,1)*8, "")</f>
        <v/>
      </c>
    </row>
    <row r="901">
      <c r="A901">
        <f>SUBSTITUTE(SUBSTITUTE(SUBSTITUTE(SUBSTITUTE(TRIM(INDEX(Реестр!$B:$B,ROW())),CHAR(160),""),CHAR(9),""),CHAR(10),""),CHAR(13),"")</f>
        <v/>
      </c>
      <c r="B901">
        <f>SUBSTITUTE(SUBSTITUTE(SUBSTITUTE(SUBSTITUTE(SUBSTITUTE(SUBSTITUTE(SUBSTITUTE(TRIM(INDEX(Реестр!$D:$D, ROW())), "-", ""), " ", ""), CHAR(160), ""), CHAR(9), ""), CHAR(10), ""), CHAR(13), ""), CHAR(32), "")</f>
        <v/>
      </c>
      <c r="C901">
        <f>INDEX(Реестр!$H:$H, ROW())</f>
        <v/>
      </c>
      <c r="D901">
        <f>IF(OR(ISBLANK(INDEX(Реестр!$B:$B, ROW())), INDEX(Реестр!$B:$B, ROW())=""), " ", IF(IFERROR(ISNUMBER(--A901),FALSE), IF(LEN(A901)=10, IF(MOD(MOD(H901,11),10)=--RIGHT(A901,1), "OK", "ОШИБКА"), IF(LEN(A901)=12, IF(AND(MOD(MOD(H901,11),10)=--MID(A901,11,1), MOD(MOD(I901,11),10)=--RIGHT(A901,1)), "OK", "ОШИБКА"), "ДЛИНА (10 или 12)")), "НЕ ЦИФРЫ"))</f>
        <v/>
      </c>
      <c r="E901">
        <f>MID(B901,1,1)*9+MID(B901,2,1)*8+MID(B901,3,1)*7+MID(B901,4,1)*6+MID(B901,5,1)*5+MID(B901,6,1)*4+MID(B901,7,1)*3+MID(B901,8,1)*2+MID(B901,9,1)</f>
        <v/>
      </c>
      <c r="F901">
        <f>IF(B901="", " ", IF(LEN(B901)&lt;&gt;11, "ДЛИНА", IF(NOT(ISNUMBER(--B901)), "НЕ ЦИФРЫ", IF(LEFT(B901,9)*1&lt;=1001998, "OK", IF(RIGHT(B901,2)*1=IF(MOD(E901,101)&gt;=100,0,MOD(E901,101)),"OK","ОШИБКА")))))</f>
        <v/>
      </c>
      <c r="G90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1">
        <f>IF(LEN(TRIM(A901))=10, --MID(A901,1,1)*2+--MID(A901,2,1)*4+--MID(A901,3,1)*10+--MID(A901,4,1)*3+--MID(A901,5,1)*5+--MID(A901,6,1)*9+--MID(A901,7,1)*4+--MID(A901,8,1)*6+--MID(A901,9,1)*8, IF(LEN(TRIM(A901))=12, --MID(A901,1,1)*7+--MID(A901,2,1)*2+--MID(A901,3,1)*4+--MID(A901,4,1)*10+--MID(A901,5,1)*3+--MID(A901,6,1)*5+--MID(A901,7,1)*9+--MID(A901,8,1)*4+--MID(A901,9,1)*6+--MID(A901,10,1)*8, ""))</f>
        <v/>
      </c>
      <c r="I901">
        <f>IF(LEN(TRIM(A901))=12, --MID(A901,1,1)*3+--MID(A901,2,1)*7+--MID(A901,3,1)*2+--MID(A901,4,1)*4+--MID(A901,5,1)*10+--MID(A901,6,1)*3+--MID(A901,7,1)*5+--MID(A901,8,1)*9+--MID(A901,9,1)*4+--MID(A901,10,1)*6+--MID(A901,11,1)*8, "")</f>
        <v/>
      </c>
    </row>
    <row r="902">
      <c r="A902">
        <f>SUBSTITUTE(SUBSTITUTE(SUBSTITUTE(SUBSTITUTE(TRIM(INDEX(Реестр!$B:$B,ROW())),CHAR(160),""),CHAR(9),""),CHAR(10),""),CHAR(13),"")</f>
        <v/>
      </c>
      <c r="B902">
        <f>SUBSTITUTE(SUBSTITUTE(SUBSTITUTE(SUBSTITUTE(SUBSTITUTE(SUBSTITUTE(SUBSTITUTE(TRIM(INDEX(Реестр!$D:$D, ROW())), "-", ""), " ", ""), CHAR(160), ""), CHAR(9), ""), CHAR(10), ""), CHAR(13), ""), CHAR(32), "")</f>
        <v/>
      </c>
      <c r="C902">
        <f>INDEX(Реестр!$H:$H, ROW())</f>
        <v/>
      </c>
      <c r="D902">
        <f>IF(OR(ISBLANK(INDEX(Реестр!$B:$B, ROW())), INDEX(Реестр!$B:$B, ROW())=""), " ", IF(IFERROR(ISNUMBER(--A902),FALSE), IF(LEN(A902)=10, IF(MOD(MOD(H902,11),10)=--RIGHT(A902,1), "OK", "ОШИБКА"), IF(LEN(A902)=12, IF(AND(MOD(MOD(H902,11),10)=--MID(A902,11,1), MOD(MOD(I902,11),10)=--RIGHT(A902,1)), "OK", "ОШИБКА"), "ДЛИНА (10 или 12)")), "НЕ ЦИФРЫ"))</f>
        <v/>
      </c>
      <c r="E902">
        <f>MID(B902,1,1)*9+MID(B902,2,1)*8+MID(B902,3,1)*7+MID(B902,4,1)*6+MID(B902,5,1)*5+MID(B902,6,1)*4+MID(B902,7,1)*3+MID(B902,8,1)*2+MID(B902,9,1)</f>
        <v/>
      </c>
      <c r="F902">
        <f>IF(B902="", " ", IF(LEN(B902)&lt;&gt;11, "ДЛИНА", IF(NOT(ISNUMBER(--B902)), "НЕ ЦИФРЫ", IF(LEFT(B902,9)*1&lt;=1001998, "OK", IF(RIGHT(B902,2)*1=IF(MOD(E902,101)&gt;=100,0,MOD(E902,101)),"OK","ОШИБКА")))))</f>
        <v/>
      </c>
      <c r="G90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2">
        <f>IF(LEN(TRIM(A902))=10, --MID(A902,1,1)*2+--MID(A902,2,1)*4+--MID(A902,3,1)*10+--MID(A902,4,1)*3+--MID(A902,5,1)*5+--MID(A902,6,1)*9+--MID(A902,7,1)*4+--MID(A902,8,1)*6+--MID(A902,9,1)*8, IF(LEN(TRIM(A902))=12, --MID(A902,1,1)*7+--MID(A902,2,1)*2+--MID(A902,3,1)*4+--MID(A902,4,1)*10+--MID(A902,5,1)*3+--MID(A902,6,1)*5+--MID(A902,7,1)*9+--MID(A902,8,1)*4+--MID(A902,9,1)*6+--MID(A902,10,1)*8, ""))</f>
        <v/>
      </c>
      <c r="I902">
        <f>IF(LEN(TRIM(A902))=12, --MID(A902,1,1)*3+--MID(A902,2,1)*7+--MID(A902,3,1)*2+--MID(A902,4,1)*4+--MID(A902,5,1)*10+--MID(A902,6,1)*3+--MID(A902,7,1)*5+--MID(A902,8,1)*9+--MID(A902,9,1)*4+--MID(A902,10,1)*6+--MID(A902,11,1)*8, "")</f>
        <v/>
      </c>
    </row>
    <row r="903">
      <c r="A903">
        <f>SUBSTITUTE(SUBSTITUTE(SUBSTITUTE(SUBSTITUTE(TRIM(INDEX(Реестр!$B:$B,ROW())),CHAR(160),""),CHAR(9),""),CHAR(10),""),CHAR(13),"")</f>
        <v/>
      </c>
      <c r="B903">
        <f>SUBSTITUTE(SUBSTITUTE(SUBSTITUTE(SUBSTITUTE(SUBSTITUTE(SUBSTITUTE(SUBSTITUTE(TRIM(INDEX(Реестр!$D:$D, ROW())), "-", ""), " ", ""), CHAR(160), ""), CHAR(9), ""), CHAR(10), ""), CHAR(13), ""), CHAR(32), "")</f>
        <v/>
      </c>
      <c r="C903">
        <f>INDEX(Реестр!$H:$H, ROW())</f>
        <v/>
      </c>
      <c r="D903">
        <f>IF(OR(ISBLANK(INDEX(Реестр!$B:$B, ROW())), INDEX(Реестр!$B:$B, ROW())=""), " ", IF(IFERROR(ISNUMBER(--A903),FALSE), IF(LEN(A903)=10, IF(MOD(MOD(H903,11),10)=--RIGHT(A903,1), "OK", "ОШИБКА"), IF(LEN(A903)=12, IF(AND(MOD(MOD(H903,11),10)=--MID(A903,11,1), MOD(MOD(I903,11),10)=--RIGHT(A903,1)), "OK", "ОШИБКА"), "ДЛИНА (10 или 12)")), "НЕ ЦИФРЫ"))</f>
        <v/>
      </c>
      <c r="E903">
        <f>MID(B903,1,1)*9+MID(B903,2,1)*8+MID(B903,3,1)*7+MID(B903,4,1)*6+MID(B903,5,1)*5+MID(B903,6,1)*4+MID(B903,7,1)*3+MID(B903,8,1)*2+MID(B903,9,1)</f>
        <v/>
      </c>
      <c r="F903">
        <f>IF(B903="", " ", IF(LEN(B903)&lt;&gt;11, "ДЛИНА", IF(NOT(ISNUMBER(--B903)), "НЕ ЦИФРЫ", IF(LEFT(B903,9)*1&lt;=1001998, "OK", IF(RIGHT(B903,2)*1=IF(MOD(E903,101)&gt;=100,0,MOD(E903,101)),"OK","ОШИБКА")))))</f>
        <v/>
      </c>
      <c r="G90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3">
        <f>IF(LEN(TRIM(A903))=10, --MID(A903,1,1)*2+--MID(A903,2,1)*4+--MID(A903,3,1)*10+--MID(A903,4,1)*3+--MID(A903,5,1)*5+--MID(A903,6,1)*9+--MID(A903,7,1)*4+--MID(A903,8,1)*6+--MID(A903,9,1)*8, IF(LEN(TRIM(A903))=12, --MID(A903,1,1)*7+--MID(A903,2,1)*2+--MID(A903,3,1)*4+--MID(A903,4,1)*10+--MID(A903,5,1)*3+--MID(A903,6,1)*5+--MID(A903,7,1)*9+--MID(A903,8,1)*4+--MID(A903,9,1)*6+--MID(A903,10,1)*8, ""))</f>
        <v/>
      </c>
      <c r="I903">
        <f>IF(LEN(TRIM(A903))=12, --MID(A903,1,1)*3+--MID(A903,2,1)*7+--MID(A903,3,1)*2+--MID(A903,4,1)*4+--MID(A903,5,1)*10+--MID(A903,6,1)*3+--MID(A903,7,1)*5+--MID(A903,8,1)*9+--MID(A903,9,1)*4+--MID(A903,10,1)*6+--MID(A903,11,1)*8, "")</f>
        <v/>
      </c>
    </row>
    <row r="904">
      <c r="A904">
        <f>SUBSTITUTE(SUBSTITUTE(SUBSTITUTE(SUBSTITUTE(TRIM(INDEX(Реестр!$B:$B,ROW())),CHAR(160),""),CHAR(9),""),CHAR(10),""),CHAR(13),"")</f>
        <v/>
      </c>
      <c r="B904">
        <f>SUBSTITUTE(SUBSTITUTE(SUBSTITUTE(SUBSTITUTE(SUBSTITUTE(SUBSTITUTE(SUBSTITUTE(TRIM(INDEX(Реестр!$D:$D, ROW())), "-", ""), " ", ""), CHAR(160), ""), CHAR(9), ""), CHAR(10), ""), CHAR(13), ""), CHAR(32), "")</f>
        <v/>
      </c>
      <c r="C904">
        <f>INDEX(Реестр!$H:$H, ROW())</f>
        <v/>
      </c>
      <c r="D904">
        <f>IF(OR(ISBLANK(INDEX(Реестр!$B:$B, ROW())), INDEX(Реестр!$B:$B, ROW())=""), " ", IF(IFERROR(ISNUMBER(--A904),FALSE), IF(LEN(A904)=10, IF(MOD(MOD(H904,11),10)=--RIGHT(A904,1), "OK", "ОШИБКА"), IF(LEN(A904)=12, IF(AND(MOD(MOD(H904,11),10)=--MID(A904,11,1), MOD(MOD(I904,11),10)=--RIGHT(A904,1)), "OK", "ОШИБКА"), "ДЛИНА (10 или 12)")), "НЕ ЦИФРЫ"))</f>
        <v/>
      </c>
      <c r="E904">
        <f>MID(B904,1,1)*9+MID(B904,2,1)*8+MID(B904,3,1)*7+MID(B904,4,1)*6+MID(B904,5,1)*5+MID(B904,6,1)*4+MID(B904,7,1)*3+MID(B904,8,1)*2+MID(B904,9,1)</f>
        <v/>
      </c>
      <c r="F904">
        <f>IF(B904="", " ", IF(LEN(B904)&lt;&gt;11, "ДЛИНА", IF(NOT(ISNUMBER(--B904)), "НЕ ЦИФРЫ", IF(LEFT(B904,9)*1&lt;=1001998, "OK", IF(RIGHT(B904,2)*1=IF(MOD(E904,101)&gt;=100,0,MOD(E904,101)),"OK","ОШИБКА")))))</f>
        <v/>
      </c>
      <c r="G90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4">
        <f>IF(LEN(TRIM(A904))=10, --MID(A904,1,1)*2+--MID(A904,2,1)*4+--MID(A904,3,1)*10+--MID(A904,4,1)*3+--MID(A904,5,1)*5+--MID(A904,6,1)*9+--MID(A904,7,1)*4+--MID(A904,8,1)*6+--MID(A904,9,1)*8, IF(LEN(TRIM(A904))=12, --MID(A904,1,1)*7+--MID(A904,2,1)*2+--MID(A904,3,1)*4+--MID(A904,4,1)*10+--MID(A904,5,1)*3+--MID(A904,6,1)*5+--MID(A904,7,1)*9+--MID(A904,8,1)*4+--MID(A904,9,1)*6+--MID(A904,10,1)*8, ""))</f>
        <v/>
      </c>
      <c r="I904">
        <f>IF(LEN(TRIM(A904))=12, --MID(A904,1,1)*3+--MID(A904,2,1)*7+--MID(A904,3,1)*2+--MID(A904,4,1)*4+--MID(A904,5,1)*10+--MID(A904,6,1)*3+--MID(A904,7,1)*5+--MID(A904,8,1)*9+--MID(A904,9,1)*4+--MID(A904,10,1)*6+--MID(A904,11,1)*8, "")</f>
        <v/>
      </c>
    </row>
    <row r="905">
      <c r="A905">
        <f>SUBSTITUTE(SUBSTITUTE(SUBSTITUTE(SUBSTITUTE(TRIM(INDEX(Реестр!$B:$B,ROW())),CHAR(160),""),CHAR(9),""),CHAR(10),""),CHAR(13),"")</f>
        <v/>
      </c>
      <c r="B905">
        <f>SUBSTITUTE(SUBSTITUTE(SUBSTITUTE(SUBSTITUTE(SUBSTITUTE(SUBSTITUTE(SUBSTITUTE(TRIM(INDEX(Реестр!$D:$D, ROW())), "-", ""), " ", ""), CHAR(160), ""), CHAR(9), ""), CHAR(10), ""), CHAR(13), ""), CHAR(32), "")</f>
        <v/>
      </c>
      <c r="C905">
        <f>INDEX(Реестр!$H:$H, ROW())</f>
        <v/>
      </c>
      <c r="D905">
        <f>IF(OR(ISBLANK(INDEX(Реестр!$B:$B, ROW())), INDEX(Реестр!$B:$B, ROW())=""), " ", IF(IFERROR(ISNUMBER(--A905),FALSE), IF(LEN(A905)=10, IF(MOD(MOD(H905,11),10)=--RIGHT(A905,1), "OK", "ОШИБКА"), IF(LEN(A905)=12, IF(AND(MOD(MOD(H905,11),10)=--MID(A905,11,1), MOD(MOD(I905,11),10)=--RIGHT(A905,1)), "OK", "ОШИБКА"), "ДЛИНА (10 или 12)")), "НЕ ЦИФРЫ"))</f>
        <v/>
      </c>
      <c r="E905">
        <f>MID(B905,1,1)*9+MID(B905,2,1)*8+MID(B905,3,1)*7+MID(B905,4,1)*6+MID(B905,5,1)*5+MID(B905,6,1)*4+MID(B905,7,1)*3+MID(B905,8,1)*2+MID(B905,9,1)</f>
        <v/>
      </c>
      <c r="F905">
        <f>IF(B905="", " ", IF(LEN(B905)&lt;&gt;11, "ДЛИНА", IF(NOT(ISNUMBER(--B905)), "НЕ ЦИФРЫ", IF(LEFT(B905,9)*1&lt;=1001998, "OK", IF(RIGHT(B905,2)*1=IF(MOD(E905,101)&gt;=100,0,MOD(E905,101)),"OK","ОШИБКА")))))</f>
        <v/>
      </c>
      <c r="G90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5">
        <f>IF(LEN(TRIM(A905))=10, --MID(A905,1,1)*2+--MID(A905,2,1)*4+--MID(A905,3,1)*10+--MID(A905,4,1)*3+--MID(A905,5,1)*5+--MID(A905,6,1)*9+--MID(A905,7,1)*4+--MID(A905,8,1)*6+--MID(A905,9,1)*8, IF(LEN(TRIM(A905))=12, --MID(A905,1,1)*7+--MID(A905,2,1)*2+--MID(A905,3,1)*4+--MID(A905,4,1)*10+--MID(A905,5,1)*3+--MID(A905,6,1)*5+--MID(A905,7,1)*9+--MID(A905,8,1)*4+--MID(A905,9,1)*6+--MID(A905,10,1)*8, ""))</f>
        <v/>
      </c>
      <c r="I905">
        <f>IF(LEN(TRIM(A905))=12, --MID(A905,1,1)*3+--MID(A905,2,1)*7+--MID(A905,3,1)*2+--MID(A905,4,1)*4+--MID(A905,5,1)*10+--MID(A905,6,1)*3+--MID(A905,7,1)*5+--MID(A905,8,1)*9+--MID(A905,9,1)*4+--MID(A905,10,1)*6+--MID(A905,11,1)*8, "")</f>
        <v/>
      </c>
    </row>
    <row r="906">
      <c r="A906">
        <f>SUBSTITUTE(SUBSTITUTE(SUBSTITUTE(SUBSTITUTE(TRIM(INDEX(Реестр!$B:$B,ROW())),CHAR(160),""),CHAR(9),""),CHAR(10),""),CHAR(13),"")</f>
        <v/>
      </c>
      <c r="B906">
        <f>SUBSTITUTE(SUBSTITUTE(SUBSTITUTE(SUBSTITUTE(SUBSTITUTE(SUBSTITUTE(SUBSTITUTE(TRIM(INDEX(Реестр!$D:$D, ROW())), "-", ""), " ", ""), CHAR(160), ""), CHAR(9), ""), CHAR(10), ""), CHAR(13), ""), CHAR(32), "")</f>
        <v/>
      </c>
      <c r="C906">
        <f>INDEX(Реестр!$H:$H, ROW())</f>
        <v/>
      </c>
      <c r="D906">
        <f>IF(OR(ISBLANK(INDEX(Реестр!$B:$B, ROW())), INDEX(Реестр!$B:$B, ROW())=""), " ", IF(IFERROR(ISNUMBER(--A906),FALSE), IF(LEN(A906)=10, IF(MOD(MOD(H906,11),10)=--RIGHT(A906,1), "OK", "ОШИБКА"), IF(LEN(A906)=12, IF(AND(MOD(MOD(H906,11),10)=--MID(A906,11,1), MOD(MOD(I906,11),10)=--RIGHT(A906,1)), "OK", "ОШИБКА"), "ДЛИНА (10 или 12)")), "НЕ ЦИФРЫ"))</f>
        <v/>
      </c>
      <c r="E906">
        <f>MID(B906,1,1)*9+MID(B906,2,1)*8+MID(B906,3,1)*7+MID(B906,4,1)*6+MID(B906,5,1)*5+MID(B906,6,1)*4+MID(B906,7,1)*3+MID(B906,8,1)*2+MID(B906,9,1)</f>
        <v/>
      </c>
      <c r="F906">
        <f>IF(B906="", " ", IF(LEN(B906)&lt;&gt;11, "ДЛИНА", IF(NOT(ISNUMBER(--B906)), "НЕ ЦИФРЫ", IF(LEFT(B906,9)*1&lt;=1001998, "OK", IF(RIGHT(B906,2)*1=IF(MOD(E906,101)&gt;=100,0,MOD(E906,101)),"OK","ОШИБКА")))))</f>
        <v/>
      </c>
      <c r="G90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6">
        <f>IF(LEN(TRIM(A906))=10, --MID(A906,1,1)*2+--MID(A906,2,1)*4+--MID(A906,3,1)*10+--MID(A906,4,1)*3+--MID(A906,5,1)*5+--MID(A906,6,1)*9+--MID(A906,7,1)*4+--MID(A906,8,1)*6+--MID(A906,9,1)*8, IF(LEN(TRIM(A906))=12, --MID(A906,1,1)*7+--MID(A906,2,1)*2+--MID(A906,3,1)*4+--MID(A906,4,1)*10+--MID(A906,5,1)*3+--MID(A906,6,1)*5+--MID(A906,7,1)*9+--MID(A906,8,1)*4+--MID(A906,9,1)*6+--MID(A906,10,1)*8, ""))</f>
        <v/>
      </c>
      <c r="I906">
        <f>IF(LEN(TRIM(A906))=12, --MID(A906,1,1)*3+--MID(A906,2,1)*7+--MID(A906,3,1)*2+--MID(A906,4,1)*4+--MID(A906,5,1)*10+--MID(A906,6,1)*3+--MID(A906,7,1)*5+--MID(A906,8,1)*9+--MID(A906,9,1)*4+--MID(A906,10,1)*6+--MID(A906,11,1)*8, "")</f>
        <v/>
      </c>
    </row>
    <row r="907">
      <c r="A907">
        <f>SUBSTITUTE(SUBSTITUTE(SUBSTITUTE(SUBSTITUTE(TRIM(INDEX(Реестр!$B:$B,ROW())),CHAR(160),""),CHAR(9),""),CHAR(10),""),CHAR(13),"")</f>
        <v/>
      </c>
      <c r="B907">
        <f>SUBSTITUTE(SUBSTITUTE(SUBSTITUTE(SUBSTITUTE(SUBSTITUTE(SUBSTITUTE(SUBSTITUTE(TRIM(INDEX(Реестр!$D:$D, ROW())), "-", ""), " ", ""), CHAR(160), ""), CHAR(9), ""), CHAR(10), ""), CHAR(13), ""), CHAR(32), "")</f>
        <v/>
      </c>
      <c r="C907">
        <f>INDEX(Реестр!$H:$H, ROW())</f>
        <v/>
      </c>
      <c r="D907">
        <f>IF(OR(ISBLANK(INDEX(Реестр!$B:$B, ROW())), INDEX(Реестр!$B:$B, ROW())=""), " ", IF(IFERROR(ISNUMBER(--A907),FALSE), IF(LEN(A907)=10, IF(MOD(MOD(H907,11),10)=--RIGHT(A907,1), "OK", "ОШИБКА"), IF(LEN(A907)=12, IF(AND(MOD(MOD(H907,11),10)=--MID(A907,11,1), MOD(MOD(I907,11),10)=--RIGHT(A907,1)), "OK", "ОШИБКА"), "ДЛИНА (10 или 12)")), "НЕ ЦИФРЫ"))</f>
        <v/>
      </c>
      <c r="E907">
        <f>MID(B907,1,1)*9+MID(B907,2,1)*8+MID(B907,3,1)*7+MID(B907,4,1)*6+MID(B907,5,1)*5+MID(B907,6,1)*4+MID(B907,7,1)*3+MID(B907,8,1)*2+MID(B907,9,1)</f>
        <v/>
      </c>
      <c r="F907">
        <f>IF(B907="", " ", IF(LEN(B907)&lt;&gt;11, "ДЛИНА", IF(NOT(ISNUMBER(--B907)), "НЕ ЦИФРЫ", IF(LEFT(B907,9)*1&lt;=1001998, "OK", IF(RIGHT(B907,2)*1=IF(MOD(E907,101)&gt;=100,0,MOD(E907,101)),"OK","ОШИБКА")))))</f>
        <v/>
      </c>
      <c r="G90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7">
        <f>IF(LEN(TRIM(A907))=10, --MID(A907,1,1)*2+--MID(A907,2,1)*4+--MID(A907,3,1)*10+--MID(A907,4,1)*3+--MID(A907,5,1)*5+--MID(A907,6,1)*9+--MID(A907,7,1)*4+--MID(A907,8,1)*6+--MID(A907,9,1)*8, IF(LEN(TRIM(A907))=12, --MID(A907,1,1)*7+--MID(A907,2,1)*2+--MID(A907,3,1)*4+--MID(A907,4,1)*10+--MID(A907,5,1)*3+--MID(A907,6,1)*5+--MID(A907,7,1)*9+--MID(A907,8,1)*4+--MID(A907,9,1)*6+--MID(A907,10,1)*8, ""))</f>
        <v/>
      </c>
      <c r="I907">
        <f>IF(LEN(TRIM(A907))=12, --MID(A907,1,1)*3+--MID(A907,2,1)*7+--MID(A907,3,1)*2+--MID(A907,4,1)*4+--MID(A907,5,1)*10+--MID(A907,6,1)*3+--MID(A907,7,1)*5+--MID(A907,8,1)*9+--MID(A907,9,1)*4+--MID(A907,10,1)*6+--MID(A907,11,1)*8, "")</f>
        <v/>
      </c>
    </row>
    <row r="908">
      <c r="A908">
        <f>SUBSTITUTE(SUBSTITUTE(SUBSTITUTE(SUBSTITUTE(TRIM(INDEX(Реестр!$B:$B,ROW())),CHAR(160),""),CHAR(9),""),CHAR(10),""),CHAR(13),"")</f>
        <v/>
      </c>
      <c r="B908">
        <f>SUBSTITUTE(SUBSTITUTE(SUBSTITUTE(SUBSTITUTE(SUBSTITUTE(SUBSTITUTE(SUBSTITUTE(TRIM(INDEX(Реестр!$D:$D, ROW())), "-", ""), " ", ""), CHAR(160), ""), CHAR(9), ""), CHAR(10), ""), CHAR(13), ""), CHAR(32), "")</f>
        <v/>
      </c>
      <c r="C908">
        <f>INDEX(Реестр!$H:$H, ROW())</f>
        <v/>
      </c>
      <c r="D908">
        <f>IF(OR(ISBLANK(INDEX(Реестр!$B:$B, ROW())), INDEX(Реестр!$B:$B, ROW())=""), " ", IF(IFERROR(ISNUMBER(--A908),FALSE), IF(LEN(A908)=10, IF(MOD(MOD(H908,11),10)=--RIGHT(A908,1), "OK", "ОШИБКА"), IF(LEN(A908)=12, IF(AND(MOD(MOD(H908,11),10)=--MID(A908,11,1), MOD(MOD(I908,11),10)=--RIGHT(A908,1)), "OK", "ОШИБКА"), "ДЛИНА (10 или 12)")), "НЕ ЦИФРЫ"))</f>
        <v/>
      </c>
      <c r="E908">
        <f>MID(B908,1,1)*9+MID(B908,2,1)*8+MID(B908,3,1)*7+MID(B908,4,1)*6+MID(B908,5,1)*5+MID(B908,6,1)*4+MID(B908,7,1)*3+MID(B908,8,1)*2+MID(B908,9,1)</f>
        <v/>
      </c>
      <c r="F908">
        <f>IF(B908="", " ", IF(LEN(B908)&lt;&gt;11, "ДЛИНА", IF(NOT(ISNUMBER(--B908)), "НЕ ЦИФРЫ", IF(LEFT(B908,9)*1&lt;=1001998, "OK", IF(RIGHT(B908,2)*1=IF(MOD(E908,101)&gt;=100,0,MOD(E908,101)),"OK","ОШИБКА")))))</f>
        <v/>
      </c>
      <c r="G90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8">
        <f>IF(LEN(TRIM(A908))=10, --MID(A908,1,1)*2+--MID(A908,2,1)*4+--MID(A908,3,1)*10+--MID(A908,4,1)*3+--MID(A908,5,1)*5+--MID(A908,6,1)*9+--MID(A908,7,1)*4+--MID(A908,8,1)*6+--MID(A908,9,1)*8, IF(LEN(TRIM(A908))=12, --MID(A908,1,1)*7+--MID(A908,2,1)*2+--MID(A908,3,1)*4+--MID(A908,4,1)*10+--MID(A908,5,1)*3+--MID(A908,6,1)*5+--MID(A908,7,1)*9+--MID(A908,8,1)*4+--MID(A908,9,1)*6+--MID(A908,10,1)*8, ""))</f>
        <v/>
      </c>
      <c r="I908">
        <f>IF(LEN(TRIM(A908))=12, --MID(A908,1,1)*3+--MID(A908,2,1)*7+--MID(A908,3,1)*2+--MID(A908,4,1)*4+--MID(A908,5,1)*10+--MID(A908,6,1)*3+--MID(A908,7,1)*5+--MID(A908,8,1)*9+--MID(A908,9,1)*4+--MID(A908,10,1)*6+--MID(A908,11,1)*8, "")</f>
        <v/>
      </c>
    </row>
    <row r="909">
      <c r="A909">
        <f>SUBSTITUTE(SUBSTITUTE(SUBSTITUTE(SUBSTITUTE(TRIM(INDEX(Реестр!$B:$B,ROW())),CHAR(160),""),CHAR(9),""),CHAR(10),""),CHAR(13),"")</f>
        <v/>
      </c>
      <c r="B909">
        <f>SUBSTITUTE(SUBSTITUTE(SUBSTITUTE(SUBSTITUTE(SUBSTITUTE(SUBSTITUTE(SUBSTITUTE(TRIM(INDEX(Реестр!$D:$D, ROW())), "-", ""), " ", ""), CHAR(160), ""), CHAR(9), ""), CHAR(10), ""), CHAR(13), ""), CHAR(32), "")</f>
        <v/>
      </c>
      <c r="C909">
        <f>INDEX(Реестр!$H:$H, ROW())</f>
        <v/>
      </c>
      <c r="D909">
        <f>IF(OR(ISBLANK(INDEX(Реестр!$B:$B, ROW())), INDEX(Реестр!$B:$B, ROW())=""), " ", IF(IFERROR(ISNUMBER(--A909),FALSE), IF(LEN(A909)=10, IF(MOD(MOD(H909,11),10)=--RIGHT(A909,1), "OK", "ОШИБКА"), IF(LEN(A909)=12, IF(AND(MOD(MOD(H909,11),10)=--MID(A909,11,1), MOD(MOD(I909,11),10)=--RIGHT(A909,1)), "OK", "ОШИБКА"), "ДЛИНА (10 или 12)")), "НЕ ЦИФРЫ"))</f>
        <v/>
      </c>
      <c r="E909">
        <f>MID(B909,1,1)*9+MID(B909,2,1)*8+MID(B909,3,1)*7+MID(B909,4,1)*6+MID(B909,5,1)*5+MID(B909,6,1)*4+MID(B909,7,1)*3+MID(B909,8,1)*2+MID(B909,9,1)</f>
        <v/>
      </c>
      <c r="F909">
        <f>IF(B909="", " ", IF(LEN(B909)&lt;&gt;11, "ДЛИНА", IF(NOT(ISNUMBER(--B909)), "НЕ ЦИФРЫ", IF(LEFT(B909,9)*1&lt;=1001998, "OK", IF(RIGHT(B909,2)*1=IF(MOD(E909,101)&gt;=100,0,MOD(E909,101)),"OK","ОШИБКА")))))</f>
        <v/>
      </c>
      <c r="G90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09">
        <f>IF(LEN(TRIM(A909))=10, --MID(A909,1,1)*2+--MID(A909,2,1)*4+--MID(A909,3,1)*10+--MID(A909,4,1)*3+--MID(A909,5,1)*5+--MID(A909,6,1)*9+--MID(A909,7,1)*4+--MID(A909,8,1)*6+--MID(A909,9,1)*8, IF(LEN(TRIM(A909))=12, --MID(A909,1,1)*7+--MID(A909,2,1)*2+--MID(A909,3,1)*4+--MID(A909,4,1)*10+--MID(A909,5,1)*3+--MID(A909,6,1)*5+--MID(A909,7,1)*9+--MID(A909,8,1)*4+--MID(A909,9,1)*6+--MID(A909,10,1)*8, ""))</f>
        <v/>
      </c>
      <c r="I909">
        <f>IF(LEN(TRIM(A909))=12, --MID(A909,1,1)*3+--MID(A909,2,1)*7+--MID(A909,3,1)*2+--MID(A909,4,1)*4+--MID(A909,5,1)*10+--MID(A909,6,1)*3+--MID(A909,7,1)*5+--MID(A909,8,1)*9+--MID(A909,9,1)*4+--MID(A909,10,1)*6+--MID(A909,11,1)*8, "")</f>
        <v/>
      </c>
    </row>
    <row r="910">
      <c r="A910">
        <f>SUBSTITUTE(SUBSTITUTE(SUBSTITUTE(SUBSTITUTE(TRIM(INDEX(Реестр!$B:$B,ROW())),CHAR(160),""),CHAR(9),""),CHAR(10),""),CHAR(13),"")</f>
        <v/>
      </c>
      <c r="B910">
        <f>SUBSTITUTE(SUBSTITUTE(SUBSTITUTE(SUBSTITUTE(SUBSTITUTE(SUBSTITUTE(SUBSTITUTE(TRIM(INDEX(Реестр!$D:$D, ROW())), "-", ""), " ", ""), CHAR(160), ""), CHAR(9), ""), CHAR(10), ""), CHAR(13), ""), CHAR(32), "")</f>
        <v/>
      </c>
      <c r="C910">
        <f>INDEX(Реестр!$H:$H, ROW())</f>
        <v/>
      </c>
      <c r="D910">
        <f>IF(OR(ISBLANK(INDEX(Реестр!$B:$B, ROW())), INDEX(Реестр!$B:$B, ROW())=""), " ", IF(IFERROR(ISNUMBER(--A910),FALSE), IF(LEN(A910)=10, IF(MOD(MOD(H910,11),10)=--RIGHT(A910,1), "OK", "ОШИБКА"), IF(LEN(A910)=12, IF(AND(MOD(MOD(H910,11),10)=--MID(A910,11,1), MOD(MOD(I910,11),10)=--RIGHT(A910,1)), "OK", "ОШИБКА"), "ДЛИНА (10 или 12)")), "НЕ ЦИФРЫ"))</f>
        <v/>
      </c>
      <c r="E910">
        <f>MID(B910,1,1)*9+MID(B910,2,1)*8+MID(B910,3,1)*7+MID(B910,4,1)*6+MID(B910,5,1)*5+MID(B910,6,1)*4+MID(B910,7,1)*3+MID(B910,8,1)*2+MID(B910,9,1)</f>
        <v/>
      </c>
      <c r="F910">
        <f>IF(B910="", " ", IF(LEN(B910)&lt;&gt;11, "ДЛИНА", IF(NOT(ISNUMBER(--B910)), "НЕ ЦИФРЫ", IF(LEFT(B910,9)*1&lt;=1001998, "OK", IF(RIGHT(B910,2)*1=IF(MOD(E910,101)&gt;=100,0,MOD(E910,101)),"OK","ОШИБКА")))))</f>
        <v/>
      </c>
      <c r="G91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0">
        <f>IF(LEN(TRIM(A910))=10, --MID(A910,1,1)*2+--MID(A910,2,1)*4+--MID(A910,3,1)*10+--MID(A910,4,1)*3+--MID(A910,5,1)*5+--MID(A910,6,1)*9+--MID(A910,7,1)*4+--MID(A910,8,1)*6+--MID(A910,9,1)*8, IF(LEN(TRIM(A910))=12, --MID(A910,1,1)*7+--MID(A910,2,1)*2+--MID(A910,3,1)*4+--MID(A910,4,1)*10+--MID(A910,5,1)*3+--MID(A910,6,1)*5+--MID(A910,7,1)*9+--MID(A910,8,1)*4+--MID(A910,9,1)*6+--MID(A910,10,1)*8, ""))</f>
        <v/>
      </c>
      <c r="I910">
        <f>IF(LEN(TRIM(A910))=12, --MID(A910,1,1)*3+--MID(A910,2,1)*7+--MID(A910,3,1)*2+--MID(A910,4,1)*4+--MID(A910,5,1)*10+--MID(A910,6,1)*3+--MID(A910,7,1)*5+--MID(A910,8,1)*9+--MID(A910,9,1)*4+--MID(A910,10,1)*6+--MID(A910,11,1)*8, "")</f>
        <v/>
      </c>
    </row>
    <row r="911">
      <c r="A911">
        <f>SUBSTITUTE(SUBSTITUTE(SUBSTITUTE(SUBSTITUTE(TRIM(INDEX(Реестр!$B:$B,ROW())),CHAR(160),""),CHAR(9),""),CHAR(10),""),CHAR(13),"")</f>
        <v/>
      </c>
      <c r="B911">
        <f>SUBSTITUTE(SUBSTITUTE(SUBSTITUTE(SUBSTITUTE(SUBSTITUTE(SUBSTITUTE(SUBSTITUTE(TRIM(INDEX(Реестр!$D:$D, ROW())), "-", ""), " ", ""), CHAR(160), ""), CHAR(9), ""), CHAR(10), ""), CHAR(13), ""), CHAR(32), "")</f>
        <v/>
      </c>
      <c r="C911">
        <f>INDEX(Реестр!$H:$H, ROW())</f>
        <v/>
      </c>
      <c r="D911">
        <f>IF(OR(ISBLANK(INDEX(Реестр!$B:$B, ROW())), INDEX(Реестр!$B:$B, ROW())=""), " ", IF(IFERROR(ISNUMBER(--A911),FALSE), IF(LEN(A911)=10, IF(MOD(MOD(H911,11),10)=--RIGHT(A911,1), "OK", "ОШИБКА"), IF(LEN(A911)=12, IF(AND(MOD(MOD(H911,11),10)=--MID(A911,11,1), MOD(MOD(I911,11),10)=--RIGHT(A911,1)), "OK", "ОШИБКА"), "ДЛИНА (10 или 12)")), "НЕ ЦИФРЫ"))</f>
        <v/>
      </c>
      <c r="E911">
        <f>MID(B911,1,1)*9+MID(B911,2,1)*8+MID(B911,3,1)*7+MID(B911,4,1)*6+MID(B911,5,1)*5+MID(B911,6,1)*4+MID(B911,7,1)*3+MID(B911,8,1)*2+MID(B911,9,1)</f>
        <v/>
      </c>
      <c r="F911">
        <f>IF(B911="", " ", IF(LEN(B911)&lt;&gt;11, "ДЛИНА", IF(NOT(ISNUMBER(--B911)), "НЕ ЦИФРЫ", IF(LEFT(B911,9)*1&lt;=1001998, "OK", IF(RIGHT(B911,2)*1=IF(MOD(E911,101)&gt;=100,0,MOD(E911,101)),"OK","ОШИБКА")))))</f>
        <v/>
      </c>
      <c r="G91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1">
        <f>IF(LEN(TRIM(A911))=10, --MID(A911,1,1)*2+--MID(A911,2,1)*4+--MID(A911,3,1)*10+--MID(A911,4,1)*3+--MID(A911,5,1)*5+--MID(A911,6,1)*9+--MID(A911,7,1)*4+--MID(A911,8,1)*6+--MID(A911,9,1)*8, IF(LEN(TRIM(A911))=12, --MID(A911,1,1)*7+--MID(A911,2,1)*2+--MID(A911,3,1)*4+--MID(A911,4,1)*10+--MID(A911,5,1)*3+--MID(A911,6,1)*5+--MID(A911,7,1)*9+--MID(A911,8,1)*4+--MID(A911,9,1)*6+--MID(A911,10,1)*8, ""))</f>
        <v/>
      </c>
      <c r="I911">
        <f>IF(LEN(TRIM(A911))=12, --MID(A911,1,1)*3+--MID(A911,2,1)*7+--MID(A911,3,1)*2+--MID(A911,4,1)*4+--MID(A911,5,1)*10+--MID(A911,6,1)*3+--MID(A911,7,1)*5+--MID(A911,8,1)*9+--MID(A911,9,1)*4+--MID(A911,10,1)*6+--MID(A911,11,1)*8, "")</f>
        <v/>
      </c>
    </row>
    <row r="912">
      <c r="A912">
        <f>SUBSTITUTE(SUBSTITUTE(SUBSTITUTE(SUBSTITUTE(TRIM(INDEX(Реестр!$B:$B,ROW())),CHAR(160),""),CHAR(9),""),CHAR(10),""),CHAR(13),"")</f>
        <v/>
      </c>
      <c r="B912">
        <f>SUBSTITUTE(SUBSTITUTE(SUBSTITUTE(SUBSTITUTE(SUBSTITUTE(SUBSTITUTE(SUBSTITUTE(TRIM(INDEX(Реестр!$D:$D, ROW())), "-", ""), " ", ""), CHAR(160), ""), CHAR(9), ""), CHAR(10), ""), CHAR(13), ""), CHAR(32), "")</f>
        <v/>
      </c>
      <c r="C912">
        <f>INDEX(Реестр!$H:$H, ROW())</f>
        <v/>
      </c>
      <c r="D912">
        <f>IF(OR(ISBLANK(INDEX(Реестр!$B:$B, ROW())), INDEX(Реестр!$B:$B, ROW())=""), " ", IF(IFERROR(ISNUMBER(--A912),FALSE), IF(LEN(A912)=10, IF(MOD(MOD(H912,11),10)=--RIGHT(A912,1), "OK", "ОШИБКА"), IF(LEN(A912)=12, IF(AND(MOD(MOD(H912,11),10)=--MID(A912,11,1), MOD(MOD(I912,11),10)=--RIGHT(A912,1)), "OK", "ОШИБКА"), "ДЛИНА (10 или 12)")), "НЕ ЦИФРЫ"))</f>
        <v/>
      </c>
      <c r="E912">
        <f>MID(B912,1,1)*9+MID(B912,2,1)*8+MID(B912,3,1)*7+MID(B912,4,1)*6+MID(B912,5,1)*5+MID(B912,6,1)*4+MID(B912,7,1)*3+MID(B912,8,1)*2+MID(B912,9,1)</f>
        <v/>
      </c>
      <c r="F912">
        <f>IF(B912="", " ", IF(LEN(B912)&lt;&gt;11, "ДЛИНА", IF(NOT(ISNUMBER(--B912)), "НЕ ЦИФРЫ", IF(LEFT(B912,9)*1&lt;=1001998, "OK", IF(RIGHT(B912,2)*1=IF(MOD(E912,101)&gt;=100,0,MOD(E912,101)),"OK","ОШИБКА")))))</f>
        <v/>
      </c>
      <c r="G91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2">
        <f>IF(LEN(TRIM(A912))=10, --MID(A912,1,1)*2+--MID(A912,2,1)*4+--MID(A912,3,1)*10+--MID(A912,4,1)*3+--MID(A912,5,1)*5+--MID(A912,6,1)*9+--MID(A912,7,1)*4+--MID(A912,8,1)*6+--MID(A912,9,1)*8, IF(LEN(TRIM(A912))=12, --MID(A912,1,1)*7+--MID(A912,2,1)*2+--MID(A912,3,1)*4+--MID(A912,4,1)*10+--MID(A912,5,1)*3+--MID(A912,6,1)*5+--MID(A912,7,1)*9+--MID(A912,8,1)*4+--MID(A912,9,1)*6+--MID(A912,10,1)*8, ""))</f>
        <v/>
      </c>
      <c r="I912">
        <f>IF(LEN(TRIM(A912))=12, --MID(A912,1,1)*3+--MID(A912,2,1)*7+--MID(A912,3,1)*2+--MID(A912,4,1)*4+--MID(A912,5,1)*10+--MID(A912,6,1)*3+--MID(A912,7,1)*5+--MID(A912,8,1)*9+--MID(A912,9,1)*4+--MID(A912,10,1)*6+--MID(A912,11,1)*8, "")</f>
        <v/>
      </c>
    </row>
    <row r="913">
      <c r="A913">
        <f>SUBSTITUTE(SUBSTITUTE(SUBSTITUTE(SUBSTITUTE(TRIM(INDEX(Реестр!$B:$B,ROW())),CHAR(160),""),CHAR(9),""),CHAR(10),""),CHAR(13),"")</f>
        <v/>
      </c>
      <c r="B913">
        <f>SUBSTITUTE(SUBSTITUTE(SUBSTITUTE(SUBSTITUTE(SUBSTITUTE(SUBSTITUTE(SUBSTITUTE(TRIM(INDEX(Реестр!$D:$D, ROW())), "-", ""), " ", ""), CHAR(160), ""), CHAR(9), ""), CHAR(10), ""), CHAR(13), ""), CHAR(32), "")</f>
        <v/>
      </c>
      <c r="C913">
        <f>INDEX(Реестр!$H:$H, ROW())</f>
        <v/>
      </c>
      <c r="D913">
        <f>IF(OR(ISBLANK(INDEX(Реестр!$B:$B, ROW())), INDEX(Реестр!$B:$B, ROW())=""), " ", IF(IFERROR(ISNUMBER(--A913),FALSE), IF(LEN(A913)=10, IF(MOD(MOD(H913,11),10)=--RIGHT(A913,1), "OK", "ОШИБКА"), IF(LEN(A913)=12, IF(AND(MOD(MOD(H913,11),10)=--MID(A913,11,1), MOD(MOD(I913,11),10)=--RIGHT(A913,1)), "OK", "ОШИБКА"), "ДЛИНА (10 или 12)")), "НЕ ЦИФРЫ"))</f>
        <v/>
      </c>
      <c r="E913">
        <f>MID(B913,1,1)*9+MID(B913,2,1)*8+MID(B913,3,1)*7+MID(B913,4,1)*6+MID(B913,5,1)*5+MID(B913,6,1)*4+MID(B913,7,1)*3+MID(B913,8,1)*2+MID(B913,9,1)</f>
        <v/>
      </c>
      <c r="F913">
        <f>IF(B913="", " ", IF(LEN(B913)&lt;&gt;11, "ДЛИНА", IF(NOT(ISNUMBER(--B913)), "НЕ ЦИФРЫ", IF(LEFT(B913,9)*1&lt;=1001998, "OK", IF(RIGHT(B913,2)*1=IF(MOD(E913,101)&gt;=100,0,MOD(E913,101)),"OK","ОШИБКА")))))</f>
        <v/>
      </c>
      <c r="G91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3">
        <f>IF(LEN(TRIM(A913))=10, --MID(A913,1,1)*2+--MID(A913,2,1)*4+--MID(A913,3,1)*10+--MID(A913,4,1)*3+--MID(A913,5,1)*5+--MID(A913,6,1)*9+--MID(A913,7,1)*4+--MID(A913,8,1)*6+--MID(A913,9,1)*8, IF(LEN(TRIM(A913))=12, --MID(A913,1,1)*7+--MID(A913,2,1)*2+--MID(A913,3,1)*4+--MID(A913,4,1)*10+--MID(A913,5,1)*3+--MID(A913,6,1)*5+--MID(A913,7,1)*9+--MID(A913,8,1)*4+--MID(A913,9,1)*6+--MID(A913,10,1)*8, ""))</f>
        <v/>
      </c>
      <c r="I913">
        <f>IF(LEN(TRIM(A913))=12, --MID(A913,1,1)*3+--MID(A913,2,1)*7+--MID(A913,3,1)*2+--MID(A913,4,1)*4+--MID(A913,5,1)*10+--MID(A913,6,1)*3+--MID(A913,7,1)*5+--MID(A913,8,1)*9+--MID(A913,9,1)*4+--MID(A913,10,1)*6+--MID(A913,11,1)*8, "")</f>
        <v/>
      </c>
    </row>
    <row r="914">
      <c r="A914">
        <f>SUBSTITUTE(SUBSTITUTE(SUBSTITUTE(SUBSTITUTE(TRIM(INDEX(Реестр!$B:$B,ROW())),CHAR(160),""),CHAR(9),""),CHAR(10),""),CHAR(13),"")</f>
        <v/>
      </c>
      <c r="B914">
        <f>SUBSTITUTE(SUBSTITUTE(SUBSTITUTE(SUBSTITUTE(SUBSTITUTE(SUBSTITUTE(SUBSTITUTE(TRIM(INDEX(Реестр!$D:$D, ROW())), "-", ""), " ", ""), CHAR(160), ""), CHAR(9), ""), CHAR(10), ""), CHAR(13), ""), CHAR(32), "")</f>
        <v/>
      </c>
      <c r="C914">
        <f>INDEX(Реестр!$H:$H, ROW())</f>
        <v/>
      </c>
      <c r="D914">
        <f>IF(OR(ISBLANK(INDEX(Реестр!$B:$B, ROW())), INDEX(Реестр!$B:$B, ROW())=""), " ", IF(IFERROR(ISNUMBER(--A914),FALSE), IF(LEN(A914)=10, IF(MOD(MOD(H914,11),10)=--RIGHT(A914,1), "OK", "ОШИБКА"), IF(LEN(A914)=12, IF(AND(MOD(MOD(H914,11),10)=--MID(A914,11,1), MOD(MOD(I914,11),10)=--RIGHT(A914,1)), "OK", "ОШИБКА"), "ДЛИНА (10 или 12)")), "НЕ ЦИФРЫ"))</f>
        <v/>
      </c>
      <c r="E914">
        <f>MID(B914,1,1)*9+MID(B914,2,1)*8+MID(B914,3,1)*7+MID(B914,4,1)*6+MID(B914,5,1)*5+MID(B914,6,1)*4+MID(B914,7,1)*3+MID(B914,8,1)*2+MID(B914,9,1)</f>
        <v/>
      </c>
      <c r="F914">
        <f>IF(B914="", " ", IF(LEN(B914)&lt;&gt;11, "ДЛИНА", IF(NOT(ISNUMBER(--B914)), "НЕ ЦИФРЫ", IF(LEFT(B914,9)*1&lt;=1001998, "OK", IF(RIGHT(B914,2)*1=IF(MOD(E914,101)&gt;=100,0,MOD(E914,101)),"OK","ОШИБКА")))))</f>
        <v/>
      </c>
      <c r="G91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4">
        <f>IF(LEN(TRIM(A914))=10, --MID(A914,1,1)*2+--MID(A914,2,1)*4+--MID(A914,3,1)*10+--MID(A914,4,1)*3+--MID(A914,5,1)*5+--MID(A914,6,1)*9+--MID(A914,7,1)*4+--MID(A914,8,1)*6+--MID(A914,9,1)*8, IF(LEN(TRIM(A914))=12, --MID(A914,1,1)*7+--MID(A914,2,1)*2+--MID(A914,3,1)*4+--MID(A914,4,1)*10+--MID(A914,5,1)*3+--MID(A914,6,1)*5+--MID(A914,7,1)*9+--MID(A914,8,1)*4+--MID(A914,9,1)*6+--MID(A914,10,1)*8, ""))</f>
        <v/>
      </c>
      <c r="I914">
        <f>IF(LEN(TRIM(A914))=12, --MID(A914,1,1)*3+--MID(A914,2,1)*7+--MID(A914,3,1)*2+--MID(A914,4,1)*4+--MID(A914,5,1)*10+--MID(A914,6,1)*3+--MID(A914,7,1)*5+--MID(A914,8,1)*9+--MID(A914,9,1)*4+--MID(A914,10,1)*6+--MID(A914,11,1)*8, "")</f>
        <v/>
      </c>
    </row>
    <row r="915">
      <c r="A915">
        <f>SUBSTITUTE(SUBSTITUTE(SUBSTITUTE(SUBSTITUTE(TRIM(INDEX(Реестр!$B:$B,ROW())),CHAR(160),""),CHAR(9),""),CHAR(10),""),CHAR(13),"")</f>
        <v/>
      </c>
      <c r="B915">
        <f>SUBSTITUTE(SUBSTITUTE(SUBSTITUTE(SUBSTITUTE(SUBSTITUTE(SUBSTITUTE(SUBSTITUTE(TRIM(INDEX(Реестр!$D:$D, ROW())), "-", ""), " ", ""), CHAR(160), ""), CHAR(9), ""), CHAR(10), ""), CHAR(13), ""), CHAR(32), "")</f>
        <v/>
      </c>
      <c r="C915">
        <f>INDEX(Реестр!$H:$H, ROW())</f>
        <v/>
      </c>
      <c r="D915">
        <f>IF(OR(ISBLANK(INDEX(Реестр!$B:$B, ROW())), INDEX(Реестр!$B:$B, ROW())=""), " ", IF(IFERROR(ISNUMBER(--A915),FALSE), IF(LEN(A915)=10, IF(MOD(MOD(H915,11),10)=--RIGHT(A915,1), "OK", "ОШИБКА"), IF(LEN(A915)=12, IF(AND(MOD(MOD(H915,11),10)=--MID(A915,11,1), MOD(MOD(I915,11),10)=--RIGHT(A915,1)), "OK", "ОШИБКА"), "ДЛИНА (10 или 12)")), "НЕ ЦИФРЫ"))</f>
        <v/>
      </c>
      <c r="E915">
        <f>MID(B915,1,1)*9+MID(B915,2,1)*8+MID(B915,3,1)*7+MID(B915,4,1)*6+MID(B915,5,1)*5+MID(B915,6,1)*4+MID(B915,7,1)*3+MID(B915,8,1)*2+MID(B915,9,1)</f>
        <v/>
      </c>
      <c r="F915">
        <f>IF(B915="", " ", IF(LEN(B915)&lt;&gt;11, "ДЛИНА", IF(NOT(ISNUMBER(--B915)), "НЕ ЦИФРЫ", IF(LEFT(B915,9)*1&lt;=1001998, "OK", IF(RIGHT(B915,2)*1=IF(MOD(E915,101)&gt;=100,0,MOD(E915,101)),"OK","ОШИБКА")))))</f>
        <v/>
      </c>
      <c r="G91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5">
        <f>IF(LEN(TRIM(A915))=10, --MID(A915,1,1)*2+--MID(A915,2,1)*4+--MID(A915,3,1)*10+--MID(A915,4,1)*3+--MID(A915,5,1)*5+--MID(A915,6,1)*9+--MID(A915,7,1)*4+--MID(A915,8,1)*6+--MID(A915,9,1)*8, IF(LEN(TRIM(A915))=12, --MID(A915,1,1)*7+--MID(A915,2,1)*2+--MID(A915,3,1)*4+--MID(A915,4,1)*10+--MID(A915,5,1)*3+--MID(A915,6,1)*5+--MID(A915,7,1)*9+--MID(A915,8,1)*4+--MID(A915,9,1)*6+--MID(A915,10,1)*8, ""))</f>
        <v/>
      </c>
      <c r="I915">
        <f>IF(LEN(TRIM(A915))=12, --MID(A915,1,1)*3+--MID(A915,2,1)*7+--MID(A915,3,1)*2+--MID(A915,4,1)*4+--MID(A915,5,1)*10+--MID(A915,6,1)*3+--MID(A915,7,1)*5+--MID(A915,8,1)*9+--MID(A915,9,1)*4+--MID(A915,10,1)*6+--MID(A915,11,1)*8, "")</f>
        <v/>
      </c>
    </row>
    <row r="916">
      <c r="A916">
        <f>SUBSTITUTE(SUBSTITUTE(SUBSTITUTE(SUBSTITUTE(TRIM(INDEX(Реестр!$B:$B,ROW())),CHAR(160),""),CHAR(9),""),CHAR(10),""),CHAR(13),"")</f>
        <v/>
      </c>
      <c r="B916">
        <f>SUBSTITUTE(SUBSTITUTE(SUBSTITUTE(SUBSTITUTE(SUBSTITUTE(SUBSTITUTE(SUBSTITUTE(TRIM(INDEX(Реестр!$D:$D, ROW())), "-", ""), " ", ""), CHAR(160), ""), CHAR(9), ""), CHAR(10), ""), CHAR(13), ""), CHAR(32), "")</f>
        <v/>
      </c>
      <c r="C916">
        <f>INDEX(Реестр!$H:$H, ROW())</f>
        <v/>
      </c>
      <c r="D916">
        <f>IF(OR(ISBLANK(INDEX(Реестр!$B:$B, ROW())), INDEX(Реестр!$B:$B, ROW())=""), " ", IF(IFERROR(ISNUMBER(--A916),FALSE), IF(LEN(A916)=10, IF(MOD(MOD(H916,11),10)=--RIGHT(A916,1), "OK", "ОШИБКА"), IF(LEN(A916)=12, IF(AND(MOD(MOD(H916,11),10)=--MID(A916,11,1), MOD(MOD(I916,11),10)=--RIGHT(A916,1)), "OK", "ОШИБКА"), "ДЛИНА (10 или 12)")), "НЕ ЦИФРЫ"))</f>
        <v/>
      </c>
      <c r="E916">
        <f>MID(B916,1,1)*9+MID(B916,2,1)*8+MID(B916,3,1)*7+MID(B916,4,1)*6+MID(B916,5,1)*5+MID(B916,6,1)*4+MID(B916,7,1)*3+MID(B916,8,1)*2+MID(B916,9,1)</f>
        <v/>
      </c>
      <c r="F916">
        <f>IF(B916="", " ", IF(LEN(B916)&lt;&gt;11, "ДЛИНА", IF(NOT(ISNUMBER(--B916)), "НЕ ЦИФРЫ", IF(LEFT(B916,9)*1&lt;=1001998, "OK", IF(RIGHT(B916,2)*1=IF(MOD(E916,101)&gt;=100,0,MOD(E916,101)),"OK","ОШИБКА")))))</f>
        <v/>
      </c>
      <c r="G91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6">
        <f>IF(LEN(TRIM(A916))=10, --MID(A916,1,1)*2+--MID(A916,2,1)*4+--MID(A916,3,1)*10+--MID(A916,4,1)*3+--MID(A916,5,1)*5+--MID(A916,6,1)*9+--MID(A916,7,1)*4+--MID(A916,8,1)*6+--MID(A916,9,1)*8, IF(LEN(TRIM(A916))=12, --MID(A916,1,1)*7+--MID(A916,2,1)*2+--MID(A916,3,1)*4+--MID(A916,4,1)*10+--MID(A916,5,1)*3+--MID(A916,6,1)*5+--MID(A916,7,1)*9+--MID(A916,8,1)*4+--MID(A916,9,1)*6+--MID(A916,10,1)*8, ""))</f>
        <v/>
      </c>
      <c r="I916">
        <f>IF(LEN(TRIM(A916))=12, --MID(A916,1,1)*3+--MID(A916,2,1)*7+--MID(A916,3,1)*2+--MID(A916,4,1)*4+--MID(A916,5,1)*10+--MID(A916,6,1)*3+--MID(A916,7,1)*5+--MID(A916,8,1)*9+--MID(A916,9,1)*4+--MID(A916,10,1)*6+--MID(A916,11,1)*8, "")</f>
        <v/>
      </c>
    </row>
    <row r="917">
      <c r="A917">
        <f>SUBSTITUTE(SUBSTITUTE(SUBSTITUTE(SUBSTITUTE(TRIM(INDEX(Реестр!$B:$B,ROW())),CHAR(160),""),CHAR(9),""),CHAR(10),""),CHAR(13),"")</f>
        <v/>
      </c>
      <c r="B917">
        <f>SUBSTITUTE(SUBSTITUTE(SUBSTITUTE(SUBSTITUTE(SUBSTITUTE(SUBSTITUTE(SUBSTITUTE(TRIM(INDEX(Реестр!$D:$D, ROW())), "-", ""), " ", ""), CHAR(160), ""), CHAR(9), ""), CHAR(10), ""), CHAR(13), ""), CHAR(32), "")</f>
        <v/>
      </c>
      <c r="C917">
        <f>INDEX(Реестр!$H:$H, ROW())</f>
        <v/>
      </c>
      <c r="D917">
        <f>IF(OR(ISBLANK(INDEX(Реестр!$B:$B, ROW())), INDEX(Реестр!$B:$B, ROW())=""), " ", IF(IFERROR(ISNUMBER(--A917),FALSE), IF(LEN(A917)=10, IF(MOD(MOD(H917,11),10)=--RIGHT(A917,1), "OK", "ОШИБКА"), IF(LEN(A917)=12, IF(AND(MOD(MOD(H917,11),10)=--MID(A917,11,1), MOD(MOD(I917,11),10)=--RIGHT(A917,1)), "OK", "ОШИБКА"), "ДЛИНА (10 или 12)")), "НЕ ЦИФРЫ"))</f>
        <v/>
      </c>
      <c r="E917">
        <f>MID(B917,1,1)*9+MID(B917,2,1)*8+MID(B917,3,1)*7+MID(B917,4,1)*6+MID(B917,5,1)*5+MID(B917,6,1)*4+MID(B917,7,1)*3+MID(B917,8,1)*2+MID(B917,9,1)</f>
        <v/>
      </c>
      <c r="F917">
        <f>IF(B917="", " ", IF(LEN(B917)&lt;&gt;11, "ДЛИНА", IF(NOT(ISNUMBER(--B917)), "НЕ ЦИФРЫ", IF(LEFT(B917,9)*1&lt;=1001998, "OK", IF(RIGHT(B917,2)*1=IF(MOD(E917,101)&gt;=100,0,MOD(E917,101)),"OK","ОШИБКА")))))</f>
        <v/>
      </c>
      <c r="G91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7">
        <f>IF(LEN(TRIM(A917))=10, --MID(A917,1,1)*2+--MID(A917,2,1)*4+--MID(A917,3,1)*10+--MID(A917,4,1)*3+--MID(A917,5,1)*5+--MID(A917,6,1)*9+--MID(A917,7,1)*4+--MID(A917,8,1)*6+--MID(A917,9,1)*8, IF(LEN(TRIM(A917))=12, --MID(A917,1,1)*7+--MID(A917,2,1)*2+--MID(A917,3,1)*4+--MID(A917,4,1)*10+--MID(A917,5,1)*3+--MID(A917,6,1)*5+--MID(A917,7,1)*9+--MID(A917,8,1)*4+--MID(A917,9,1)*6+--MID(A917,10,1)*8, ""))</f>
        <v/>
      </c>
      <c r="I917">
        <f>IF(LEN(TRIM(A917))=12, --MID(A917,1,1)*3+--MID(A917,2,1)*7+--MID(A917,3,1)*2+--MID(A917,4,1)*4+--MID(A917,5,1)*10+--MID(A917,6,1)*3+--MID(A917,7,1)*5+--MID(A917,8,1)*9+--MID(A917,9,1)*4+--MID(A917,10,1)*6+--MID(A917,11,1)*8, "")</f>
        <v/>
      </c>
    </row>
    <row r="918">
      <c r="A918">
        <f>SUBSTITUTE(SUBSTITUTE(SUBSTITUTE(SUBSTITUTE(TRIM(INDEX(Реестр!$B:$B,ROW())),CHAR(160),""),CHAR(9),""),CHAR(10),""),CHAR(13),"")</f>
        <v/>
      </c>
      <c r="B918">
        <f>SUBSTITUTE(SUBSTITUTE(SUBSTITUTE(SUBSTITUTE(SUBSTITUTE(SUBSTITUTE(SUBSTITUTE(TRIM(INDEX(Реестр!$D:$D, ROW())), "-", ""), " ", ""), CHAR(160), ""), CHAR(9), ""), CHAR(10), ""), CHAR(13), ""), CHAR(32), "")</f>
        <v/>
      </c>
      <c r="C918">
        <f>INDEX(Реестр!$H:$H, ROW())</f>
        <v/>
      </c>
      <c r="D918">
        <f>IF(OR(ISBLANK(INDEX(Реестр!$B:$B, ROW())), INDEX(Реестр!$B:$B, ROW())=""), " ", IF(IFERROR(ISNUMBER(--A918),FALSE), IF(LEN(A918)=10, IF(MOD(MOD(H918,11),10)=--RIGHT(A918,1), "OK", "ОШИБКА"), IF(LEN(A918)=12, IF(AND(MOD(MOD(H918,11),10)=--MID(A918,11,1), MOD(MOD(I918,11),10)=--RIGHT(A918,1)), "OK", "ОШИБКА"), "ДЛИНА (10 или 12)")), "НЕ ЦИФРЫ"))</f>
        <v/>
      </c>
      <c r="E918">
        <f>MID(B918,1,1)*9+MID(B918,2,1)*8+MID(B918,3,1)*7+MID(B918,4,1)*6+MID(B918,5,1)*5+MID(B918,6,1)*4+MID(B918,7,1)*3+MID(B918,8,1)*2+MID(B918,9,1)</f>
        <v/>
      </c>
      <c r="F918">
        <f>IF(B918="", " ", IF(LEN(B918)&lt;&gt;11, "ДЛИНА", IF(NOT(ISNUMBER(--B918)), "НЕ ЦИФРЫ", IF(LEFT(B918,9)*1&lt;=1001998, "OK", IF(RIGHT(B918,2)*1=IF(MOD(E918,101)&gt;=100,0,MOD(E918,101)),"OK","ОШИБКА")))))</f>
        <v/>
      </c>
      <c r="G91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8">
        <f>IF(LEN(TRIM(A918))=10, --MID(A918,1,1)*2+--MID(A918,2,1)*4+--MID(A918,3,1)*10+--MID(A918,4,1)*3+--MID(A918,5,1)*5+--MID(A918,6,1)*9+--MID(A918,7,1)*4+--MID(A918,8,1)*6+--MID(A918,9,1)*8, IF(LEN(TRIM(A918))=12, --MID(A918,1,1)*7+--MID(A918,2,1)*2+--MID(A918,3,1)*4+--MID(A918,4,1)*10+--MID(A918,5,1)*3+--MID(A918,6,1)*5+--MID(A918,7,1)*9+--MID(A918,8,1)*4+--MID(A918,9,1)*6+--MID(A918,10,1)*8, ""))</f>
        <v/>
      </c>
      <c r="I918">
        <f>IF(LEN(TRIM(A918))=12, --MID(A918,1,1)*3+--MID(A918,2,1)*7+--MID(A918,3,1)*2+--MID(A918,4,1)*4+--MID(A918,5,1)*10+--MID(A918,6,1)*3+--MID(A918,7,1)*5+--MID(A918,8,1)*9+--MID(A918,9,1)*4+--MID(A918,10,1)*6+--MID(A918,11,1)*8, "")</f>
        <v/>
      </c>
    </row>
    <row r="919">
      <c r="A919">
        <f>SUBSTITUTE(SUBSTITUTE(SUBSTITUTE(SUBSTITUTE(TRIM(INDEX(Реестр!$B:$B,ROW())),CHAR(160),""),CHAR(9),""),CHAR(10),""),CHAR(13),"")</f>
        <v/>
      </c>
      <c r="B919">
        <f>SUBSTITUTE(SUBSTITUTE(SUBSTITUTE(SUBSTITUTE(SUBSTITUTE(SUBSTITUTE(SUBSTITUTE(TRIM(INDEX(Реестр!$D:$D, ROW())), "-", ""), " ", ""), CHAR(160), ""), CHAR(9), ""), CHAR(10), ""), CHAR(13), ""), CHAR(32), "")</f>
        <v/>
      </c>
      <c r="C919">
        <f>INDEX(Реестр!$H:$H, ROW())</f>
        <v/>
      </c>
      <c r="D919">
        <f>IF(OR(ISBLANK(INDEX(Реестр!$B:$B, ROW())), INDEX(Реестр!$B:$B, ROW())=""), " ", IF(IFERROR(ISNUMBER(--A919),FALSE), IF(LEN(A919)=10, IF(MOD(MOD(H919,11),10)=--RIGHT(A919,1), "OK", "ОШИБКА"), IF(LEN(A919)=12, IF(AND(MOD(MOD(H919,11),10)=--MID(A919,11,1), MOD(MOD(I919,11),10)=--RIGHT(A919,1)), "OK", "ОШИБКА"), "ДЛИНА (10 или 12)")), "НЕ ЦИФРЫ"))</f>
        <v/>
      </c>
      <c r="E919">
        <f>MID(B919,1,1)*9+MID(B919,2,1)*8+MID(B919,3,1)*7+MID(B919,4,1)*6+MID(B919,5,1)*5+MID(B919,6,1)*4+MID(B919,7,1)*3+MID(B919,8,1)*2+MID(B919,9,1)</f>
        <v/>
      </c>
      <c r="F919">
        <f>IF(B919="", " ", IF(LEN(B919)&lt;&gt;11, "ДЛИНА", IF(NOT(ISNUMBER(--B919)), "НЕ ЦИФРЫ", IF(LEFT(B919,9)*1&lt;=1001998, "OK", IF(RIGHT(B919,2)*1=IF(MOD(E919,101)&gt;=100,0,MOD(E919,101)),"OK","ОШИБКА")))))</f>
        <v/>
      </c>
      <c r="G91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19">
        <f>IF(LEN(TRIM(A919))=10, --MID(A919,1,1)*2+--MID(A919,2,1)*4+--MID(A919,3,1)*10+--MID(A919,4,1)*3+--MID(A919,5,1)*5+--MID(A919,6,1)*9+--MID(A919,7,1)*4+--MID(A919,8,1)*6+--MID(A919,9,1)*8, IF(LEN(TRIM(A919))=12, --MID(A919,1,1)*7+--MID(A919,2,1)*2+--MID(A919,3,1)*4+--MID(A919,4,1)*10+--MID(A919,5,1)*3+--MID(A919,6,1)*5+--MID(A919,7,1)*9+--MID(A919,8,1)*4+--MID(A919,9,1)*6+--MID(A919,10,1)*8, ""))</f>
        <v/>
      </c>
      <c r="I919">
        <f>IF(LEN(TRIM(A919))=12, --MID(A919,1,1)*3+--MID(A919,2,1)*7+--MID(A919,3,1)*2+--MID(A919,4,1)*4+--MID(A919,5,1)*10+--MID(A919,6,1)*3+--MID(A919,7,1)*5+--MID(A919,8,1)*9+--MID(A919,9,1)*4+--MID(A919,10,1)*6+--MID(A919,11,1)*8, "")</f>
        <v/>
      </c>
    </row>
    <row r="920">
      <c r="A920">
        <f>SUBSTITUTE(SUBSTITUTE(SUBSTITUTE(SUBSTITUTE(TRIM(INDEX(Реестр!$B:$B,ROW())),CHAR(160),""),CHAR(9),""),CHAR(10),""),CHAR(13),"")</f>
        <v/>
      </c>
      <c r="B920">
        <f>SUBSTITUTE(SUBSTITUTE(SUBSTITUTE(SUBSTITUTE(SUBSTITUTE(SUBSTITUTE(SUBSTITUTE(TRIM(INDEX(Реестр!$D:$D, ROW())), "-", ""), " ", ""), CHAR(160), ""), CHAR(9), ""), CHAR(10), ""), CHAR(13), ""), CHAR(32), "")</f>
        <v/>
      </c>
      <c r="C920">
        <f>INDEX(Реестр!$H:$H, ROW())</f>
        <v/>
      </c>
      <c r="D920">
        <f>IF(OR(ISBLANK(INDEX(Реестр!$B:$B, ROW())), INDEX(Реестр!$B:$B, ROW())=""), " ", IF(IFERROR(ISNUMBER(--A920),FALSE), IF(LEN(A920)=10, IF(MOD(MOD(H920,11),10)=--RIGHT(A920,1), "OK", "ОШИБКА"), IF(LEN(A920)=12, IF(AND(MOD(MOD(H920,11),10)=--MID(A920,11,1), MOD(MOD(I920,11),10)=--RIGHT(A920,1)), "OK", "ОШИБКА"), "ДЛИНА (10 или 12)")), "НЕ ЦИФРЫ"))</f>
        <v/>
      </c>
      <c r="E920">
        <f>MID(B920,1,1)*9+MID(B920,2,1)*8+MID(B920,3,1)*7+MID(B920,4,1)*6+MID(B920,5,1)*5+MID(B920,6,1)*4+MID(B920,7,1)*3+MID(B920,8,1)*2+MID(B920,9,1)</f>
        <v/>
      </c>
      <c r="F920">
        <f>IF(B920="", " ", IF(LEN(B920)&lt;&gt;11, "ДЛИНА", IF(NOT(ISNUMBER(--B920)), "НЕ ЦИФРЫ", IF(LEFT(B920,9)*1&lt;=1001998, "OK", IF(RIGHT(B920,2)*1=IF(MOD(E920,101)&gt;=100,0,MOD(E920,101)),"OK","ОШИБКА")))))</f>
        <v/>
      </c>
      <c r="G92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0">
        <f>IF(LEN(TRIM(A920))=10, --MID(A920,1,1)*2+--MID(A920,2,1)*4+--MID(A920,3,1)*10+--MID(A920,4,1)*3+--MID(A920,5,1)*5+--MID(A920,6,1)*9+--MID(A920,7,1)*4+--MID(A920,8,1)*6+--MID(A920,9,1)*8, IF(LEN(TRIM(A920))=12, --MID(A920,1,1)*7+--MID(A920,2,1)*2+--MID(A920,3,1)*4+--MID(A920,4,1)*10+--MID(A920,5,1)*3+--MID(A920,6,1)*5+--MID(A920,7,1)*9+--MID(A920,8,1)*4+--MID(A920,9,1)*6+--MID(A920,10,1)*8, ""))</f>
        <v/>
      </c>
      <c r="I920">
        <f>IF(LEN(TRIM(A920))=12, --MID(A920,1,1)*3+--MID(A920,2,1)*7+--MID(A920,3,1)*2+--MID(A920,4,1)*4+--MID(A920,5,1)*10+--MID(A920,6,1)*3+--MID(A920,7,1)*5+--MID(A920,8,1)*9+--MID(A920,9,1)*4+--MID(A920,10,1)*6+--MID(A920,11,1)*8, "")</f>
        <v/>
      </c>
    </row>
    <row r="921">
      <c r="A921">
        <f>SUBSTITUTE(SUBSTITUTE(SUBSTITUTE(SUBSTITUTE(TRIM(INDEX(Реестр!$B:$B,ROW())),CHAR(160),""),CHAR(9),""),CHAR(10),""),CHAR(13),"")</f>
        <v/>
      </c>
      <c r="B921">
        <f>SUBSTITUTE(SUBSTITUTE(SUBSTITUTE(SUBSTITUTE(SUBSTITUTE(SUBSTITUTE(SUBSTITUTE(TRIM(INDEX(Реестр!$D:$D, ROW())), "-", ""), " ", ""), CHAR(160), ""), CHAR(9), ""), CHAR(10), ""), CHAR(13), ""), CHAR(32), "")</f>
        <v/>
      </c>
      <c r="C921">
        <f>INDEX(Реестр!$H:$H, ROW())</f>
        <v/>
      </c>
      <c r="D921">
        <f>IF(OR(ISBLANK(INDEX(Реестр!$B:$B, ROW())), INDEX(Реестр!$B:$B, ROW())=""), " ", IF(IFERROR(ISNUMBER(--A921),FALSE), IF(LEN(A921)=10, IF(MOD(MOD(H921,11),10)=--RIGHT(A921,1), "OK", "ОШИБКА"), IF(LEN(A921)=12, IF(AND(MOD(MOD(H921,11),10)=--MID(A921,11,1), MOD(MOD(I921,11),10)=--RIGHT(A921,1)), "OK", "ОШИБКА"), "ДЛИНА (10 или 12)")), "НЕ ЦИФРЫ"))</f>
        <v/>
      </c>
      <c r="E921">
        <f>MID(B921,1,1)*9+MID(B921,2,1)*8+MID(B921,3,1)*7+MID(B921,4,1)*6+MID(B921,5,1)*5+MID(B921,6,1)*4+MID(B921,7,1)*3+MID(B921,8,1)*2+MID(B921,9,1)</f>
        <v/>
      </c>
      <c r="F921">
        <f>IF(B921="", " ", IF(LEN(B921)&lt;&gt;11, "ДЛИНА", IF(NOT(ISNUMBER(--B921)), "НЕ ЦИФРЫ", IF(LEFT(B921,9)*1&lt;=1001998, "OK", IF(RIGHT(B921,2)*1=IF(MOD(E921,101)&gt;=100,0,MOD(E921,101)),"OK","ОШИБКА")))))</f>
        <v/>
      </c>
      <c r="G92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1">
        <f>IF(LEN(TRIM(A921))=10, --MID(A921,1,1)*2+--MID(A921,2,1)*4+--MID(A921,3,1)*10+--MID(A921,4,1)*3+--MID(A921,5,1)*5+--MID(A921,6,1)*9+--MID(A921,7,1)*4+--MID(A921,8,1)*6+--MID(A921,9,1)*8, IF(LEN(TRIM(A921))=12, --MID(A921,1,1)*7+--MID(A921,2,1)*2+--MID(A921,3,1)*4+--MID(A921,4,1)*10+--MID(A921,5,1)*3+--MID(A921,6,1)*5+--MID(A921,7,1)*9+--MID(A921,8,1)*4+--MID(A921,9,1)*6+--MID(A921,10,1)*8, ""))</f>
        <v/>
      </c>
      <c r="I921">
        <f>IF(LEN(TRIM(A921))=12, --MID(A921,1,1)*3+--MID(A921,2,1)*7+--MID(A921,3,1)*2+--MID(A921,4,1)*4+--MID(A921,5,1)*10+--MID(A921,6,1)*3+--MID(A921,7,1)*5+--MID(A921,8,1)*9+--MID(A921,9,1)*4+--MID(A921,10,1)*6+--MID(A921,11,1)*8, "")</f>
        <v/>
      </c>
    </row>
    <row r="922">
      <c r="A922">
        <f>SUBSTITUTE(SUBSTITUTE(SUBSTITUTE(SUBSTITUTE(TRIM(INDEX(Реестр!$B:$B,ROW())),CHAR(160),""),CHAR(9),""),CHAR(10),""),CHAR(13),"")</f>
        <v/>
      </c>
      <c r="B922">
        <f>SUBSTITUTE(SUBSTITUTE(SUBSTITUTE(SUBSTITUTE(SUBSTITUTE(SUBSTITUTE(SUBSTITUTE(TRIM(INDEX(Реестр!$D:$D, ROW())), "-", ""), " ", ""), CHAR(160), ""), CHAR(9), ""), CHAR(10), ""), CHAR(13), ""), CHAR(32), "")</f>
        <v/>
      </c>
      <c r="C922">
        <f>INDEX(Реестр!$H:$H, ROW())</f>
        <v/>
      </c>
      <c r="D922">
        <f>IF(OR(ISBLANK(INDEX(Реестр!$B:$B, ROW())), INDEX(Реестр!$B:$B, ROW())=""), " ", IF(IFERROR(ISNUMBER(--A922),FALSE), IF(LEN(A922)=10, IF(MOD(MOD(H922,11),10)=--RIGHT(A922,1), "OK", "ОШИБКА"), IF(LEN(A922)=12, IF(AND(MOD(MOD(H922,11),10)=--MID(A922,11,1), MOD(MOD(I922,11),10)=--RIGHT(A922,1)), "OK", "ОШИБКА"), "ДЛИНА (10 или 12)")), "НЕ ЦИФРЫ"))</f>
        <v/>
      </c>
      <c r="E922">
        <f>MID(B922,1,1)*9+MID(B922,2,1)*8+MID(B922,3,1)*7+MID(B922,4,1)*6+MID(B922,5,1)*5+MID(B922,6,1)*4+MID(B922,7,1)*3+MID(B922,8,1)*2+MID(B922,9,1)</f>
        <v/>
      </c>
      <c r="F922">
        <f>IF(B922="", " ", IF(LEN(B922)&lt;&gt;11, "ДЛИНА", IF(NOT(ISNUMBER(--B922)), "НЕ ЦИФРЫ", IF(LEFT(B922,9)*1&lt;=1001998, "OK", IF(RIGHT(B922,2)*1=IF(MOD(E922,101)&gt;=100,0,MOD(E922,101)),"OK","ОШИБКА")))))</f>
        <v/>
      </c>
      <c r="G92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2">
        <f>IF(LEN(TRIM(A922))=10, --MID(A922,1,1)*2+--MID(A922,2,1)*4+--MID(A922,3,1)*10+--MID(A922,4,1)*3+--MID(A922,5,1)*5+--MID(A922,6,1)*9+--MID(A922,7,1)*4+--MID(A922,8,1)*6+--MID(A922,9,1)*8, IF(LEN(TRIM(A922))=12, --MID(A922,1,1)*7+--MID(A922,2,1)*2+--MID(A922,3,1)*4+--MID(A922,4,1)*10+--MID(A922,5,1)*3+--MID(A922,6,1)*5+--MID(A922,7,1)*9+--MID(A922,8,1)*4+--MID(A922,9,1)*6+--MID(A922,10,1)*8, ""))</f>
        <v/>
      </c>
      <c r="I922">
        <f>IF(LEN(TRIM(A922))=12, --MID(A922,1,1)*3+--MID(A922,2,1)*7+--MID(A922,3,1)*2+--MID(A922,4,1)*4+--MID(A922,5,1)*10+--MID(A922,6,1)*3+--MID(A922,7,1)*5+--MID(A922,8,1)*9+--MID(A922,9,1)*4+--MID(A922,10,1)*6+--MID(A922,11,1)*8, "")</f>
        <v/>
      </c>
    </row>
    <row r="923">
      <c r="A923">
        <f>SUBSTITUTE(SUBSTITUTE(SUBSTITUTE(SUBSTITUTE(TRIM(INDEX(Реестр!$B:$B,ROW())),CHAR(160),""),CHAR(9),""),CHAR(10),""),CHAR(13),"")</f>
        <v/>
      </c>
      <c r="B923">
        <f>SUBSTITUTE(SUBSTITUTE(SUBSTITUTE(SUBSTITUTE(SUBSTITUTE(SUBSTITUTE(SUBSTITUTE(TRIM(INDEX(Реестр!$D:$D, ROW())), "-", ""), " ", ""), CHAR(160), ""), CHAR(9), ""), CHAR(10), ""), CHAR(13), ""), CHAR(32), "")</f>
        <v/>
      </c>
      <c r="C923">
        <f>INDEX(Реестр!$H:$H, ROW())</f>
        <v/>
      </c>
      <c r="D923">
        <f>IF(OR(ISBLANK(INDEX(Реестр!$B:$B, ROW())), INDEX(Реестр!$B:$B, ROW())=""), " ", IF(IFERROR(ISNUMBER(--A923),FALSE), IF(LEN(A923)=10, IF(MOD(MOD(H923,11),10)=--RIGHT(A923,1), "OK", "ОШИБКА"), IF(LEN(A923)=12, IF(AND(MOD(MOD(H923,11),10)=--MID(A923,11,1), MOD(MOD(I923,11),10)=--RIGHT(A923,1)), "OK", "ОШИБКА"), "ДЛИНА (10 или 12)")), "НЕ ЦИФРЫ"))</f>
        <v/>
      </c>
      <c r="E923">
        <f>MID(B923,1,1)*9+MID(B923,2,1)*8+MID(B923,3,1)*7+MID(B923,4,1)*6+MID(B923,5,1)*5+MID(B923,6,1)*4+MID(B923,7,1)*3+MID(B923,8,1)*2+MID(B923,9,1)</f>
        <v/>
      </c>
      <c r="F923">
        <f>IF(B923="", " ", IF(LEN(B923)&lt;&gt;11, "ДЛИНА", IF(NOT(ISNUMBER(--B923)), "НЕ ЦИФРЫ", IF(LEFT(B923,9)*1&lt;=1001998, "OK", IF(RIGHT(B923,2)*1=IF(MOD(E923,101)&gt;=100,0,MOD(E923,101)),"OK","ОШИБКА")))))</f>
        <v/>
      </c>
      <c r="G92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3">
        <f>IF(LEN(TRIM(A923))=10, --MID(A923,1,1)*2+--MID(A923,2,1)*4+--MID(A923,3,1)*10+--MID(A923,4,1)*3+--MID(A923,5,1)*5+--MID(A923,6,1)*9+--MID(A923,7,1)*4+--MID(A923,8,1)*6+--MID(A923,9,1)*8, IF(LEN(TRIM(A923))=12, --MID(A923,1,1)*7+--MID(A923,2,1)*2+--MID(A923,3,1)*4+--MID(A923,4,1)*10+--MID(A923,5,1)*3+--MID(A923,6,1)*5+--MID(A923,7,1)*9+--MID(A923,8,1)*4+--MID(A923,9,1)*6+--MID(A923,10,1)*8, ""))</f>
        <v/>
      </c>
      <c r="I923">
        <f>IF(LEN(TRIM(A923))=12, --MID(A923,1,1)*3+--MID(A923,2,1)*7+--MID(A923,3,1)*2+--MID(A923,4,1)*4+--MID(A923,5,1)*10+--MID(A923,6,1)*3+--MID(A923,7,1)*5+--MID(A923,8,1)*9+--MID(A923,9,1)*4+--MID(A923,10,1)*6+--MID(A923,11,1)*8, "")</f>
        <v/>
      </c>
    </row>
    <row r="924">
      <c r="A924">
        <f>SUBSTITUTE(SUBSTITUTE(SUBSTITUTE(SUBSTITUTE(TRIM(INDEX(Реестр!$B:$B,ROW())),CHAR(160),""),CHAR(9),""),CHAR(10),""),CHAR(13),"")</f>
        <v/>
      </c>
      <c r="B924">
        <f>SUBSTITUTE(SUBSTITUTE(SUBSTITUTE(SUBSTITUTE(SUBSTITUTE(SUBSTITUTE(SUBSTITUTE(TRIM(INDEX(Реестр!$D:$D, ROW())), "-", ""), " ", ""), CHAR(160), ""), CHAR(9), ""), CHAR(10), ""), CHAR(13), ""), CHAR(32), "")</f>
        <v/>
      </c>
      <c r="C924">
        <f>INDEX(Реестр!$H:$H, ROW())</f>
        <v/>
      </c>
      <c r="D924">
        <f>IF(OR(ISBLANK(INDEX(Реестр!$B:$B, ROW())), INDEX(Реестр!$B:$B, ROW())=""), " ", IF(IFERROR(ISNUMBER(--A924),FALSE), IF(LEN(A924)=10, IF(MOD(MOD(H924,11),10)=--RIGHT(A924,1), "OK", "ОШИБКА"), IF(LEN(A924)=12, IF(AND(MOD(MOD(H924,11),10)=--MID(A924,11,1), MOD(MOD(I924,11),10)=--RIGHT(A924,1)), "OK", "ОШИБКА"), "ДЛИНА (10 или 12)")), "НЕ ЦИФРЫ"))</f>
        <v/>
      </c>
      <c r="E924">
        <f>MID(B924,1,1)*9+MID(B924,2,1)*8+MID(B924,3,1)*7+MID(B924,4,1)*6+MID(B924,5,1)*5+MID(B924,6,1)*4+MID(B924,7,1)*3+MID(B924,8,1)*2+MID(B924,9,1)</f>
        <v/>
      </c>
      <c r="F924">
        <f>IF(B924="", " ", IF(LEN(B924)&lt;&gt;11, "ДЛИНА", IF(NOT(ISNUMBER(--B924)), "НЕ ЦИФРЫ", IF(LEFT(B924,9)*1&lt;=1001998, "OK", IF(RIGHT(B924,2)*1=IF(MOD(E924,101)&gt;=100,0,MOD(E924,101)),"OK","ОШИБКА")))))</f>
        <v/>
      </c>
      <c r="G92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4">
        <f>IF(LEN(TRIM(A924))=10, --MID(A924,1,1)*2+--MID(A924,2,1)*4+--MID(A924,3,1)*10+--MID(A924,4,1)*3+--MID(A924,5,1)*5+--MID(A924,6,1)*9+--MID(A924,7,1)*4+--MID(A924,8,1)*6+--MID(A924,9,1)*8, IF(LEN(TRIM(A924))=12, --MID(A924,1,1)*7+--MID(A924,2,1)*2+--MID(A924,3,1)*4+--MID(A924,4,1)*10+--MID(A924,5,1)*3+--MID(A924,6,1)*5+--MID(A924,7,1)*9+--MID(A924,8,1)*4+--MID(A924,9,1)*6+--MID(A924,10,1)*8, ""))</f>
        <v/>
      </c>
      <c r="I924">
        <f>IF(LEN(TRIM(A924))=12, --MID(A924,1,1)*3+--MID(A924,2,1)*7+--MID(A924,3,1)*2+--MID(A924,4,1)*4+--MID(A924,5,1)*10+--MID(A924,6,1)*3+--MID(A924,7,1)*5+--MID(A924,8,1)*9+--MID(A924,9,1)*4+--MID(A924,10,1)*6+--MID(A924,11,1)*8, "")</f>
        <v/>
      </c>
    </row>
    <row r="925">
      <c r="A925">
        <f>SUBSTITUTE(SUBSTITUTE(SUBSTITUTE(SUBSTITUTE(TRIM(INDEX(Реестр!$B:$B,ROW())),CHAR(160),""),CHAR(9),""),CHAR(10),""),CHAR(13),"")</f>
        <v/>
      </c>
      <c r="B925">
        <f>SUBSTITUTE(SUBSTITUTE(SUBSTITUTE(SUBSTITUTE(SUBSTITUTE(SUBSTITUTE(SUBSTITUTE(TRIM(INDEX(Реестр!$D:$D, ROW())), "-", ""), " ", ""), CHAR(160), ""), CHAR(9), ""), CHAR(10), ""), CHAR(13), ""), CHAR(32), "")</f>
        <v/>
      </c>
      <c r="C925">
        <f>INDEX(Реестр!$H:$H, ROW())</f>
        <v/>
      </c>
      <c r="D925">
        <f>IF(OR(ISBLANK(INDEX(Реестр!$B:$B, ROW())), INDEX(Реестр!$B:$B, ROW())=""), " ", IF(IFERROR(ISNUMBER(--A925),FALSE), IF(LEN(A925)=10, IF(MOD(MOD(H925,11),10)=--RIGHT(A925,1), "OK", "ОШИБКА"), IF(LEN(A925)=12, IF(AND(MOD(MOD(H925,11),10)=--MID(A925,11,1), MOD(MOD(I925,11),10)=--RIGHT(A925,1)), "OK", "ОШИБКА"), "ДЛИНА (10 или 12)")), "НЕ ЦИФРЫ"))</f>
        <v/>
      </c>
      <c r="E925">
        <f>MID(B925,1,1)*9+MID(B925,2,1)*8+MID(B925,3,1)*7+MID(B925,4,1)*6+MID(B925,5,1)*5+MID(B925,6,1)*4+MID(B925,7,1)*3+MID(B925,8,1)*2+MID(B925,9,1)</f>
        <v/>
      </c>
      <c r="F925">
        <f>IF(B925="", " ", IF(LEN(B925)&lt;&gt;11, "ДЛИНА", IF(NOT(ISNUMBER(--B925)), "НЕ ЦИФРЫ", IF(LEFT(B925,9)*1&lt;=1001998, "OK", IF(RIGHT(B925,2)*1=IF(MOD(E925,101)&gt;=100,0,MOD(E925,101)),"OK","ОШИБКА")))))</f>
        <v/>
      </c>
      <c r="G92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5">
        <f>IF(LEN(TRIM(A925))=10, --MID(A925,1,1)*2+--MID(A925,2,1)*4+--MID(A925,3,1)*10+--MID(A925,4,1)*3+--MID(A925,5,1)*5+--MID(A925,6,1)*9+--MID(A925,7,1)*4+--MID(A925,8,1)*6+--MID(A925,9,1)*8, IF(LEN(TRIM(A925))=12, --MID(A925,1,1)*7+--MID(A925,2,1)*2+--MID(A925,3,1)*4+--MID(A925,4,1)*10+--MID(A925,5,1)*3+--MID(A925,6,1)*5+--MID(A925,7,1)*9+--MID(A925,8,1)*4+--MID(A925,9,1)*6+--MID(A925,10,1)*8, ""))</f>
        <v/>
      </c>
      <c r="I925">
        <f>IF(LEN(TRIM(A925))=12, --MID(A925,1,1)*3+--MID(A925,2,1)*7+--MID(A925,3,1)*2+--MID(A925,4,1)*4+--MID(A925,5,1)*10+--MID(A925,6,1)*3+--MID(A925,7,1)*5+--MID(A925,8,1)*9+--MID(A925,9,1)*4+--MID(A925,10,1)*6+--MID(A925,11,1)*8, "")</f>
        <v/>
      </c>
    </row>
    <row r="926">
      <c r="A926">
        <f>SUBSTITUTE(SUBSTITUTE(SUBSTITUTE(SUBSTITUTE(TRIM(INDEX(Реестр!$B:$B,ROW())),CHAR(160),""),CHAR(9),""),CHAR(10),""),CHAR(13),"")</f>
        <v/>
      </c>
      <c r="B926">
        <f>SUBSTITUTE(SUBSTITUTE(SUBSTITUTE(SUBSTITUTE(SUBSTITUTE(SUBSTITUTE(SUBSTITUTE(TRIM(INDEX(Реестр!$D:$D, ROW())), "-", ""), " ", ""), CHAR(160), ""), CHAR(9), ""), CHAR(10), ""), CHAR(13), ""), CHAR(32), "")</f>
        <v/>
      </c>
      <c r="C926">
        <f>INDEX(Реестр!$H:$H, ROW())</f>
        <v/>
      </c>
      <c r="D926">
        <f>IF(OR(ISBLANK(INDEX(Реестр!$B:$B, ROW())), INDEX(Реестр!$B:$B, ROW())=""), " ", IF(IFERROR(ISNUMBER(--A926),FALSE), IF(LEN(A926)=10, IF(MOD(MOD(H926,11),10)=--RIGHT(A926,1), "OK", "ОШИБКА"), IF(LEN(A926)=12, IF(AND(MOD(MOD(H926,11),10)=--MID(A926,11,1), MOD(MOD(I926,11),10)=--RIGHT(A926,1)), "OK", "ОШИБКА"), "ДЛИНА (10 или 12)")), "НЕ ЦИФРЫ"))</f>
        <v/>
      </c>
      <c r="E926">
        <f>MID(B926,1,1)*9+MID(B926,2,1)*8+MID(B926,3,1)*7+MID(B926,4,1)*6+MID(B926,5,1)*5+MID(B926,6,1)*4+MID(B926,7,1)*3+MID(B926,8,1)*2+MID(B926,9,1)</f>
        <v/>
      </c>
      <c r="F926">
        <f>IF(B926="", " ", IF(LEN(B926)&lt;&gt;11, "ДЛИНА", IF(NOT(ISNUMBER(--B926)), "НЕ ЦИФРЫ", IF(LEFT(B926,9)*1&lt;=1001998, "OK", IF(RIGHT(B926,2)*1=IF(MOD(E926,101)&gt;=100,0,MOD(E926,101)),"OK","ОШИБКА")))))</f>
        <v/>
      </c>
      <c r="G92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6">
        <f>IF(LEN(TRIM(A926))=10, --MID(A926,1,1)*2+--MID(A926,2,1)*4+--MID(A926,3,1)*10+--MID(A926,4,1)*3+--MID(A926,5,1)*5+--MID(A926,6,1)*9+--MID(A926,7,1)*4+--MID(A926,8,1)*6+--MID(A926,9,1)*8, IF(LEN(TRIM(A926))=12, --MID(A926,1,1)*7+--MID(A926,2,1)*2+--MID(A926,3,1)*4+--MID(A926,4,1)*10+--MID(A926,5,1)*3+--MID(A926,6,1)*5+--MID(A926,7,1)*9+--MID(A926,8,1)*4+--MID(A926,9,1)*6+--MID(A926,10,1)*8, ""))</f>
        <v/>
      </c>
      <c r="I926">
        <f>IF(LEN(TRIM(A926))=12, --MID(A926,1,1)*3+--MID(A926,2,1)*7+--MID(A926,3,1)*2+--MID(A926,4,1)*4+--MID(A926,5,1)*10+--MID(A926,6,1)*3+--MID(A926,7,1)*5+--MID(A926,8,1)*9+--MID(A926,9,1)*4+--MID(A926,10,1)*6+--MID(A926,11,1)*8, "")</f>
        <v/>
      </c>
    </row>
    <row r="927">
      <c r="A927">
        <f>SUBSTITUTE(SUBSTITUTE(SUBSTITUTE(SUBSTITUTE(TRIM(INDEX(Реестр!$B:$B,ROW())),CHAR(160),""),CHAR(9),""),CHAR(10),""),CHAR(13),"")</f>
        <v/>
      </c>
      <c r="B927">
        <f>SUBSTITUTE(SUBSTITUTE(SUBSTITUTE(SUBSTITUTE(SUBSTITUTE(SUBSTITUTE(SUBSTITUTE(TRIM(INDEX(Реестр!$D:$D, ROW())), "-", ""), " ", ""), CHAR(160), ""), CHAR(9), ""), CHAR(10), ""), CHAR(13), ""), CHAR(32), "")</f>
        <v/>
      </c>
      <c r="C927">
        <f>INDEX(Реестр!$H:$H, ROW())</f>
        <v/>
      </c>
      <c r="D927">
        <f>IF(OR(ISBLANK(INDEX(Реестр!$B:$B, ROW())), INDEX(Реестр!$B:$B, ROW())=""), " ", IF(IFERROR(ISNUMBER(--A927),FALSE), IF(LEN(A927)=10, IF(MOD(MOD(H927,11),10)=--RIGHT(A927,1), "OK", "ОШИБКА"), IF(LEN(A927)=12, IF(AND(MOD(MOD(H927,11),10)=--MID(A927,11,1), MOD(MOD(I927,11),10)=--RIGHT(A927,1)), "OK", "ОШИБКА"), "ДЛИНА (10 или 12)")), "НЕ ЦИФРЫ"))</f>
        <v/>
      </c>
      <c r="E927">
        <f>MID(B927,1,1)*9+MID(B927,2,1)*8+MID(B927,3,1)*7+MID(B927,4,1)*6+MID(B927,5,1)*5+MID(B927,6,1)*4+MID(B927,7,1)*3+MID(B927,8,1)*2+MID(B927,9,1)</f>
        <v/>
      </c>
      <c r="F927">
        <f>IF(B927="", " ", IF(LEN(B927)&lt;&gt;11, "ДЛИНА", IF(NOT(ISNUMBER(--B927)), "НЕ ЦИФРЫ", IF(LEFT(B927,9)*1&lt;=1001998, "OK", IF(RIGHT(B927,2)*1=IF(MOD(E927,101)&gt;=100,0,MOD(E927,101)),"OK","ОШИБКА")))))</f>
        <v/>
      </c>
      <c r="G92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7">
        <f>IF(LEN(TRIM(A927))=10, --MID(A927,1,1)*2+--MID(A927,2,1)*4+--MID(A927,3,1)*10+--MID(A927,4,1)*3+--MID(A927,5,1)*5+--MID(A927,6,1)*9+--MID(A927,7,1)*4+--MID(A927,8,1)*6+--MID(A927,9,1)*8, IF(LEN(TRIM(A927))=12, --MID(A927,1,1)*7+--MID(A927,2,1)*2+--MID(A927,3,1)*4+--MID(A927,4,1)*10+--MID(A927,5,1)*3+--MID(A927,6,1)*5+--MID(A927,7,1)*9+--MID(A927,8,1)*4+--MID(A927,9,1)*6+--MID(A927,10,1)*8, ""))</f>
        <v/>
      </c>
      <c r="I927">
        <f>IF(LEN(TRIM(A927))=12, --MID(A927,1,1)*3+--MID(A927,2,1)*7+--MID(A927,3,1)*2+--MID(A927,4,1)*4+--MID(A927,5,1)*10+--MID(A927,6,1)*3+--MID(A927,7,1)*5+--MID(A927,8,1)*9+--MID(A927,9,1)*4+--MID(A927,10,1)*6+--MID(A927,11,1)*8, "")</f>
        <v/>
      </c>
    </row>
    <row r="928">
      <c r="A928">
        <f>SUBSTITUTE(SUBSTITUTE(SUBSTITUTE(SUBSTITUTE(TRIM(INDEX(Реестр!$B:$B,ROW())),CHAR(160),""),CHAR(9),""),CHAR(10),""),CHAR(13),"")</f>
        <v/>
      </c>
      <c r="B928">
        <f>SUBSTITUTE(SUBSTITUTE(SUBSTITUTE(SUBSTITUTE(SUBSTITUTE(SUBSTITUTE(SUBSTITUTE(TRIM(INDEX(Реестр!$D:$D, ROW())), "-", ""), " ", ""), CHAR(160), ""), CHAR(9), ""), CHAR(10), ""), CHAR(13), ""), CHAR(32), "")</f>
        <v/>
      </c>
      <c r="C928">
        <f>INDEX(Реестр!$H:$H, ROW())</f>
        <v/>
      </c>
      <c r="D928">
        <f>IF(OR(ISBLANK(INDEX(Реестр!$B:$B, ROW())), INDEX(Реестр!$B:$B, ROW())=""), " ", IF(IFERROR(ISNUMBER(--A928),FALSE), IF(LEN(A928)=10, IF(MOD(MOD(H928,11),10)=--RIGHT(A928,1), "OK", "ОШИБКА"), IF(LEN(A928)=12, IF(AND(MOD(MOD(H928,11),10)=--MID(A928,11,1), MOD(MOD(I928,11),10)=--RIGHT(A928,1)), "OK", "ОШИБКА"), "ДЛИНА (10 или 12)")), "НЕ ЦИФРЫ"))</f>
        <v/>
      </c>
      <c r="E928">
        <f>MID(B928,1,1)*9+MID(B928,2,1)*8+MID(B928,3,1)*7+MID(B928,4,1)*6+MID(B928,5,1)*5+MID(B928,6,1)*4+MID(B928,7,1)*3+MID(B928,8,1)*2+MID(B928,9,1)</f>
        <v/>
      </c>
      <c r="F928">
        <f>IF(B928="", " ", IF(LEN(B928)&lt;&gt;11, "ДЛИНА", IF(NOT(ISNUMBER(--B928)), "НЕ ЦИФРЫ", IF(LEFT(B928,9)*1&lt;=1001998, "OK", IF(RIGHT(B928,2)*1=IF(MOD(E928,101)&gt;=100,0,MOD(E928,101)),"OK","ОШИБКА")))))</f>
        <v/>
      </c>
      <c r="G92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8">
        <f>IF(LEN(TRIM(A928))=10, --MID(A928,1,1)*2+--MID(A928,2,1)*4+--MID(A928,3,1)*10+--MID(A928,4,1)*3+--MID(A928,5,1)*5+--MID(A928,6,1)*9+--MID(A928,7,1)*4+--MID(A928,8,1)*6+--MID(A928,9,1)*8, IF(LEN(TRIM(A928))=12, --MID(A928,1,1)*7+--MID(A928,2,1)*2+--MID(A928,3,1)*4+--MID(A928,4,1)*10+--MID(A928,5,1)*3+--MID(A928,6,1)*5+--MID(A928,7,1)*9+--MID(A928,8,1)*4+--MID(A928,9,1)*6+--MID(A928,10,1)*8, ""))</f>
        <v/>
      </c>
      <c r="I928">
        <f>IF(LEN(TRIM(A928))=12, --MID(A928,1,1)*3+--MID(A928,2,1)*7+--MID(A928,3,1)*2+--MID(A928,4,1)*4+--MID(A928,5,1)*10+--MID(A928,6,1)*3+--MID(A928,7,1)*5+--MID(A928,8,1)*9+--MID(A928,9,1)*4+--MID(A928,10,1)*6+--MID(A928,11,1)*8, "")</f>
        <v/>
      </c>
    </row>
    <row r="929">
      <c r="A929">
        <f>SUBSTITUTE(SUBSTITUTE(SUBSTITUTE(SUBSTITUTE(TRIM(INDEX(Реестр!$B:$B,ROW())),CHAR(160),""),CHAR(9),""),CHAR(10),""),CHAR(13),"")</f>
        <v/>
      </c>
      <c r="B929">
        <f>SUBSTITUTE(SUBSTITUTE(SUBSTITUTE(SUBSTITUTE(SUBSTITUTE(SUBSTITUTE(SUBSTITUTE(TRIM(INDEX(Реестр!$D:$D, ROW())), "-", ""), " ", ""), CHAR(160), ""), CHAR(9), ""), CHAR(10), ""), CHAR(13), ""), CHAR(32), "")</f>
        <v/>
      </c>
      <c r="C929">
        <f>INDEX(Реестр!$H:$H, ROW())</f>
        <v/>
      </c>
      <c r="D929">
        <f>IF(OR(ISBLANK(INDEX(Реестр!$B:$B, ROW())), INDEX(Реестр!$B:$B, ROW())=""), " ", IF(IFERROR(ISNUMBER(--A929),FALSE), IF(LEN(A929)=10, IF(MOD(MOD(H929,11),10)=--RIGHT(A929,1), "OK", "ОШИБКА"), IF(LEN(A929)=12, IF(AND(MOD(MOD(H929,11),10)=--MID(A929,11,1), MOD(MOD(I929,11),10)=--RIGHT(A929,1)), "OK", "ОШИБКА"), "ДЛИНА (10 или 12)")), "НЕ ЦИФРЫ"))</f>
        <v/>
      </c>
      <c r="E929">
        <f>MID(B929,1,1)*9+MID(B929,2,1)*8+MID(B929,3,1)*7+MID(B929,4,1)*6+MID(B929,5,1)*5+MID(B929,6,1)*4+MID(B929,7,1)*3+MID(B929,8,1)*2+MID(B929,9,1)</f>
        <v/>
      </c>
      <c r="F929">
        <f>IF(B929="", " ", IF(LEN(B929)&lt;&gt;11, "ДЛИНА", IF(NOT(ISNUMBER(--B929)), "НЕ ЦИФРЫ", IF(LEFT(B929,9)*1&lt;=1001998, "OK", IF(RIGHT(B929,2)*1=IF(MOD(E929,101)&gt;=100,0,MOD(E929,101)),"OK","ОШИБКА")))))</f>
        <v/>
      </c>
      <c r="G92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29">
        <f>IF(LEN(TRIM(A929))=10, --MID(A929,1,1)*2+--MID(A929,2,1)*4+--MID(A929,3,1)*10+--MID(A929,4,1)*3+--MID(A929,5,1)*5+--MID(A929,6,1)*9+--MID(A929,7,1)*4+--MID(A929,8,1)*6+--MID(A929,9,1)*8, IF(LEN(TRIM(A929))=12, --MID(A929,1,1)*7+--MID(A929,2,1)*2+--MID(A929,3,1)*4+--MID(A929,4,1)*10+--MID(A929,5,1)*3+--MID(A929,6,1)*5+--MID(A929,7,1)*9+--MID(A929,8,1)*4+--MID(A929,9,1)*6+--MID(A929,10,1)*8, ""))</f>
        <v/>
      </c>
      <c r="I929">
        <f>IF(LEN(TRIM(A929))=12, --MID(A929,1,1)*3+--MID(A929,2,1)*7+--MID(A929,3,1)*2+--MID(A929,4,1)*4+--MID(A929,5,1)*10+--MID(A929,6,1)*3+--MID(A929,7,1)*5+--MID(A929,8,1)*9+--MID(A929,9,1)*4+--MID(A929,10,1)*6+--MID(A929,11,1)*8, "")</f>
        <v/>
      </c>
    </row>
    <row r="930">
      <c r="A930">
        <f>SUBSTITUTE(SUBSTITUTE(SUBSTITUTE(SUBSTITUTE(TRIM(INDEX(Реестр!$B:$B,ROW())),CHAR(160),""),CHAR(9),""),CHAR(10),""),CHAR(13),"")</f>
        <v/>
      </c>
      <c r="B930">
        <f>SUBSTITUTE(SUBSTITUTE(SUBSTITUTE(SUBSTITUTE(SUBSTITUTE(SUBSTITUTE(SUBSTITUTE(TRIM(INDEX(Реестр!$D:$D, ROW())), "-", ""), " ", ""), CHAR(160), ""), CHAR(9), ""), CHAR(10), ""), CHAR(13), ""), CHAR(32), "")</f>
        <v/>
      </c>
      <c r="C930">
        <f>INDEX(Реестр!$H:$H, ROW())</f>
        <v/>
      </c>
      <c r="D930">
        <f>IF(OR(ISBLANK(INDEX(Реестр!$B:$B, ROW())), INDEX(Реестр!$B:$B, ROW())=""), " ", IF(IFERROR(ISNUMBER(--A930),FALSE), IF(LEN(A930)=10, IF(MOD(MOD(H930,11),10)=--RIGHT(A930,1), "OK", "ОШИБКА"), IF(LEN(A930)=12, IF(AND(MOD(MOD(H930,11),10)=--MID(A930,11,1), MOD(MOD(I930,11),10)=--RIGHT(A930,1)), "OK", "ОШИБКА"), "ДЛИНА (10 или 12)")), "НЕ ЦИФРЫ"))</f>
        <v/>
      </c>
      <c r="E930">
        <f>MID(B930,1,1)*9+MID(B930,2,1)*8+MID(B930,3,1)*7+MID(B930,4,1)*6+MID(B930,5,1)*5+MID(B930,6,1)*4+MID(B930,7,1)*3+MID(B930,8,1)*2+MID(B930,9,1)</f>
        <v/>
      </c>
      <c r="F930">
        <f>IF(B930="", " ", IF(LEN(B930)&lt;&gt;11, "ДЛИНА", IF(NOT(ISNUMBER(--B930)), "НЕ ЦИФРЫ", IF(LEFT(B930,9)*1&lt;=1001998, "OK", IF(RIGHT(B930,2)*1=IF(MOD(E930,101)&gt;=100,0,MOD(E930,101)),"OK","ОШИБКА")))))</f>
        <v/>
      </c>
      <c r="G93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0">
        <f>IF(LEN(TRIM(A930))=10, --MID(A930,1,1)*2+--MID(A930,2,1)*4+--MID(A930,3,1)*10+--MID(A930,4,1)*3+--MID(A930,5,1)*5+--MID(A930,6,1)*9+--MID(A930,7,1)*4+--MID(A930,8,1)*6+--MID(A930,9,1)*8, IF(LEN(TRIM(A930))=12, --MID(A930,1,1)*7+--MID(A930,2,1)*2+--MID(A930,3,1)*4+--MID(A930,4,1)*10+--MID(A930,5,1)*3+--MID(A930,6,1)*5+--MID(A930,7,1)*9+--MID(A930,8,1)*4+--MID(A930,9,1)*6+--MID(A930,10,1)*8, ""))</f>
        <v/>
      </c>
      <c r="I930">
        <f>IF(LEN(TRIM(A930))=12, --MID(A930,1,1)*3+--MID(A930,2,1)*7+--MID(A930,3,1)*2+--MID(A930,4,1)*4+--MID(A930,5,1)*10+--MID(A930,6,1)*3+--MID(A930,7,1)*5+--MID(A930,8,1)*9+--MID(A930,9,1)*4+--MID(A930,10,1)*6+--MID(A930,11,1)*8, "")</f>
        <v/>
      </c>
    </row>
    <row r="931">
      <c r="A931">
        <f>SUBSTITUTE(SUBSTITUTE(SUBSTITUTE(SUBSTITUTE(TRIM(INDEX(Реестр!$B:$B,ROW())),CHAR(160),""),CHAR(9),""),CHAR(10),""),CHAR(13),"")</f>
        <v/>
      </c>
      <c r="B931">
        <f>SUBSTITUTE(SUBSTITUTE(SUBSTITUTE(SUBSTITUTE(SUBSTITUTE(SUBSTITUTE(SUBSTITUTE(TRIM(INDEX(Реестр!$D:$D, ROW())), "-", ""), " ", ""), CHAR(160), ""), CHAR(9), ""), CHAR(10), ""), CHAR(13), ""), CHAR(32), "")</f>
        <v/>
      </c>
      <c r="C931">
        <f>INDEX(Реестр!$H:$H, ROW())</f>
        <v/>
      </c>
      <c r="D931">
        <f>IF(OR(ISBLANK(INDEX(Реестр!$B:$B, ROW())), INDEX(Реестр!$B:$B, ROW())=""), " ", IF(IFERROR(ISNUMBER(--A931),FALSE), IF(LEN(A931)=10, IF(MOD(MOD(H931,11),10)=--RIGHT(A931,1), "OK", "ОШИБКА"), IF(LEN(A931)=12, IF(AND(MOD(MOD(H931,11),10)=--MID(A931,11,1), MOD(MOD(I931,11),10)=--RIGHT(A931,1)), "OK", "ОШИБКА"), "ДЛИНА (10 или 12)")), "НЕ ЦИФРЫ"))</f>
        <v/>
      </c>
      <c r="E931">
        <f>MID(B931,1,1)*9+MID(B931,2,1)*8+MID(B931,3,1)*7+MID(B931,4,1)*6+MID(B931,5,1)*5+MID(B931,6,1)*4+MID(B931,7,1)*3+MID(B931,8,1)*2+MID(B931,9,1)</f>
        <v/>
      </c>
      <c r="F931">
        <f>IF(B931="", " ", IF(LEN(B931)&lt;&gt;11, "ДЛИНА", IF(NOT(ISNUMBER(--B931)), "НЕ ЦИФРЫ", IF(LEFT(B931,9)*1&lt;=1001998, "OK", IF(RIGHT(B931,2)*1=IF(MOD(E931,101)&gt;=100,0,MOD(E931,101)),"OK","ОШИБКА")))))</f>
        <v/>
      </c>
      <c r="G93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1">
        <f>IF(LEN(TRIM(A931))=10, --MID(A931,1,1)*2+--MID(A931,2,1)*4+--MID(A931,3,1)*10+--MID(A931,4,1)*3+--MID(A931,5,1)*5+--MID(A931,6,1)*9+--MID(A931,7,1)*4+--MID(A931,8,1)*6+--MID(A931,9,1)*8, IF(LEN(TRIM(A931))=12, --MID(A931,1,1)*7+--MID(A931,2,1)*2+--MID(A931,3,1)*4+--MID(A931,4,1)*10+--MID(A931,5,1)*3+--MID(A931,6,1)*5+--MID(A931,7,1)*9+--MID(A931,8,1)*4+--MID(A931,9,1)*6+--MID(A931,10,1)*8, ""))</f>
        <v/>
      </c>
      <c r="I931">
        <f>IF(LEN(TRIM(A931))=12, --MID(A931,1,1)*3+--MID(A931,2,1)*7+--MID(A931,3,1)*2+--MID(A931,4,1)*4+--MID(A931,5,1)*10+--MID(A931,6,1)*3+--MID(A931,7,1)*5+--MID(A931,8,1)*9+--MID(A931,9,1)*4+--MID(A931,10,1)*6+--MID(A931,11,1)*8, "")</f>
        <v/>
      </c>
    </row>
    <row r="932">
      <c r="A932">
        <f>SUBSTITUTE(SUBSTITUTE(SUBSTITUTE(SUBSTITUTE(TRIM(INDEX(Реестр!$B:$B,ROW())),CHAR(160),""),CHAR(9),""),CHAR(10),""),CHAR(13),"")</f>
        <v/>
      </c>
      <c r="B932">
        <f>SUBSTITUTE(SUBSTITUTE(SUBSTITUTE(SUBSTITUTE(SUBSTITUTE(SUBSTITUTE(SUBSTITUTE(TRIM(INDEX(Реестр!$D:$D, ROW())), "-", ""), " ", ""), CHAR(160), ""), CHAR(9), ""), CHAR(10), ""), CHAR(13), ""), CHAR(32), "")</f>
        <v/>
      </c>
      <c r="C932">
        <f>INDEX(Реестр!$H:$H, ROW())</f>
        <v/>
      </c>
      <c r="D932">
        <f>IF(OR(ISBLANK(INDEX(Реестр!$B:$B, ROW())), INDEX(Реестр!$B:$B, ROW())=""), " ", IF(IFERROR(ISNUMBER(--A932),FALSE), IF(LEN(A932)=10, IF(MOD(MOD(H932,11),10)=--RIGHT(A932,1), "OK", "ОШИБКА"), IF(LEN(A932)=12, IF(AND(MOD(MOD(H932,11),10)=--MID(A932,11,1), MOD(MOD(I932,11),10)=--RIGHT(A932,1)), "OK", "ОШИБКА"), "ДЛИНА (10 или 12)")), "НЕ ЦИФРЫ"))</f>
        <v/>
      </c>
      <c r="E932">
        <f>MID(B932,1,1)*9+MID(B932,2,1)*8+MID(B932,3,1)*7+MID(B932,4,1)*6+MID(B932,5,1)*5+MID(B932,6,1)*4+MID(B932,7,1)*3+MID(B932,8,1)*2+MID(B932,9,1)</f>
        <v/>
      </c>
      <c r="F932">
        <f>IF(B932="", " ", IF(LEN(B932)&lt;&gt;11, "ДЛИНА", IF(NOT(ISNUMBER(--B932)), "НЕ ЦИФРЫ", IF(LEFT(B932,9)*1&lt;=1001998, "OK", IF(RIGHT(B932,2)*1=IF(MOD(E932,101)&gt;=100,0,MOD(E932,101)),"OK","ОШИБКА")))))</f>
        <v/>
      </c>
      <c r="G93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2">
        <f>IF(LEN(TRIM(A932))=10, --MID(A932,1,1)*2+--MID(A932,2,1)*4+--MID(A932,3,1)*10+--MID(A932,4,1)*3+--MID(A932,5,1)*5+--MID(A932,6,1)*9+--MID(A932,7,1)*4+--MID(A932,8,1)*6+--MID(A932,9,1)*8, IF(LEN(TRIM(A932))=12, --MID(A932,1,1)*7+--MID(A932,2,1)*2+--MID(A932,3,1)*4+--MID(A932,4,1)*10+--MID(A932,5,1)*3+--MID(A932,6,1)*5+--MID(A932,7,1)*9+--MID(A932,8,1)*4+--MID(A932,9,1)*6+--MID(A932,10,1)*8, ""))</f>
        <v/>
      </c>
      <c r="I932">
        <f>IF(LEN(TRIM(A932))=12, --MID(A932,1,1)*3+--MID(A932,2,1)*7+--MID(A932,3,1)*2+--MID(A932,4,1)*4+--MID(A932,5,1)*10+--MID(A932,6,1)*3+--MID(A932,7,1)*5+--MID(A932,8,1)*9+--MID(A932,9,1)*4+--MID(A932,10,1)*6+--MID(A932,11,1)*8, "")</f>
        <v/>
      </c>
    </row>
    <row r="933">
      <c r="A933">
        <f>SUBSTITUTE(SUBSTITUTE(SUBSTITUTE(SUBSTITUTE(TRIM(INDEX(Реестр!$B:$B,ROW())),CHAR(160),""),CHAR(9),""),CHAR(10),""),CHAR(13),"")</f>
        <v/>
      </c>
      <c r="B933">
        <f>SUBSTITUTE(SUBSTITUTE(SUBSTITUTE(SUBSTITUTE(SUBSTITUTE(SUBSTITUTE(SUBSTITUTE(TRIM(INDEX(Реестр!$D:$D, ROW())), "-", ""), " ", ""), CHAR(160), ""), CHAR(9), ""), CHAR(10), ""), CHAR(13), ""), CHAR(32), "")</f>
        <v/>
      </c>
      <c r="C933">
        <f>INDEX(Реестр!$H:$H, ROW())</f>
        <v/>
      </c>
      <c r="D933">
        <f>IF(OR(ISBLANK(INDEX(Реестр!$B:$B, ROW())), INDEX(Реестр!$B:$B, ROW())=""), " ", IF(IFERROR(ISNUMBER(--A933),FALSE), IF(LEN(A933)=10, IF(MOD(MOD(H933,11),10)=--RIGHT(A933,1), "OK", "ОШИБКА"), IF(LEN(A933)=12, IF(AND(MOD(MOD(H933,11),10)=--MID(A933,11,1), MOD(MOD(I933,11),10)=--RIGHT(A933,1)), "OK", "ОШИБКА"), "ДЛИНА (10 или 12)")), "НЕ ЦИФРЫ"))</f>
        <v/>
      </c>
      <c r="E933">
        <f>MID(B933,1,1)*9+MID(B933,2,1)*8+MID(B933,3,1)*7+MID(B933,4,1)*6+MID(B933,5,1)*5+MID(B933,6,1)*4+MID(B933,7,1)*3+MID(B933,8,1)*2+MID(B933,9,1)</f>
        <v/>
      </c>
      <c r="F933">
        <f>IF(B933="", " ", IF(LEN(B933)&lt;&gt;11, "ДЛИНА", IF(NOT(ISNUMBER(--B933)), "НЕ ЦИФРЫ", IF(LEFT(B933,9)*1&lt;=1001998, "OK", IF(RIGHT(B933,2)*1=IF(MOD(E933,101)&gt;=100,0,MOD(E933,101)),"OK","ОШИБКА")))))</f>
        <v/>
      </c>
      <c r="G93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3">
        <f>IF(LEN(TRIM(A933))=10, --MID(A933,1,1)*2+--MID(A933,2,1)*4+--MID(A933,3,1)*10+--MID(A933,4,1)*3+--MID(A933,5,1)*5+--MID(A933,6,1)*9+--MID(A933,7,1)*4+--MID(A933,8,1)*6+--MID(A933,9,1)*8, IF(LEN(TRIM(A933))=12, --MID(A933,1,1)*7+--MID(A933,2,1)*2+--MID(A933,3,1)*4+--MID(A933,4,1)*10+--MID(A933,5,1)*3+--MID(A933,6,1)*5+--MID(A933,7,1)*9+--MID(A933,8,1)*4+--MID(A933,9,1)*6+--MID(A933,10,1)*8, ""))</f>
        <v/>
      </c>
      <c r="I933">
        <f>IF(LEN(TRIM(A933))=12, --MID(A933,1,1)*3+--MID(A933,2,1)*7+--MID(A933,3,1)*2+--MID(A933,4,1)*4+--MID(A933,5,1)*10+--MID(A933,6,1)*3+--MID(A933,7,1)*5+--MID(A933,8,1)*9+--MID(A933,9,1)*4+--MID(A933,10,1)*6+--MID(A933,11,1)*8, "")</f>
        <v/>
      </c>
    </row>
    <row r="934">
      <c r="A934">
        <f>SUBSTITUTE(SUBSTITUTE(SUBSTITUTE(SUBSTITUTE(TRIM(INDEX(Реестр!$B:$B,ROW())),CHAR(160),""),CHAR(9),""),CHAR(10),""),CHAR(13),"")</f>
        <v/>
      </c>
      <c r="B934">
        <f>SUBSTITUTE(SUBSTITUTE(SUBSTITUTE(SUBSTITUTE(SUBSTITUTE(SUBSTITUTE(SUBSTITUTE(TRIM(INDEX(Реестр!$D:$D, ROW())), "-", ""), " ", ""), CHAR(160), ""), CHAR(9), ""), CHAR(10), ""), CHAR(13), ""), CHAR(32), "")</f>
        <v/>
      </c>
      <c r="C934">
        <f>INDEX(Реестр!$H:$H, ROW())</f>
        <v/>
      </c>
      <c r="D934">
        <f>IF(OR(ISBLANK(INDEX(Реестр!$B:$B, ROW())), INDEX(Реестр!$B:$B, ROW())=""), " ", IF(IFERROR(ISNUMBER(--A934),FALSE), IF(LEN(A934)=10, IF(MOD(MOD(H934,11),10)=--RIGHT(A934,1), "OK", "ОШИБКА"), IF(LEN(A934)=12, IF(AND(MOD(MOD(H934,11),10)=--MID(A934,11,1), MOD(MOD(I934,11),10)=--RIGHT(A934,1)), "OK", "ОШИБКА"), "ДЛИНА (10 или 12)")), "НЕ ЦИФРЫ"))</f>
        <v/>
      </c>
      <c r="E934">
        <f>MID(B934,1,1)*9+MID(B934,2,1)*8+MID(B934,3,1)*7+MID(B934,4,1)*6+MID(B934,5,1)*5+MID(B934,6,1)*4+MID(B934,7,1)*3+MID(B934,8,1)*2+MID(B934,9,1)</f>
        <v/>
      </c>
      <c r="F934">
        <f>IF(B934="", " ", IF(LEN(B934)&lt;&gt;11, "ДЛИНА", IF(NOT(ISNUMBER(--B934)), "НЕ ЦИФРЫ", IF(LEFT(B934,9)*1&lt;=1001998, "OK", IF(RIGHT(B934,2)*1=IF(MOD(E934,101)&gt;=100,0,MOD(E934,101)),"OK","ОШИБКА")))))</f>
        <v/>
      </c>
      <c r="G93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4">
        <f>IF(LEN(TRIM(A934))=10, --MID(A934,1,1)*2+--MID(A934,2,1)*4+--MID(A934,3,1)*10+--MID(A934,4,1)*3+--MID(A934,5,1)*5+--MID(A934,6,1)*9+--MID(A934,7,1)*4+--MID(A934,8,1)*6+--MID(A934,9,1)*8, IF(LEN(TRIM(A934))=12, --MID(A934,1,1)*7+--MID(A934,2,1)*2+--MID(A934,3,1)*4+--MID(A934,4,1)*10+--MID(A934,5,1)*3+--MID(A934,6,1)*5+--MID(A934,7,1)*9+--MID(A934,8,1)*4+--MID(A934,9,1)*6+--MID(A934,10,1)*8, ""))</f>
        <v/>
      </c>
      <c r="I934">
        <f>IF(LEN(TRIM(A934))=12, --MID(A934,1,1)*3+--MID(A934,2,1)*7+--MID(A934,3,1)*2+--MID(A934,4,1)*4+--MID(A934,5,1)*10+--MID(A934,6,1)*3+--MID(A934,7,1)*5+--MID(A934,8,1)*9+--MID(A934,9,1)*4+--MID(A934,10,1)*6+--MID(A934,11,1)*8, "")</f>
        <v/>
      </c>
    </row>
    <row r="935">
      <c r="A935">
        <f>SUBSTITUTE(SUBSTITUTE(SUBSTITUTE(SUBSTITUTE(TRIM(INDEX(Реестр!$B:$B,ROW())),CHAR(160),""),CHAR(9),""),CHAR(10),""),CHAR(13),"")</f>
        <v/>
      </c>
      <c r="B935">
        <f>SUBSTITUTE(SUBSTITUTE(SUBSTITUTE(SUBSTITUTE(SUBSTITUTE(SUBSTITUTE(SUBSTITUTE(TRIM(INDEX(Реестр!$D:$D, ROW())), "-", ""), " ", ""), CHAR(160), ""), CHAR(9), ""), CHAR(10), ""), CHAR(13), ""), CHAR(32), "")</f>
        <v/>
      </c>
      <c r="C935">
        <f>INDEX(Реестр!$H:$H, ROW())</f>
        <v/>
      </c>
      <c r="D935">
        <f>IF(OR(ISBLANK(INDEX(Реестр!$B:$B, ROW())), INDEX(Реестр!$B:$B, ROW())=""), " ", IF(IFERROR(ISNUMBER(--A935),FALSE), IF(LEN(A935)=10, IF(MOD(MOD(H935,11),10)=--RIGHT(A935,1), "OK", "ОШИБКА"), IF(LEN(A935)=12, IF(AND(MOD(MOD(H935,11),10)=--MID(A935,11,1), MOD(MOD(I935,11),10)=--RIGHT(A935,1)), "OK", "ОШИБКА"), "ДЛИНА (10 или 12)")), "НЕ ЦИФРЫ"))</f>
        <v/>
      </c>
      <c r="E935">
        <f>MID(B935,1,1)*9+MID(B935,2,1)*8+MID(B935,3,1)*7+MID(B935,4,1)*6+MID(B935,5,1)*5+MID(B935,6,1)*4+MID(B935,7,1)*3+MID(B935,8,1)*2+MID(B935,9,1)</f>
        <v/>
      </c>
      <c r="F935">
        <f>IF(B935="", " ", IF(LEN(B935)&lt;&gt;11, "ДЛИНА", IF(NOT(ISNUMBER(--B935)), "НЕ ЦИФРЫ", IF(LEFT(B935,9)*1&lt;=1001998, "OK", IF(RIGHT(B935,2)*1=IF(MOD(E935,101)&gt;=100,0,MOD(E935,101)),"OK","ОШИБКА")))))</f>
        <v/>
      </c>
      <c r="G93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5">
        <f>IF(LEN(TRIM(A935))=10, --MID(A935,1,1)*2+--MID(A935,2,1)*4+--MID(A935,3,1)*10+--MID(A935,4,1)*3+--MID(A935,5,1)*5+--MID(A935,6,1)*9+--MID(A935,7,1)*4+--MID(A935,8,1)*6+--MID(A935,9,1)*8, IF(LEN(TRIM(A935))=12, --MID(A935,1,1)*7+--MID(A935,2,1)*2+--MID(A935,3,1)*4+--MID(A935,4,1)*10+--MID(A935,5,1)*3+--MID(A935,6,1)*5+--MID(A935,7,1)*9+--MID(A935,8,1)*4+--MID(A935,9,1)*6+--MID(A935,10,1)*8, ""))</f>
        <v/>
      </c>
      <c r="I935">
        <f>IF(LEN(TRIM(A935))=12, --MID(A935,1,1)*3+--MID(A935,2,1)*7+--MID(A935,3,1)*2+--MID(A935,4,1)*4+--MID(A935,5,1)*10+--MID(A935,6,1)*3+--MID(A935,7,1)*5+--MID(A935,8,1)*9+--MID(A935,9,1)*4+--MID(A935,10,1)*6+--MID(A935,11,1)*8, "")</f>
        <v/>
      </c>
    </row>
    <row r="936">
      <c r="A936">
        <f>SUBSTITUTE(SUBSTITUTE(SUBSTITUTE(SUBSTITUTE(TRIM(INDEX(Реестр!$B:$B,ROW())),CHAR(160),""),CHAR(9),""),CHAR(10),""),CHAR(13),"")</f>
        <v/>
      </c>
      <c r="B936">
        <f>SUBSTITUTE(SUBSTITUTE(SUBSTITUTE(SUBSTITUTE(SUBSTITUTE(SUBSTITUTE(SUBSTITUTE(TRIM(INDEX(Реестр!$D:$D, ROW())), "-", ""), " ", ""), CHAR(160), ""), CHAR(9), ""), CHAR(10), ""), CHAR(13), ""), CHAR(32), "")</f>
        <v/>
      </c>
      <c r="C936">
        <f>INDEX(Реестр!$H:$H, ROW())</f>
        <v/>
      </c>
      <c r="D936">
        <f>IF(OR(ISBLANK(INDEX(Реестр!$B:$B, ROW())), INDEX(Реестр!$B:$B, ROW())=""), " ", IF(IFERROR(ISNUMBER(--A936),FALSE), IF(LEN(A936)=10, IF(MOD(MOD(H936,11),10)=--RIGHT(A936,1), "OK", "ОШИБКА"), IF(LEN(A936)=12, IF(AND(MOD(MOD(H936,11),10)=--MID(A936,11,1), MOD(MOD(I936,11),10)=--RIGHT(A936,1)), "OK", "ОШИБКА"), "ДЛИНА (10 или 12)")), "НЕ ЦИФРЫ"))</f>
        <v/>
      </c>
      <c r="E936">
        <f>MID(B936,1,1)*9+MID(B936,2,1)*8+MID(B936,3,1)*7+MID(B936,4,1)*6+MID(B936,5,1)*5+MID(B936,6,1)*4+MID(B936,7,1)*3+MID(B936,8,1)*2+MID(B936,9,1)</f>
        <v/>
      </c>
      <c r="F936">
        <f>IF(B936="", " ", IF(LEN(B936)&lt;&gt;11, "ДЛИНА", IF(NOT(ISNUMBER(--B936)), "НЕ ЦИФРЫ", IF(LEFT(B936,9)*1&lt;=1001998, "OK", IF(RIGHT(B936,2)*1=IF(MOD(E936,101)&gt;=100,0,MOD(E936,101)),"OK","ОШИБКА")))))</f>
        <v/>
      </c>
      <c r="G93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6">
        <f>IF(LEN(TRIM(A936))=10, --MID(A936,1,1)*2+--MID(A936,2,1)*4+--MID(A936,3,1)*10+--MID(A936,4,1)*3+--MID(A936,5,1)*5+--MID(A936,6,1)*9+--MID(A936,7,1)*4+--MID(A936,8,1)*6+--MID(A936,9,1)*8, IF(LEN(TRIM(A936))=12, --MID(A936,1,1)*7+--MID(A936,2,1)*2+--MID(A936,3,1)*4+--MID(A936,4,1)*10+--MID(A936,5,1)*3+--MID(A936,6,1)*5+--MID(A936,7,1)*9+--MID(A936,8,1)*4+--MID(A936,9,1)*6+--MID(A936,10,1)*8, ""))</f>
        <v/>
      </c>
      <c r="I936">
        <f>IF(LEN(TRIM(A936))=12, --MID(A936,1,1)*3+--MID(A936,2,1)*7+--MID(A936,3,1)*2+--MID(A936,4,1)*4+--MID(A936,5,1)*10+--MID(A936,6,1)*3+--MID(A936,7,1)*5+--MID(A936,8,1)*9+--MID(A936,9,1)*4+--MID(A936,10,1)*6+--MID(A936,11,1)*8, "")</f>
        <v/>
      </c>
    </row>
    <row r="937">
      <c r="A937">
        <f>SUBSTITUTE(SUBSTITUTE(SUBSTITUTE(SUBSTITUTE(TRIM(INDEX(Реестр!$B:$B,ROW())),CHAR(160),""),CHAR(9),""),CHAR(10),""),CHAR(13),"")</f>
        <v/>
      </c>
      <c r="B937">
        <f>SUBSTITUTE(SUBSTITUTE(SUBSTITUTE(SUBSTITUTE(SUBSTITUTE(SUBSTITUTE(SUBSTITUTE(TRIM(INDEX(Реестр!$D:$D, ROW())), "-", ""), " ", ""), CHAR(160), ""), CHAR(9), ""), CHAR(10), ""), CHAR(13), ""), CHAR(32), "")</f>
        <v/>
      </c>
      <c r="C937">
        <f>INDEX(Реестр!$H:$H, ROW())</f>
        <v/>
      </c>
      <c r="D937">
        <f>IF(OR(ISBLANK(INDEX(Реестр!$B:$B, ROW())), INDEX(Реестр!$B:$B, ROW())=""), " ", IF(IFERROR(ISNUMBER(--A937),FALSE), IF(LEN(A937)=10, IF(MOD(MOD(H937,11),10)=--RIGHT(A937,1), "OK", "ОШИБКА"), IF(LEN(A937)=12, IF(AND(MOD(MOD(H937,11),10)=--MID(A937,11,1), MOD(MOD(I937,11),10)=--RIGHT(A937,1)), "OK", "ОШИБКА"), "ДЛИНА (10 или 12)")), "НЕ ЦИФРЫ"))</f>
        <v/>
      </c>
      <c r="E937">
        <f>MID(B937,1,1)*9+MID(B937,2,1)*8+MID(B937,3,1)*7+MID(B937,4,1)*6+MID(B937,5,1)*5+MID(B937,6,1)*4+MID(B937,7,1)*3+MID(B937,8,1)*2+MID(B937,9,1)</f>
        <v/>
      </c>
      <c r="F937">
        <f>IF(B937="", " ", IF(LEN(B937)&lt;&gt;11, "ДЛИНА", IF(NOT(ISNUMBER(--B937)), "НЕ ЦИФРЫ", IF(LEFT(B937,9)*1&lt;=1001998, "OK", IF(RIGHT(B937,2)*1=IF(MOD(E937,101)&gt;=100,0,MOD(E937,101)),"OK","ОШИБКА")))))</f>
        <v/>
      </c>
      <c r="G93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7">
        <f>IF(LEN(TRIM(A937))=10, --MID(A937,1,1)*2+--MID(A937,2,1)*4+--MID(A937,3,1)*10+--MID(A937,4,1)*3+--MID(A937,5,1)*5+--MID(A937,6,1)*9+--MID(A937,7,1)*4+--MID(A937,8,1)*6+--MID(A937,9,1)*8, IF(LEN(TRIM(A937))=12, --MID(A937,1,1)*7+--MID(A937,2,1)*2+--MID(A937,3,1)*4+--MID(A937,4,1)*10+--MID(A937,5,1)*3+--MID(A937,6,1)*5+--MID(A937,7,1)*9+--MID(A937,8,1)*4+--MID(A937,9,1)*6+--MID(A937,10,1)*8, ""))</f>
        <v/>
      </c>
      <c r="I937">
        <f>IF(LEN(TRIM(A937))=12, --MID(A937,1,1)*3+--MID(A937,2,1)*7+--MID(A937,3,1)*2+--MID(A937,4,1)*4+--MID(A937,5,1)*10+--MID(A937,6,1)*3+--MID(A937,7,1)*5+--MID(A937,8,1)*9+--MID(A937,9,1)*4+--MID(A937,10,1)*6+--MID(A937,11,1)*8, "")</f>
        <v/>
      </c>
    </row>
    <row r="938">
      <c r="A938">
        <f>SUBSTITUTE(SUBSTITUTE(SUBSTITUTE(SUBSTITUTE(TRIM(INDEX(Реестр!$B:$B,ROW())),CHAR(160),""),CHAR(9),""),CHAR(10),""),CHAR(13),"")</f>
        <v/>
      </c>
      <c r="B938">
        <f>SUBSTITUTE(SUBSTITUTE(SUBSTITUTE(SUBSTITUTE(SUBSTITUTE(SUBSTITUTE(SUBSTITUTE(TRIM(INDEX(Реестр!$D:$D, ROW())), "-", ""), " ", ""), CHAR(160), ""), CHAR(9), ""), CHAR(10), ""), CHAR(13), ""), CHAR(32), "")</f>
        <v/>
      </c>
      <c r="C938">
        <f>INDEX(Реестр!$H:$H, ROW())</f>
        <v/>
      </c>
      <c r="D938">
        <f>IF(OR(ISBLANK(INDEX(Реестр!$B:$B, ROW())), INDEX(Реестр!$B:$B, ROW())=""), " ", IF(IFERROR(ISNUMBER(--A938),FALSE), IF(LEN(A938)=10, IF(MOD(MOD(H938,11),10)=--RIGHT(A938,1), "OK", "ОШИБКА"), IF(LEN(A938)=12, IF(AND(MOD(MOD(H938,11),10)=--MID(A938,11,1), MOD(MOD(I938,11),10)=--RIGHT(A938,1)), "OK", "ОШИБКА"), "ДЛИНА (10 или 12)")), "НЕ ЦИФРЫ"))</f>
        <v/>
      </c>
      <c r="E938">
        <f>MID(B938,1,1)*9+MID(B938,2,1)*8+MID(B938,3,1)*7+MID(B938,4,1)*6+MID(B938,5,1)*5+MID(B938,6,1)*4+MID(B938,7,1)*3+MID(B938,8,1)*2+MID(B938,9,1)</f>
        <v/>
      </c>
      <c r="F938">
        <f>IF(B938="", " ", IF(LEN(B938)&lt;&gt;11, "ДЛИНА", IF(NOT(ISNUMBER(--B938)), "НЕ ЦИФРЫ", IF(LEFT(B938,9)*1&lt;=1001998, "OK", IF(RIGHT(B938,2)*1=IF(MOD(E938,101)&gt;=100,0,MOD(E938,101)),"OK","ОШИБКА")))))</f>
        <v/>
      </c>
      <c r="G93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8">
        <f>IF(LEN(TRIM(A938))=10, --MID(A938,1,1)*2+--MID(A938,2,1)*4+--MID(A938,3,1)*10+--MID(A938,4,1)*3+--MID(A938,5,1)*5+--MID(A938,6,1)*9+--MID(A938,7,1)*4+--MID(A938,8,1)*6+--MID(A938,9,1)*8, IF(LEN(TRIM(A938))=12, --MID(A938,1,1)*7+--MID(A938,2,1)*2+--MID(A938,3,1)*4+--MID(A938,4,1)*10+--MID(A938,5,1)*3+--MID(A938,6,1)*5+--MID(A938,7,1)*9+--MID(A938,8,1)*4+--MID(A938,9,1)*6+--MID(A938,10,1)*8, ""))</f>
        <v/>
      </c>
      <c r="I938">
        <f>IF(LEN(TRIM(A938))=12, --MID(A938,1,1)*3+--MID(A938,2,1)*7+--MID(A938,3,1)*2+--MID(A938,4,1)*4+--MID(A938,5,1)*10+--MID(A938,6,1)*3+--MID(A938,7,1)*5+--MID(A938,8,1)*9+--MID(A938,9,1)*4+--MID(A938,10,1)*6+--MID(A938,11,1)*8, "")</f>
        <v/>
      </c>
    </row>
    <row r="939">
      <c r="A939">
        <f>SUBSTITUTE(SUBSTITUTE(SUBSTITUTE(SUBSTITUTE(TRIM(INDEX(Реестр!$B:$B,ROW())),CHAR(160),""),CHAR(9),""),CHAR(10),""),CHAR(13),"")</f>
        <v/>
      </c>
      <c r="B939">
        <f>SUBSTITUTE(SUBSTITUTE(SUBSTITUTE(SUBSTITUTE(SUBSTITUTE(SUBSTITUTE(SUBSTITUTE(TRIM(INDEX(Реестр!$D:$D, ROW())), "-", ""), " ", ""), CHAR(160), ""), CHAR(9), ""), CHAR(10), ""), CHAR(13), ""), CHAR(32), "")</f>
        <v/>
      </c>
      <c r="C939">
        <f>INDEX(Реестр!$H:$H, ROW())</f>
        <v/>
      </c>
      <c r="D939">
        <f>IF(OR(ISBLANK(INDEX(Реестр!$B:$B, ROW())), INDEX(Реестр!$B:$B, ROW())=""), " ", IF(IFERROR(ISNUMBER(--A939),FALSE), IF(LEN(A939)=10, IF(MOD(MOD(H939,11),10)=--RIGHT(A939,1), "OK", "ОШИБКА"), IF(LEN(A939)=12, IF(AND(MOD(MOD(H939,11),10)=--MID(A939,11,1), MOD(MOD(I939,11),10)=--RIGHT(A939,1)), "OK", "ОШИБКА"), "ДЛИНА (10 или 12)")), "НЕ ЦИФРЫ"))</f>
        <v/>
      </c>
      <c r="E939">
        <f>MID(B939,1,1)*9+MID(B939,2,1)*8+MID(B939,3,1)*7+MID(B939,4,1)*6+MID(B939,5,1)*5+MID(B939,6,1)*4+MID(B939,7,1)*3+MID(B939,8,1)*2+MID(B939,9,1)</f>
        <v/>
      </c>
      <c r="F939">
        <f>IF(B939="", " ", IF(LEN(B939)&lt;&gt;11, "ДЛИНА", IF(NOT(ISNUMBER(--B939)), "НЕ ЦИФРЫ", IF(LEFT(B939,9)*1&lt;=1001998, "OK", IF(RIGHT(B939,2)*1=IF(MOD(E939,101)&gt;=100,0,MOD(E939,101)),"OK","ОШИБКА")))))</f>
        <v/>
      </c>
      <c r="G93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39">
        <f>IF(LEN(TRIM(A939))=10, --MID(A939,1,1)*2+--MID(A939,2,1)*4+--MID(A939,3,1)*10+--MID(A939,4,1)*3+--MID(A939,5,1)*5+--MID(A939,6,1)*9+--MID(A939,7,1)*4+--MID(A939,8,1)*6+--MID(A939,9,1)*8, IF(LEN(TRIM(A939))=12, --MID(A939,1,1)*7+--MID(A939,2,1)*2+--MID(A939,3,1)*4+--MID(A939,4,1)*10+--MID(A939,5,1)*3+--MID(A939,6,1)*5+--MID(A939,7,1)*9+--MID(A939,8,1)*4+--MID(A939,9,1)*6+--MID(A939,10,1)*8, ""))</f>
        <v/>
      </c>
      <c r="I939">
        <f>IF(LEN(TRIM(A939))=12, --MID(A939,1,1)*3+--MID(A939,2,1)*7+--MID(A939,3,1)*2+--MID(A939,4,1)*4+--MID(A939,5,1)*10+--MID(A939,6,1)*3+--MID(A939,7,1)*5+--MID(A939,8,1)*9+--MID(A939,9,1)*4+--MID(A939,10,1)*6+--MID(A939,11,1)*8, "")</f>
        <v/>
      </c>
    </row>
    <row r="940">
      <c r="A940">
        <f>SUBSTITUTE(SUBSTITUTE(SUBSTITUTE(SUBSTITUTE(TRIM(INDEX(Реестр!$B:$B,ROW())),CHAR(160),""),CHAR(9),""),CHAR(10),""),CHAR(13),"")</f>
        <v/>
      </c>
      <c r="B940">
        <f>SUBSTITUTE(SUBSTITUTE(SUBSTITUTE(SUBSTITUTE(SUBSTITUTE(SUBSTITUTE(SUBSTITUTE(TRIM(INDEX(Реестр!$D:$D, ROW())), "-", ""), " ", ""), CHAR(160), ""), CHAR(9), ""), CHAR(10), ""), CHAR(13), ""), CHAR(32), "")</f>
        <v/>
      </c>
      <c r="C940">
        <f>INDEX(Реестр!$H:$H, ROW())</f>
        <v/>
      </c>
      <c r="D940">
        <f>IF(OR(ISBLANK(INDEX(Реестр!$B:$B, ROW())), INDEX(Реестр!$B:$B, ROW())=""), " ", IF(IFERROR(ISNUMBER(--A940),FALSE), IF(LEN(A940)=10, IF(MOD(MOD(H940,11),10)=--RIGHT(A940,1), "OK", "ОШИБКА"), IF(LEN(A940)=12, IF(AND(MOD(MOD(H940,11),10)=--MID(A940,11,1), MOD(MOD(I940,11),10)=--RIGHT(A940,1)), "OK", "ОШИБКА"), "ДЛИНА (10 или 12)")), "НЕ ЦИФРЫ"))</f>
        <v/>
      </c>
      <c r="E940">
        <f>MID(B940,1,1)*9+MID(B940,2,1)*8+MID(B940,3,1)*7+MID(B940,4,1)*6+MID(B940,5,1)*5+MID(B940,6,1)*4+MID(B940,7,1)*3+MID(B940,8,1)*2+MID(B940,9,1)</f>
        <v/>
      </c>
      <c r="F940">
        <f>IF(B940="", " ", IF(LEN(B940)&lt;&gt;11, "ДЛИНА", IF(NOT(ISNUMBER(--B940)), "НЕ ЦИФРЫ", IF(LEFT(B940,9)*1&lt;=1001998, "OK", IF(RIGHT(B940,2)*1=IF(MOD(E940,101)&gt;=100,0,MOD(E940,101)),"OK","ОШИБКА")))))</f>
        <v/>
      </c>
      <c r="G94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0">
        <f>IF(LEN(TRIM(A940))=10, --MID(A940,1,1)*2+--MID(A940,2,1)*4+--MID(A940,3,1)*10+--MID(A940,4,1)*3+--MID(A940,5,1)*5+--MID(A940,6,1)*9+--MID(A940,7,1)*4+--MID(A940,8,1)*6+--MID(A940,9,1)*8, IF(LEN(TRIM(A940))=12, --MID(A940,1,1)*7+--MID(A940,2,1)*2+--MID(A940,3,1)*4+--MID(A940,4,1)*10+--MID(A940,5,1)*3+--MID(A940,6,1)*5+--MID(A940,7,1)*9+--MID(A940,8,1)*4+--MID(A940,9,1)*6+--MID(A940,10,1)*8, ""))</f>
        <v/>
      </c>
      <c r="I940">
        <f>IF(LEN(TRIM(A940))=12, --MID(A940,1,1)*3+--MID(A940,2,1)*7+--MID(A940,3,1)*2+--MID(A940,4,1)*4+--MID(A940,5,1)*10+--MID(A940,6,1)*3+--MID(A940,7,1)*5+--MID(A940,8,1)*9+--MID(A940,9,1)*4+--MID(A940,10,1)*6+--MID(A940,11,1)*8, "")</f>
        <v/>
      </c>
    </row>
    <row r="941">
      <c r="A941">
        <f>SUBSTITUTE(SUBSTITUTE(SUBSTITUTE(SUBSTITUTE(TRIM(INDEX(Реестр!$B:$B,ROW())),CHAR(160),""),CHAR(9),""),CHAR(10),""),CHAR(13),"")</f>
        <v/>
      </c>
      <c r="B941">
        <f>SUBSTITUTE(SUBSTITUTE(SUBSTITUTE(SUBSTITUTE(SUBSTITUTE(SUBSTITUTE(SUBSTITUTE(TRIM(INDEX(Реестр!$D:$D, ROW())), "-", ""), " ", ""), CHAR(160), ""), CHAR(9), ""), CHAR(10), ""), CHAR(13), ""), CHAR(32), "")</f>
        <v/>
      </c>
      <c r="C941">
        <f>INDEX(Реестр!$H:$H, ROW())</f>
        <v/>
      </c>
      <c r="D941">
        <f>IF(OR(ISBLANK(INDEX(Реестр!$B:$B, ROW())), INDEX(Реестр!$B:$B, ROW())=""), " ", IF(IFERROR(ISNUMBER(--A941),FALSE), IF(LEN(A941)=10, IF(MOD(MOD(H941,11),10)=--RIGHT(A941,1), "OK", "ОШИБКА"), IF(LEN(A941)=12, IF(AND(MOD(MOD(H941,11),10)=--MID(A941,11,1), MOD(MOD(I941,11),10)=--RIGHT(A941,1)), "OK", "ОШИБКА"), "ДЛИНА (10 или 12)")), "НЕ ЦИФРЫ"))</f>
        <v/>
      </c>
      <c r="E941">
        <f>MID(B941,1,1)*9+MID(B941,2,1)*8+MID(B941,3,1)*7+MID(B941,4,1)*6+MID(B941,5,1)*5+MID(B941,6,1)*4+MID(B941,7,1)*3+MID(B941,8,1)*2+MID(B941,9,1)</f>
        <v/>
      </c>
      <c r="F941">
        <f>IF(B941="", " ", IF(LEN(B941)&lt;&gt;11, "ДЛИНА", IF(NOT(ISNUMBER(--B941)), "НЕ ЦИФРЫ", IF(LEFT(B941,9)*1&lt;=1001998, "OK", IF(RIGHT(B941,2)*1=IF(MOD(E941,101)&gt;=100,0,MOD(E941,101)),"OK","ОШИБКА")))))</f>
        <v/>
      </c>
      <c r="G94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1">
        <f>IF(LEN(TRIM(A941))=10, --MID(A941,1,1)*2+--MID(A941,2,1)*4+--MID(A941,3,1)*10+--MID(A941,4,1)*3+--MID(A941,5,1)*5+--MID(A941,6,1)*9+--MID(A941,7,1)*4+--MID(A941,8,1)*6+--MID(A941,9,1)*8, IF(LEN(TRIM(A941))=12, --MID(A941,1,1)*7+--MID(A941,2,1)*2+--MID(A941,3,1)*4+--MID(A941,4,1)*10+--MID(A941,5,1)*3+--MID(A941,6,1)*5+--MID(A941,7,1)*9+--MID(A941,8,1)*4+--MID(A941,9,1)*6+--MID(A941,10,1)*8, ""))</f>
        <v/>
      </c>
      <c r="I941">
        <f>IF(LEN(TRIM(A941))=12, --MID(A941,1,1)*3+--MID(A941,2,1)*7+--MID(A941,3,1)*2+--MID(A941,4,1)*4+--MID(A941,5,1)*10+--MID(A941,6,1)*3+--MID(A941,7,1)*5+--MID(A941,8,1)*9+--MID(A941,9,1)*4+--MID(A941,10,1)*6+--MID(A941,11,1)*8, "")</f>
        <v/>
      </c>
    </row>
    <row r="942">
      <c r="A942">
        <f>SUBSTITUTE(SUBSTITUTE(SUBSTITUTE(SUBSTITUTE(TRIM(INDEX(Реестр!$B:$B,ROW())),CHAR(160),""),CHAR(9),""),CHAR(10),""),CHAR(13),"")</f>
        <v/>
      </c>
      <c r="B942">
        <f>SUBSTITUTE(SUBSTITUTE(SUBSTITUTE(SUBSTITUTE(SUBSTITUTE(SUBSTITUTE(SUBSTITUTE(TRIM(INDEX(Реестр!$D:$D, ROW())), "-", ""), " ", ""), CHAR(160), ""), CHAR(9), ""), CHAR(10), ""), CHAR(13), ""), CHAR(32), "")</f>
        <v/>
      </c>
      <c r="C942">
        <f>INDEX(Реестр!$H:$H, ROW())</f>
        <v/>
      </c>
      <c r="D942">
        <f>IF(OR(ISBLANK(INDEX(Реестр!$B:$B, ROW())), INDEX(Реестр!$B:$B, ROW())=""), " ", IF(IFERROR(ISNUMBER(--A942),FALSE), IF(LEN(A942)=10, IF(MOD(MOD(H942,11),10)=--RIGHT(A942,1), "OK", "ОШИБКА"), IF(LEN(A942)=12, IF(AND(MOD(MOD(H942,11),10)=--MID(A942,11,1), MOD(MOD(I942,11),10)=--RIGHT(A942,1)), "OK", "ОШИБКА"), "ДЛИНА (10 или 12)")), "НЕ ЦИФРЫ"))</f>
        <v/>
      </c>
      <c r="E942">
        <f>MID(B942,1,1)*9+MID(B942,2,1)*8+MID(B942,3,1)*7+MID(B942,4,1)*6+MID(B942,5,1)*5+MID(B942,6,1)*4+MID(B942,7,1)*3+MID(B942,8,1)*2+MID(B942,9,1)</f>
        <v/>
      </c>
      <c r="F942">
        <f>IF(B942="", " ", IF(LEN(B942)&lt;&gt;11, "ДЛИНА", IF(NOT(ISNUMBER(--B942)), "НЕ ЦИФРЫ", IF(LEFT(B942,9)*1&lt;=1001998, "OK", IF(RIGHT(B942,2)*1=IF(MOD(E942,101)&gt;=100,0,MOD(E942,101)),"OK","ОШИБКА")))))</f>
        <v/>
      </c>
      <c r="G94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2">
        <f>IF(LEN(TRIM(A942))=10, --MID(A942,1,1)*2+--MID(A942,2,1)*4+--MID(A942,3,1)*10+--MID(A942,4,1)*3+--MID(A942,5,1)*5+--MID(A942,6,1)*9+--MID(A942,7,1)*4+--MID(A942,8,1)*6+--MID(A942,9,1)*8, IF(LEN(TRIM(A942))=12, --MID(A942,1,1)*7+--MID(A942,2,1)*2+--MID(A942,3,1)*4+--MID(A942,4,1)*10+--MID(A942,5,1)*3+--MID(A942,6,1)*5+--MID(A942,7,1)*9+--MID(A942,8,1)*4+--MID(A942,9,1)*6+--MID(A942,10,1)*8, ""))</f>
        <v/>
      </c>
      <c r="I942">
        <f>IF(LEN(TRIM(A942))=12, --MID(A942,1,1)*3+--MID(A942,2,1)*7+--MID(A942,3,1)*2+--MID(A942,4,1)*4+--MID(A942,5,1)*10+--MID(A942,6,1)*3+--MID(A942,7,1)*5+--MID(A942,8,1)*9+--MID(A942,9,1)*4+--MID(A942,10,1)*6+--MID(A942,11,1)*8, "")</f>
        <v/>
      </c>
    </row>
    <row r="943">
      <c r="A943">
        <f>SUBSTITUTE(SUBSTITUTE(SUBSTITUTE(SUBSTITUTE(TRIM(INDEX(Реестр!$B:$B,ROW())),CHAR(160),""),CHAR(9),""),CHAR(10),""),CHAR(13),"")</f>
        <v/>
      </c>
      <c r="B943">
        <f>SUBSTITUTE(SUBSTITUTE(SUBSTITUTE(SUBSTITUTE(SUBSTITUTE(SUBSTITUTE(SUBSTITUTE(TRIM(INDEX(Реестр!$D:$D, ROW())), "-", ""), " ", ""), CHAR(160), ""), CHAR(9), ""), CHAR(10), ""), CHAR(13), ""), CHAR(32), "")</f>
        <v/>
      </c>
      <c r="C943">
        <f>INDEX(Реестр!$H:$H, ROW())</f>
        <v/>
      </c>
      <c r="D943">
        <f>IF(OR(ISBLANK(INDEX(Реестр!$B:$B, ROW())), INDEX(Реестр!$B:$B, ROW())=""), " ", IF(IFERROR(ISNUMBER(--A943),FALSE), IF(LEN(A943)=10, IF(MOD(MOD(H943,11),10)=--RIGHT(A943,1), "OK", "ОШИБКА"), IF(LEN(A943)=12, IF(AND(MOD(MOD(H943,11),10)=--MID(A943,11,1), MOD(MOD(I943,11),10)=--RIGHT(A943,1)), "OK", "ОШИБКА"), "ДЛИНА (10 или 12)")), "НЕ ЦИФРЫ"))</f>
        <v/>
      </c>
      <c r="E943">
        <f>MID(B943,1,1)*9+MID(B943,2,1)*8+MID(B943,3,1)*7+MID(B943,4,1)*6+MID(B943,5,1)*5+MID(B943,6,1)*4+MID(B943,7,1)*3+MID(B943,8,1)*2+MID(B943,9,1)</f>
        <v/>
      </c>
      <c r="F943">
        <f>IF(B943="", " ", IF(LEN(B943)&lt;&gt;11, "ДЛИНА", IF(NOT(ISNUMBER(--B943)), "НЕ ЦИФРЫ", IF(LEFT(B943,9)*1&lt;=1001998, "OK", IF(RIGHT(B943,2)*1=IF(MOD(E943,101)&gt;=100,0,MOD(E943,101)),"OK","ОШИБКА")))))</f>
        <v/>
      </c>
      <c r="G94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3">
        <f>IF(LEN(TRIM(A943))=10, --MID(A943,1,1)*2+--MID(A943,2,1)*4+--MID(A943,3,1)*10+--MID(A943,4,1)*3+--MID(A943,5,1)*5+--MID(A943,6,1)*9+--MID(A943,7,1)*4+--MID(A943,8,1)*6+--MID(A943,9,1)*8, IF(LEN(TRIM(A943))=12, --MID(A943,1,1)*7+--MID(A943,2,1)*2+--MID(A943,3,1)*4+--MID(A943,4,1)*10+--MID(A943,5,1)*3+--MID(A943,6,1)*5+--MID(A943,7,1)*9+--MID(A943,8,1)*4+--MID(A943,9,1)*6+--MID(A943,10,1)*8, ""))</f>
        <v/>
      </c>
      <c r="I943">
        <f>IF(LEN(TRIM(A943))=12, --MID(A943,1,1)*3+--MID(A943,2,1)*7+--MID(A943,3,1)*2+--MID(A943,4,1)*4+--MID(A943,5,1)*10+--MID(A943,6,1)*3+--MID(A943,7,1)*5+--MID(A943,8,1)*9+--MID(A943,9,1)*4+--MID(A943,10,1)*6+--MID(A943,11,1)*8, "")</f>
        <v/>
      </c>
    </row>
    <row r="944">
      <c r="A944">
        <f>SUBSTITUTE(SUBSTITUTE(SUBSTITUTE(SUBSTITUTE(TRIM(INDEX(Реестр!$B:$B,ROW())),CHAR(160),""),CHAR(9),""),CHAR(10),""),CHAR(13),"")</f>
        <v/>
      </c>
      <c r="B944">
        <f>SUBSTITUTE(SUBSTITUTE(SUBSTITUTE(SUBSTITUTE(SUBSTITUTE(SUBSTITUTE(SUBSTITUTE(TRIM(INDEX(Реестр!$D:$D, ROW())), "-", ""), " ", ""), CHAR(160), ""), CHAR(9), ""), CHAR(10), ""), CHAR(13), ""), CHAR(32), "")</f>
        <v/>
      </c>
      <c r="C944">
        <f>INDEX(Реестр!$H:$H, ROW())</f>
        <v/>
      </c>
      <c r="D944">
        <f>IF(OR(ISBLANK(INDEX(Реестр!$B:$B, ROW())), INDEX(Реестр!$B:$B, ROW())=""), " ", IF(IFERROR(ISNUMBER(--A944),FALSE), IF(LEN(A944)=10, IF(MOD(MOD(H944,11),10)=--RIGHT(A944,1), "OK", "ОШИБКА"), IF(LEN(A944)=12, IF(AND(MOD(MOD(H944,11),10)=--MID(A944,11,1), MOD(MOD(I944,11),10)=--RIGHT(A944,1)), "OK", "ОШИБКА"), "ДЛИНА (10 или 12)")), "НЕ ЦИФРЫ"))</f>
        <v/>
      </c>
      <c r="E944">
        <f>MID(B944,1,1)*9+MID(B944,2,1)*8+MID(B944,3,1)*7+MID(B944,4,1)*6+MID(B944,5,1)*5+MID(B944,6,1)*4+MID(B944,7,1)*3+MID(B944,8,1)*2+MID(B944,9,1)</f>
        <v/>
      </c>
      <c r="F944">
        <f>IF(B944="", " ", IF(LEN(B944)&lt;&gt;11, "ДЛИНА", IF(NOT(ISNUMBER(--B944)), "НЕ ЦИФРЫ", IF(LEFT(B944,9)*1&lt;=1001998, "OK", IF(RIGHT(B944,2)*1=IF(MOD(E944,101)&gt;=100,0,MOD(E944,101)),"OK","ОШИБКА")))))</f>
        <v/>
      </c>
      <c r="G94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4">
        <f>IF(LEN(TRIM(A944))=10, --MID(A944,1,1)*2+--MID(A944,2,1)*4+--MID(A944,3,1)*10+--MID(A944,4,1)*3+--MID(A944,5,1)*5+--MID(A944,6,1)*9+--MID(A944,7,1)*4+--MID(A944,8,1)*6+--MID(A944,9,1)*8, IF(LEN(TRIM(A944))=12, --MID(A944,1,1)*7+--MID(A944,2,1)*2+--MID(A944,3,1)*4+--MID(A944,4,1)*10+--MID(A944,5,1)*3+--MID(A944,6,1)*5+--MID(A944,7,1)*9+--MID(A944,8,1)*4+--MID(A944,9,1)*6+--MID(A944,10,1)*8, ""))</f>
        <v/>
      </c>
      <c r="I944">
        <f>IF(LEN(TRIM(A944))=12, --MID(A944,1,1)*3+--MID(A944,2,1)*7+--MID(A944,3,1)*2+--MID(A944,4,1)*4+--MID(A944,5,1)*10+--MID(A944,6,1)*3+--MID(A944,7,1)*5+--MID(A944,8,1)*9+--MID(A944,9,1)*4+--MID(A944,10,1)*6+--MID(A944,11,1)*8, "")</f>
        <v/>
      </c>
    </row>
    <row r="945">
      <c r="A945">
        <f>SUBSTITUTE(SUBSTITUTE(SUBSTITUTE(SUBSTITUTE(TRIM(INDEX(Реестр!$B:$B,ROW())),CHAR(160),""),CHAR(9),""),CHAR(10),""),CHAR(13),"")</f>
        <v/>
      </c>
      <c r="B945">
        <f>SUBSTITUTE(SUBSTITUTE(SUBSTITUTE(SUBSTITUTE(SUBSTITUTE(SUBSTITUTE(SUBSTITUTE(TRIM(INDEX(Реестр!$D:$D, ROW())), "-", ""), " ", ""), CHAR(160), ""), CHAR(9), ""), CHAR(10), ""), CHAR(13), ""), CHAR(32), "")</f>
        <v/>
      </c>
      <c r="C945">
        <f>INDEX(Реестр!$H:$H, ROW())</f>
        <v/>
      </c>
      <c r="D945">
        <f>IF(OR(ISBLANK(INDEX(Реестр!$B:$B, ROW())), INDEX(Реестр!$B:$B, ROW())=""), " ", IF(IFERROR(ISNUMBER(--A945),FALSE), IF(LEN(A945)=10, IF(MOD(MOD(H945,11),10)=--RIGHT(A945,1), "OK", "ОШИБКА"), IF(LEN(A945)=12, IF(AND(MOD(MOD(H945,11),10)=--MID(A945,11,1), MOD(MOD(I945,11),10)=--RIGHT(A945,1)), "OK", "ОШИБКА"), "ДЛИНА (10 или 12)")), "НЕ ЦИФРЫ"))</f>
        <v/>
      </c>
      <c r="E945">
        <f>MID(B945,1,1)*9+MID(B945,2,1)*8+MID(B945,3,1)*7+MID(B945,4,1)*6+MID(B945,5,1)*5+MID(B945,6,1)*4+MID(B945,7,1)*3+MID(B945,8,1)*2+MID(B945,9,1)</f>
        <v/>
      </c>
      <c r="F945">
        <f>IF(B945="", " ", IF(LEN(B945)&lt;&gt;11, "ДЛИНА", IF(NOT(ISNUMBER(--B945)), "НЕ ЦИФРЫ", IF(LEFT(B945,9)*1&lt;=1001998, "OK", IF(RIGHT(B945,2)*1=IF(MOD(E945,101)&gt;=100,0,MOD(E945,101)),"OK","ОШИБКА")))))</f>
        <v/>
      </c>
      <c r="G94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5">
        <f>IF(LEN(TRIM(A945))=10, --MID(A945,1,1)*2+--MID(A945,2,1)*4+--MID(A945,3,1)*10+--MID(A945,4,1)*3+--MID(A945,5,1)*5+--MID(A945,6,1)*9+--MID(A945,7,1)*4+--MID(A945,8,1)*6+--MID(A945,9,1)*8, IF(LEN(TRIM(A945))=12, --MID(A945,1,1)*7+--MID(A945,2,1)*2+--MID(A945,3,1)*4+--MID(A945,4,1)*10+--MID(A945,5,1)*3+--MID(A945,6,1)*5+--MID(A945,7,1)*9+--MID(A945,8,1)*4+--MID(A945,9,1)*6+--MID(A945,10,1)*8, ""))</f>
        <v/>
      </c>
      <c r="I945">
        <f>IF(LEN(TRIM(A945))=12, --MID(A945,1,1)*3+--MID(A945,2,1)*7+--MID(A945,3,1)*2+--MID(A945,4,1)*4+--MID(A945,5,1)*10+--MID(A945,6,1)*3+--MID(A945,7,1)*5+--MID(A945,8,1)*9+--MID(A945,9,1)*4+--MID(A945,10,1)*6+--MID(A945,11,1)*8, "")</f>
        <v/>
      </c>
    </row>
    <row r="946">
      <c r="A946">
        <f>SUBSTITUTE(SUBSTITUTE(SUBSTITUTE(SUBSTITUTE(TRIM(INDEX(Реестр!$B:$B,ROW())),CHAR(160),""),CHAR(9),""),CHAR(10),""),CHAR(13),"")</f>
        <v/>
      </c>
      <c r="B946">
        <f>SUBSTITUTE(SUBSTITUTE(SUBSTITUTE(SUBSTITUTE(SUBSTITUTE(SUBSTITUTE(SUBSTITUTE(TRIM(INDEX(Реестр!$D:$D, ROW())), "-", ""), " ", ""), CHAR(160), ""), CHAR(9), ""), CHAR(10), ""), CHAR(13), ""), CHAR(32), "")</f>
        <v/>
      </c>
      <c r="C946">
        <f>INDEX(Реестр!$H:$H, ROW())</f>
        <v/>
      </c>
      <c r="D946">
        <f>IF(OR(ISBLANK(INDEX(Реестр!$B:$B, ROW())), INDEX(Реестр!$B:$B, ROW())=""), " ", IF(IFERROR(ISNUMBER(--A946),FALSE), IF(LEN(A946)=10, IF(MOD(MOD(H946,11),10)=--RIGHT(A946,1), "OK", "ОШИБКА"), IF(LEN(A946)=12, IF(AND(MOD(MOD(H946,11),10)=--MID(A946,11,1), MOD(MOD(I946,11),10)=--RIGHT(A946,1)), "OK", "ОШИБКА"), "ДЛИНА (10 или 12)")), "НЕ ЦИФРЫ"))</f>
        <v/>
      </c>
      <c r="E946">
        <f>MID(B946,1,1)*9+MID(B946,2,1)*8+MID(B946,3,1)*7+MID(B946,4,1)*6+MID(B946,5,1)*5+MID(B946,6,1)*4+MID(B946,7,1)*3+MID(B946,8,1)*2+MID(B946,9,1)</f>
        <v/>
      </c>
      <c r="F946">
        <f>IF(B946="", " ", IF(LEN(B946)&lt;&gt;11, "ДЛИНА", IF(NOT(ISNUMBER(--B946)), "НЕ ЦИФРЫ", IF(LEFT(B946,9)*1&lt;=1001998, "OK", IF(RIGHT(B946,2)*1=IF(MOD(E946,101)&gt;=100,0,MOD(E946,101)),"OK","ОШИБКА")))))</f>
        <v/>
      </c>
      <c r="G94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6">
        <f>IF(LEN(TRIM(A946))=10, --MID(A946,1,1)*2+--MID(A946,2,1)*4+--MID(A946,3,1)*10+--MID(A946,4,1)*3+--MID(A946,5,1)*5+--MID(A946,6,1)*9+--MID(A946,7,1)*4+--MID(A946,8,1)*6+--MID(A946,9,1)*8, IF(LEN(TRIM(A946))=12, --MID(A946,1,1)*7+--MID(A946,2,1)*2+--MID(A946,3,1)*4+--MID(A946,4,1)*10+--MID(A946,5,1)*3+--MID(A946,6,1)*5+--MID(A946,7,1)*9+--MID(A946,8,1)*4+--MID(A946,9,1)*6+--MID(A946,10,1)*8, ""))</f>
        <v/>
      </c>
      <c r="I946">
        <f>IF(LEN(TRIM(A946))=12, --MID(A946,1,1)*3+--MID(A946,2,1)*7+--MID(A946,3,1)*2+--MID(A946,4,1)*4+--MID(A946,5,1)*10+--MID(A946,6,1)*3+--MID(A946,7,1)*5+--MID(A946,8,1)*9+--MID(A946,9,1)*4+--MID(A946,10,1)*6+--MID(A946,11,1)*8, "")</f>
        <v/>
      </c>
    </row>
    <row r="947">
      <c r="A947">
        <f>SUBSTITUTE(SUBSTITUTE(SUBSTITUTE(SUBSTITUTE(TRIM(INDEX(Реестр!$B:$B,ROW())),CHAR(160),""),CHAR(9),""),CHAR(10),""),CHAR(13),"")</f>
        <v/>
      </c>
      <c r="B947">
        <f>SUBSTITUTE(SUBSTITUTE(SUBSTITUTE(SUBSTITUTE(SUBSTITUTE(SUBSTITUTE(SUBSTITUTE(TRIM(INDEX(Реестр!$D:$D, ROW())), "-", ""), " ", ""), CHAR(160), ""), CHAR(9), ""), CHAR(10), ""), CHAR(13), ""), CHAR(32), "")</f>
        <v/>
      </c>
      <c r="C947">
        <f>INDEX(Реестр!$H:$H, ROW())</f>
        <v/>
      </c>
      <c r="D947">
        <f>IF(OR(ISBLANK(INDEX(Реестр!$B:$B, ROW())), INDEX(Реестр!$B:$B, ROW())=""), " ", IF(IFERROR(ISNUMBER(--A947),FALSE), IF(LEN(A947)=10, IF(MOD(MOD(H947,11),10)=--RIGHT(A947,1), "OK", "ОШИБКА"), IF(LEN(A947)=12, IF(AND(MOD(MOD(H947,11),10)=--MID(A947,11,1), MOD(MOD(I947,11),10)=--RIGHT(A947,1)), "OK", "ОШИБКА"), "ДЛИНА (10 или 12)")), "НЕ ЦИФРЫ"))</f>
        <v/>
      </c>
      <c r="E947">
        <f>MID(B947,1,1)*9+MID(B947,2,1)*8+MID(B947,3,1)*7+MID(B947,4,1)*6+MID(B947,5,1)*5+MID(B947,6,1)*4+MID(B947,7,1)*3+MID(B947,8,1)*2+MID(B947,9,1)</f>
        <v/>
      </c>
      <c r="F947">
        <f>IF(B947="", " ", IF(LEN(B947)&lt;&gt;11, "ДЛИНА", IF(NOT(ISNUMBER(--B947)), "НЕ ЦИФРЫ", IF(LEFT(B947,9)*1&lt;=1001998, "OK", IF(RIGHT(B947,2)*1=IF(MOD(E947,101)&gt;=100,0,MOD(E947,101)),"OK","ОШИБКА")))))</f>
        <v/>
      </c>
      <c r="G94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7">
        <f>IF(LEN(TRIM(A947))=10, --MID(A947,1,1)*2+--MID(A947,2,1)*4+--MID(A947,3,1)*10+--MID(A947,4,1)*3+--MID(A947,5,1)*5+--MID(A947,6,1)*9+--MID(A947,7,1)*4+--MID(A947,8,1)*6+--MID(A947,9,1)*8, IF(LEN(TRIM(A947))=12, --MID(A947,1,1)*7+--MID(A947,2,1)*2+--MID(A947,3,1)*4+--MID(A947,4,1)*10+--MID(A947,5,1)*3+--MID(A947,6,1)*5+--MID(A947,7,1)*9+--MID(A947,8,1)*4+--MID(A947,9,1)*6+--MID(A947,10,1)*8, ""))</f>
        <v/>
      </c>
      <c r="I947">
        <f>IF(LEN(TRIM(A947))=12, --MID(A947,1,1)*3+--MID(A947,2,1)*7+--MID(A947,3,1)*2+--MID(A947,4,1)*4+--MID(A947,5,1)*10+--MID(A947,6,1)*3+--MID(A947,7,1)*5+--MID(A947,8,1)*9+--MID(A947,9,1)*4+--MID(A947,10,1)*6+--MID(A947,11,1)*8, "")</f>
        <v/>
      </c>
    </row>
    <row r="948">
      <c r="A948">
        <f>SUBSTITUTE(SUBSTITUTE(SUBSTITUTE(SUBSTITUTE(TRIM(INDEX(Реестр!$B:$B,ROW())),CHAR(160),""),CHAR(9),""),CHAR(10),""),CHAR(13),"")</f>
        <v/>
      </c>
      <c r="B948">
        <f>SUBSTITUTE(SUBSTITUTE(SUBSTITUTE(SUBSTITUTE(SUBSTITUTE(SUBSTITUTE(SUBSTITUTE(TRIM(INDEX(Реестр!$D:$D, ROW())), "-", ""), " ", ""), CHAR(160), ""), CHAR(9), ""), CHAR(10), ""), CHAR(13), ""), CHAR(32), "")</f>
        <v/>
      </c>
      <c r="C948">
        <f>INDEX(Реестр!$H:$H, ROW())</f>
        <v/>
      </c>
      <c r="D948">
        <f>IF(OR(ISBLANK(INDEX(Реестр!$B:$B, ROW())), INDEX(Реестр!$B:$B, ROW())=""), " ", IF(IFERROR(ISNUMBER(--A948),FALSE), IF(LEN(A948)=10, IF(MOD(MOD(H948,11),10)=--RIGHT(A948,1), "OK", "ОШИБКА"), IF(LEN(A948)=12, IF(AND(MOD(MOD(H948,11),10)=--MID(A948,11,1), MOD(MOD(I948,11),10)=--RIGHT(A948,1)), "OK", "ОШИБКА"), "ДЛИНА (10 или 12)")), "НЕ ЦИФРЫ"))</f>
        <v/>
      </c>
      <c r="E948">
        <f>MID(B948,1,1)*9+MID(B948,2,1)*8+MID(B948,3,1)*7+MID(B948,4,1)*6+MID(B948,5,1)*5+MID(B948,6,1)*4+MID(B948,7,1)*3+MID(B948,8,1)*2+MID(B948,9,1)</f>
        <v/>
      </c>
      <c r="F948">
        <f>IF(B948="", " ", IF(LEN(B948)&lt;&gt;11, "ДЛИНА", IF(NOT(ISNUMBER(--B948)), "НЕ ЦИФРЫ", IF(LEFT(B948,9)*1&lt;=1001998, "OK", IF(RIGHT(B948,2)*1=IF(MOD(E948,101)&gt;=100,0,MOD(E948,101)),"OK","ОШИБКА")))))</f>
        <v/>
      </c>
      <c r="G94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8">
        <f>IF(LEN(TRIM(A948))=10, --MID(A948,1,1)*2+--MID(A948,2,1)*4+--MID(A948,3,1)*10+--MID(A948,4,1)*3+--MID(A948,5,1)*5+--MID(A948,6,1)*9+--MID(A948,7,1)*4+--MID(A948,8,1)*6+--MID(A948,9,1)*8, IF(LEN(TRIM(A948))=12, --MID(A948,1,1)*7+--MID(A948,2,1)*2+--MID(A948,3,1)*4+--MID(A948,4,1)*10+--MID(A948,5,1)*3+--MID(A948,6,1)*5+--MID(A948,7,1)*9+--MID(A948,8,1)*4+--MID(A948,9,1)*6+--MID(A948,10,1)*8, ""))</f>
        <v/>
      </c>
      <c r="I948">
        <f>IF(LEN(TRIM(A948))=12, --MID(A948,1,1)*3+--MID(A948,2,1)*7+--MID(A948,3,1)*2+--MID(A948,4,1)*4+--MID(A948,5,1)*10+--MID(A948,6,1)*3+--MID(A948,7,1)*5+--MID(A948,8,1)*9+--MID(A948,9,1)*4+--MID(A948,10,1)*6+--MID(A948,11,1)*8, "")</f>
        <v/>
      </c>
    </row>
    <row r="949">
      <c r="A949">
        <f>SUBSTITUTE(SUBSTITUTE(SUBSTITUTE(SUBSTITUTE(TRIM(INDEX(Реестр!$B:$B,ROW())),CHAR(160),""),CHAR(9),""),CHAR(10),""),CHAR(13),"")</f>
        <v/>
      </c>
      <c r="B949">
        <f>SUBSTITUTE(SUBSTITUTE(SUBSTITUTE(SUBSTITUTE(SUBSTITUTE(SUBSTITUTE(SUBSTITUTE(TRIM(INDEX(Реестр!$D:$D, ROW())), "-", ""), " ", ""), CHAR(160), ""), CHAR(9), ""), CHAR(10), ""), CHAR(13), ""), CHAR(32), "")</f>
        <v/>
      </c>
      <c r="C949">
        <f>INDEX(Реестр!$H:$H, ROW())</f>
        <v/>
      </c>
      <c r="D949">
        <f>IF(OR(ISBLANK(INDEX(Реестр!$B:$B, ROW())), INDEX(Реестр!$B:$B, ROW())=""), " ", IF(IFERROR(ISNUMBER(--A949),FALSE), IF(LEN(A949)=10, IF(MOD(MOD(H949,11),10)=--RIGHT(A949,1), "OK", "ОШИБКА"), IF(LEN(A949)=12, IF(AND(MOD(MOD(H949,11),10)=--MID(A949,11,1), MOD(MOD(I949,11),10)=--RIGHT(A949,1)), "OK", "ОШИБКА"), "ДЛИНА (10 или 12)")), "НЕ ЦИФРЫ"))</f>
        <v/>
      </c>
      <c r="E949">
        <f>MID(B949,1,1)*9+MID(B949,2,1)*8+MID(B949,3,1)*7+MID(B949,4,1)*6+MID(B949,5,1)*5+MID(B949,6,1)*4+MID(B949,7,1)*3+MID(B949,8,1)*2+MID(B949,9,1)</f>
        <v/>
      </c>
      <c r="F949">
        <f>IF(B949="", " ", IF(LEN(B949)&lt;&gt;11, "ДЛИНА", IF(NOT(ISNUMBER(--B949)), "НЕ ЦИФРЫ", IF(LEFT(B949,9)*1&lt;=1001998, "OK", IF(RIGHT(B949,2)*1=IF(MOD(E949,101)&gt;=100,0,MOD(E949,101)),"OK","ОШИБКА")))))</f>
        <v/>
      </c>
      <c r="G94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49">
        <f>IF(LEN(TRIM(A949))=10, --MID(A949,1,1)*2+--MID(A949,2,1)*4+--MID(A949,3,1)*10+--MID(A949,4,1)*3+--MID(A949,5,1)*5+--MID(A949,6,1)*9+--MID(A949,7,1)*4+--MID(A949,8,1)*6+--MID(A949,9,1)*8, IF(LEN(TRIM(A949))=12, --MID(A949,1,1)*7+--MID(A949,2,1)*2+--MID(A949,3,1)*4+--MID(A949,4,1)*10+--MID(A949,5,1)*3+--MID(A949,6,1)*5+--MID(A949,7,1)*9+--MID(A949,8,1)*4+--MID(A949,9,1)*6+--MID(A949,10,1)*8, ""))</f>
        <v/>
      </c>
      <c r="I949">
        <f>IF(LEN(TRIM(A949))=12, --MID(A949,1,1)*3+--MID(A949,2,1)*7+--MID(A949,3,1)*2+--MID(A949,4,1)*4+--MID(A949,5,1)*10+--MID(A949,6,1)*3+--MID(A949,7,1)*5+--MID(A949,8,1)*9+--MID(A949,9,1)*4+--MID(A949,10,1)*6+--MID(A949,11,1)*8, "")</f>
        <v/>
      </c>
    </row>
    <row r="950">
      <c r="A950">
        <f>SUBSTITUTE(SUBSTITUTE(SUBSTITUTE(SUBSTITUTE(TRIM(INDEX(Реестр!$B:$B,ROW())),CHAR(160),""),CHAR(9),""),CHAR(10),""),CHAR(13),"")</f>
        <v/>
      </c>
      <c r="B950">
        <f>SUBSTITUTE(SUBSTITUTE(SUBSTITUTE(SUBSTITUTE(SUBSTITUTE(SUBSTITUTE(SUBSTITUTE(TRIM(INDEX(Реестр!$D:$D, ROW())), "-", ""), " ", ""), CHAR(160), ""), CHAR(9), ""), CHAR(10), ""), CHAR(13), ""), CHAR(32), "")</f>
        <v/>
      </c>
      <c r="C950">
        <f>INDEX(Реестр!$H:$H, ROW())</f>
        <v/>
      </c>
      <c r="D950">
        <f>IF(OR(ISBLANK(INDEX(Реестр!$B:$B, ROW())), INDEX(Реестр!$B:$B, ROW())=""), " ", IF(IFERROR(ISNUMBER(--A950),FALSE), IF(LEN(A950)=10, IF(MOD(MOD(H950,11),10)=--RIGHT(A950,1), "OK", "ОШИБКА"), IF(LEN(A950)=12, IF(AND(MOD(MOD(H950,11),10)=--MID(A950,11,1), MOD(MOD(I950,11),10)=--RIGHT(A950,1)), "OK", "ОШИБКА"), "ДЛИНА (10 или 12)")), "НЕ ЦИФРЫ"))</f>
        <v/>
      </c>
      <c r="E950">
        <f>MID(B950,1,1)*9+MID(B950,2,1)*8+MID(B950,3,1)*7+MID(B950,4,1)*6+MID(B950,5,1)*5+MID(B950,6,1)*4+MID(B950,7,1)*3+MID(B950,8,1)*2+MID(B950,9,1)</f>
        <v/>
      </c>
      <c r="F950">
        <f>IF(B950="", " ", IF(LEN(B950)&lt;&gt;11, "ДЛИНА", IF(NOT(ISNUMBER(--B950)), "НЕ ЦИФРЫ", IF(LEFT(B950,9)*1&lt;=1001998, "OK", IF(RIGHT(B950,2)*1=IF(MOD(E950,101)&gt;=100,0,MOD(E950,101)),"OK","ОШИБКА")))))</f>
        <v/>
      </c>
      <c r="G95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0">
        <f>IF(LEN(TRIM(A950))=10, --MID(A950,1,1)*2+--MID(A950,2,1)*4+--MID(A950,3,1)*10+--MID(A950,4,1)*3+--MID(A950,5,1)*5+--MID(A950,6,1)*9+--MID(A950,7,1)*4+--MID(A950,8,1)*6+--MID(A950,9,1)*8, IF(LEN(TRIM(A950))=12, --MID(A950,1,1)*7+--MID(A950,2,1)*2+--MID(A950,3,1)*4+--MID(A950,4,1)*10+--MID(A950,5,1)*3+--MID(A950,6,1)*5+--MID(A950,7,1)*9+--MID(A950,8,1)*4+--MID(A950,9,1)*6+--MID(A950,10,1)*8, ""))</f>
        <v/>
      </c>
      <c r="I950">
        <f>IF(LEN(TRIM(A950))=12, --MID(A950,1,1)*3+--MID(A950,2,1)*7+--MID(A950,3,1)*2+--MID(A950,4,1)*4+--MID(A950,5,1)*10+--MID(A950,6,1)*3+--MID(A950,7,1)*5+--MID(A950,8,1)*9+--MID(A950,9,1)*4+--MID(A950,10,1)*6+--MID(A950,11,1)*8, "")</f>
        <v/>
      </c>
    </row>
    <row r="951">
      <c r="A951">
        <f>SUBSTITUTE(SUBSTITUTE(SUBSTITUTE(SUBSTITUTE(TRIM(INDEX(Реестр!$B:$B,ROW())),CHAR(160),""),CHAR(9),""),CHAR(10),""),CHAR(13),"")</f>
        <v/>
      </c>
      <c r="B951">
        <f>SUBSTITUTE(SUBSTITUTE(SUBSTITUTE(SUBSTITUTE(SUBSTITUTE(SUBSTITUTE(SUBSTITUTE(TRIM(INDEX(Реестр!$D:$D, ROW())), "-", ""), " ", ""), CHAR(160), ""), CHAR(9), ""), CHAR(10), ""), CHAR(13), ""), CHAR(32), "")</f>
        <v/>
      </c>
      <c r="C951">
        <f>INDEX(Реестр!$H:$H, ROW())</f>
        <v/>
      </c>
      <c r="D951">
        <f>IF(OR(ISBLANK(INDEX(Реестр!$B:$B, ROW())), INDEX(Реестр!$B:$B, ROW())=""), " ", IF(IFERROR(ISNUMBER(--A951),FALSE), IF(LEN(A951)=10, IF(MOD(MOD(H951,11),10)=--RIGHT(A951,1), "OK", "ОШИБКА"), IF(LEN(A951)=12, IF(AND(MOD(MOD(H951,11),10)=--MID(A951,11,1), MOD(MOD(I951,11),10)=--RIGHT(A951,1)), "OK", "ОШИБКА"), "ДЛИНА (10 или 12)")), "НЕ ЦИФРЫ"))</f>
        <v/>
      </c>
      <c r="E951">
        <f>MID(B951,1,1)*9+MID(B951,2,1)*8+MID(B951,3,1)*7+MID(B951,4,1)*6+MID(B951,5,1)*5+MID(B951,6,1)*4+MID(B951,7,1)*3+MID(B951,8,1)*2+MID(B951,9,1)</f>
        <v/>
      </c>
      <c r="F951">
        <f>IF(B951="", " ", IF(LEN(B951)&lt;&gt;11, "ДЛИНА", IF(NOT(ISNUMBER(--B951)), "НЕ ЦИФРЫ", IF(LEFT(B951,9)*1&lt;=1001998, "OK", IF(RIGHT(B951,2)*1=IF(MOD(E951,101)&gt;=100,0,MOD(E951,101)),"OK","ОШИБКА")))))</f>
        <v/>
      </c>
      <c r="G95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1">
        <f>IF(LEN(TRIM(A951))=10, --MID(A951,1,1)*2+--MID(A951,2,1)*4+--MID(A951,3,1)*10+--MID(A951,4,1)*3+--MID(A951,5,1)*5+--MID(A951,6,1)*9+--MID(A951,7,1)*4+--MID(A951,8,1)*6+--MID(A951,9,1)*8, IF(LEN(TRIM(A951))=12, --MID(A951,1,1)*7+--MID(A951,2,1)*2+--MID(A951,3,1)*4+--MID(A951,4,1)*10+--MID(A951,5,1)*3+--MID(A951,6,1)*5+--MID(A951,7,1)*9+--MID(A951,8,1)*4+--MID(A951,9,1)*6+--MID(A951,10,1)*8, ""))</f>
        <v/>
      </c>
      <c r="I951">
        <f>IF(LEN(TRIM(A951))=12, --MID(A951,1,1)*3+--MID(A951,2,1)*7+--MID(A951,3,1)*2+--MID(A951,4,1)*4+--MID(A951,5,1)*10+--MID(A951,6,1)*3+--MID(A951,7,1)*5+--MID(A951,8,1)*9+--MID(A951,9,1)*4+--MID(A951,10,1)*6+--MID(A951,11,1)*8, "")</f>
        <v/>
      </c>
    </row>
    <row r="952">
      <c r="A952">
        <f>SUBSTITUTE(SUBSTITUTE(SUBSTITUTE(SUBSTITUTE(TRIM(INDEX(Реестр!$B:$B,ROW())),CHAR(160),""),CHAR(9),""),CHAR(10),""),CHAR(13),"")</f>
        <v/>
      </c>
      <c r="B952">
        <f>SUBSTITUTE(SUBSTITUTE(SUBSTITUTE(SUBSTITUTE(SUBSTITUTE(SUBSTITUTE(SUBSTITUTE(TRIM(INDEX(Реестр!$D:$D, ROW())), "-", ""), " ", ""), CHAR(160), ""), CHAR(9), ""), CHAR(10), ""), CHAR(13), ""), CHAR(32), "")</f>
        <v/>
      </c>
      <c r="C952">
        <f>INDEX(Реестр!$H:$H, ROW())</f>
        <v/>
      </c>
      <c r="D952">
        <f>IF(OR(ISBLANK(INDEX(Реестр!$B:$B, ROW())), INDEX(Реестр!$B:$B, ROW())=""), " ", IF(IFERROR(ISNUMBER(--A952),FALSE), IF(LEN(A952)=10, IF(MOD(MOD(H952,11),10)=--RIGHT(A952,1), "OK", "ОШИБКА"), IF(LEN(A952)=12, IF(AND(MOD(MOD(H952,11),10)=--MID(A952,11,1), MOD(MOD(I952,11),10)=--RIGHT(A952,1)), "OK", "ОШИБКА"), "ДЛИНА (10 или 12)")), "НЕ ЦИФРЫ"))</f>
        <v/>
      </c>
      <c r="E952">
        <f>MID(B952,1,1)*9+MID(B952,2,1)*8+MID(B952,3,1)*7+MID(B952,4,1)*6+MID(B952,5,1)*5+MID(B952,6,1)*4+MID(B952,7,1)*3+MID(B952,8,1)*2+MID(B952,9,1)</f>
        <v/>
      </c>
      <c r="F952">
        <f>IF(B952="", " ", IF(LEN(B952)&lt;&gt;11, "ДЛИНА", IF(NOT(ISNUMBER(--B952)), "НЕ ЦИФРЫ", IF(LEFT(B952,9)*1&lt;=1001998, "OK", IF(RIGHT(B952,2)*1=IF(MOD(E952,101)&gt;=100,0,MOD(E952,101)),"OK","ОШИБКА")))))</f>
        <v/>
      </c>
      <c r="G95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2">
        <f>IF(LEN(TRIM(A952))=10, --MID(A952,1,1)*2+--MID(A952,2,1)*4+--MID(A952,3,1)*10+--MID(A952,4,1)*3+--MID(A952,5,1)*5+--MID(A952,6,1)*9+--MID(A952,7,1)*4+--MID(A952,8,1)*6+--MID(A952,9,1)*8, IF(LEN(TRIM(A952))=12, --MID(A952,1,1)*7+--MID(A952,2,1)*2+--MID(A952,3,1)*4+--MID(A952,4,1)*10+--MID(A952,5,1)*3+--MID(A952,6,1)*5+--MID(A952,7,1)*9+--MID(A952,8,1)*4+--MID(A952,9,1)*6+--MID(A952,10,1)*8, ""))</f>
        <v/>
      </c>
      <c r="I952">
        <f>IF(LEN(TRIM(A952))=12, --MID(A952,1,1)*3+--MID(A952,2,1)*7+--MID(A952,3,1)*2+--MID(A952,4,1)*4+--MID(A952,5,1)*10+--MID(A952,6,1)*3+--MID(A952,7,1)*5+--MID(A952,8,1)*9+--MID(A952,9,1)*4+--MID(A952,10,1)*6+--MID(A952,11,1)*8, "")</f>
        <v/>
      </c>
    </row>
    <row r="953">
      <c r="A953">
        <f>SUBSTITUTE(SUBSTITUTE(SUBSTITUTE(SUBSTITUTE(TRIM(INDEX(Реестр!$B:$B,ROW())),CHAR(160),""),CHAR(9),""),CHAR(10),""),CHAR(13),"")</f>
        <v/>
      </c>
      <c r="B953">
        <f>SUBSTITUTE(SUBSTITUTE(SUBSTITUTE(SUBSTITUTE(SUBSTITUTE(SUBSTITUTE(SUBSTITUTE(TRIM(INDEX(Реестр!$D:$D, ROW())), "-", ""), " ", ""), CHAR(160), ""), CHAR(9), ""), CHAR(10), ""), CHAR(13), ""), CHAR(32), "")</f>
        <v/>
      </c>
      <c r="C953">
        <f>INDEX(Реестр!$H:$H, ROW())</f>
        <v/>
      </c>
      <c r="D953">
        <f>IF(OR(ISBLANK(INDEX(Реестр!$B:$B, ROW())), INDEX(Реестр!$B:$B, ROW())=""), " ", IF(IFERROR(ISNUMBER(--A953),FALSE), IF(LEN(A953)=10, IF(MOD(MOD(H953,11),10)=--RIGHT(A953,1), "OK", "ОШИБКА"), IF(LEN(A953)=12, IF(AND(MOD(MOD(H953,11),10)=--MID(A953,11,1), MOD(MOD(I953,11),10)=--RIGHT(A953,1)), "OK", "ОШИБКА"), "ДЛИНА (10 или 12)")), "НЕ ЦИФРЫ"))</f>
        <v/>
      </c>
      <c r="E953">
        <f>MID(B953,1,1)*9+MID(B953,2,1)*8+MID(B953,3,1)*7+MID(B953,4,1)*6+MID(B953,5,1)*5+MID(B953,6,1)*4+MID(B953,7,1)*3+MID(B953,8,1)*2+MID(B953,9,1)</f>
        <v/>
      </c>
      <c r="F953">
        <f>IF(B953="", " ", IF(LEN(B953)&lt;&gt;11, "ДЛИНА", IF(NOT(ISNUMBER(--B953)), "НЕ ЦИФРЫ", IF(LEFT(B953,9)*1&lt;=1001998, "OK", IF(RIGHT(B953,2)*1=IF(MOD(E953,101)&gt;=100,0,MOD(E953,101)),"OK","ОШИБКА")))))</f>
        <v/>
      </c>
      <c r="G95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3">
        <f>IF(LEN(TRIM(A953))=10, --MID(A953,1,1)*2+--MID(A953,2,1)*4+--MID(A953,3,1)*10+--MID(A953,4,1)*3+--MID(A953,5,1)*5+--MID(A953,6,1)*9+--MID(A953,7,1)*4+--MID(A953,8,1)*6+--MID(A953,9,1)*8, IF(LEN(TRIM(A953))=12, --MID(A953,1,1)*7+--MID(A953,2,1)*2+--MID(A953,3,1)*4+--MID(A953,4,1)*10+--MID(A953,5,1)*3+--MID(A953,6,1)*5+--MID(A953,7,1)*9+--MID(A953,8,1)*4+--MID(A953,9,1)*6+--MID(A953,10,1)*8, ""))</f>
        <v/>
      </c>
      <c r="I953">
        <f>IF(LEN(TRIM(A953))=12, --MID(A953,1,1)*3+--MID(A953,2,1)*7+--MID(A953,3,1)*2+--MID(A953,4,1)*4+--MID(A953,5,1)*10+--MID(A953,6,1)*3+--MID(A953,7,1)*5+--MID(A953,8,1)*9+--MID(A953,9,1)*4+--MID(A953,10,1)*6+--MID(A953,11,1)*8, "")</f>
        <v/>
      </c>
    </row>
    <row r="954">
      <c r="A954">
        <f>SUBSTITUTE(SUBSTITUTE(SUBSTITUTE(SUBSTITUTE(TRIM(INDEX(Реестр!$B:$B,ROW())),CHAR(160),""),CHAR(9),""),CHAR(10),""),CHAR(13),"")</f>
        <v/>
      </c>
      <c r="B954">
        <f>SUBSTITUTE(SUBSTITUTE(SUBSTITUTE(SUBSTITUTE(SUBSTITUTE(SUBSTITUTE(SUBSTITUTE(TRIM(INDEX(Реестр!$D:$D, ROW())), "-", ""), " ", ""), CHAR(160), ""), CHAR(9), ""), CHAR(10), ""), CHAR(13), ""), CHAR(32), "")</f>
        <v/>
      </c>
      <c r="C954">
        <f>INDEX(Реестр!$H:$H, ROW())</f>
        <v/>
      </c>
      <c r="D954">
        <f>IF(OR(ISBLANK(INDEX(Реестр!$B:$B, ROW())), INDEX(Реестр!$B:$B, ROW())=""), " ", IF(IFERROR(ISNUMBER(--A954),FALSE), IF(LEN(A954)=10, IF(MOD(MOD(H954,11),10)=--RIGHT(A954,1), "OK", "ОШИБКА"), IF(LEN(A954)=12, IF(AND(MOD(MOD(H954,11),10)=--MID(A954,11,1), MOD(MOD(I954,11),10)=--RIGHT(A954,1)), "OK", "ОШИБКА"), "ДЛИНА (10 или 12)")), "НЕ ЦИФРЫ"))</f>
        <v/>
      </c>
      <c r="E954">
        <f>MID(B954,1,1)*9+MID(B954,2,1)*8+MID(B954,3,1)*7+MID(B954,4,1)*6+MID(B954,5,1)*5+MID(B954,6,1)*4+MID(B954,7,1)*3+MID(B954,8,1)*2+MID(B954,9,1)</f>
        <v/>
      </c>
      <c r="F954">
        <f>IF(B954="", " ", IF(LEN(B954)&lt;&gt;11, "ДЛИНА", IF(NOT(ISNUMBER(--B954)), "НЕ ЦИФРЫ", IF(LEFT(B954,9)*1&lt;=1001998, "OK", IF(RIGHT(B954,2)*1=IF(MOD(E954,101)&gt;=100,0,MOD(E954,101)),"OK","ОШИБКА")))))</f>
        <v/>
      </c>
      <c r="G95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4">
        <f>IF(LEN(TRIM(A954))=10, --MID(A954,1,1)*2+--MID(A954,2,1)*4+--MID(A954,3,1)*10+--MID(A954,4,1)*3+--MID(A954,5,1)*5+--MID(A954,6,1)*9+--MID(A954,7,1)*4+--MID(A954,8,1)*6+--MID(A954,9,1)*8, IF(LEN(TRIM(A954))=12, --MID(A954,1,1)*7+--MID(A954,2,1)*2+--MID(A954,3,1)*4+--MID(A954,4,1)*10+--MID(A954,5,1)*3+--MID(A954,6,1)*5+--MID(A954,7,1)*9+--MID(A954,8,1)*4+--MID(A954,9,1)*6+--MID(A954,10,1)*8, ""))</f>
        <v/>
      </c>
      <c r="I954">
        <f>IF(LEN(TRIM(A954))=12, --MID(A954,1,1)*3+--MID(A954,2,1)*7+--MID(A954,3,1)*2+--MID(A954,4,1)*4+--MID(A954,5,1)*10+--MID(A954,6,1)*3+--MID(A954,7,1)*5+--MID(A954,8,1)*9+--MID(A954,9,1)*4+--MID(A954,10,1)*6+--MID(A954,11,1)*8, "")</f>
        <v/>
      </c>
    </row>
    <row r="955">
      <c r="A955">
        <f>SUBSTITUTE(SUBSTITUTE(SUBSTITUTE(SUBSTITUTE(TRIM(INDEX(Реестр!$B:$B,ROW())),CHAR(160),""),CHAR(9),""),CHAR(10),""),CHAR(13),"")</f>
        <v/>
      </c>
      <c r="B955">
        <f>SUBSTITUTE(SUBSTITUTE(SUBSTITUTE(SUBSTITUTE(SUBSTITUTE(SUBSTITUTE(SUBSTITUTE(TRIM(INDEX(Реестр!$D:$D, ROW())), "-", ""), " ", ""), CHAR(160), ""), CHAR(9), ""), CHAR(10), ""), CHAR(13), ""), CHAR(32), "")</f>
        <v/>
      </c>
      <c r="C955">
        <f>INDEX(Реестр!$H:$H, ROW())</f>
        <v/>
      </c>
      <c r="D955">
        <f>IF(OR(ISBLANK(INDEX(Реестр!$B:$B, ROW())), INDEX(Реестр!$B:$B, ROW())=""), " ", IF(IFERROR(ISNUMBER(--A955),FALSE), IF(LEN(A955)=10, IF(MOD(MOD(H955,11),10)=--RIGHT(A955,1), "OK", "ОШИБКА"), IF(LEN(A955)=12, IF(AND(MOD(MOD(H955,11),10)=--MID(A955,11,1), MOD(MOD(I955,11),10)=--RIGHT(A955,1)), "OK", "ОШИБКА"), "ДЛИНА (10 или 12)")), "НЕ ЦИФРЫ"))</f>
        <v/>
      </c>
      <c r="E955">
        <f>MID(B955,1,1)*9+MID(B955,2,1)*8+MID(B955,3,1)*7+MID(B955,4,1)*6+MID(B955,5,1)*5+MID(B955,6,1)*4+MID(B955,7,1)*3+MID(B955,8,1)*2+MID(B955,9,1)</f>
        <v/>
      </c>
      <c r="F955">
        <f>IF(B955="", " ", IF(LEN(B955)&lt;&gt;11, "ДЛИНА", IF(NOT(ISNUMBER(--B955)), "НЕ ЦИФРЫ", IF(LEFT(B955,9)*1&lt;=1001998, "OK", IF(RIGHT(B955,2)*1=IF(MOD(E955,101)&gt;=100,0,MOD(E955,101)),"OK","ОШИБКА")))))</f>
        <v/>
      </c>
      <c r="G95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5">
        <f>IF(LEN(TRIM(A955))=10, --MID(A955,1,1)*2+--MID(A955,2,1)*4+--MID(A955,3,1)*10+--MID(A955,4,1)*3+--MID(A955,5,1)*5+--MID(A955,6,1)*9+--MID(A955,7,1)*4+--MID(A955,8,1)*6+--MID(A955,9,1)*8, IF(LEN(TRIM(A955))=12, --MID(A955,1,1)*7+--MID(A955,2,1)*2+--MID(A955,3,1)*4+--MID(A955,4,1)*10+--MID(A955,5,1)*3+--MID(A955,6,1)*5+--MID(A955,7,1)*9+--MID(A955,8,1)*4+--MID(A955,9,1)*6+--MID(A955,10,1)*8, ""))</f>
        <v/>
      </c>
      <c r="I955">
        <f>IF(LEN(TRIM(A955))=12, --MID(A955,1,1)*3+--MID(A955,2,1)*7+--MID(A955,3,1)*2+--MID(A955,4,1)*4+--MID(A955,5,1)*10+--MID(A955,6,1)*3+--MID(A955,7,1)*5+--MID(A955,8,1)*9+--MID(A955,9,1)*4+--MID(A955,10,1)*6+--MID(A955,11,1)*8, "")</f>
        <v/>
      </c>
    </row>
    <row r="956">
      <c r="A956">
        <f>SUBSTITUTE(SUBSTITUTE(SUBSTITUTE(SUBSTITUTE(TRIM(INDEX(Реестр!$B:$B,ROW())),CHAR(160),""),CHAR(9),""),CHAR(10),""),CHAR(13),"")</f>
        <v/>
      </c>
      <c r="B956">
        <f>SUBSTITUTE(SUBSTITUTE(SUBSTITUTE(SUBSTITUTE(SUBSTITUTE(SUBSTITUTE(SUBSTITUTE(TRIM(INDEX(Реестр!$D:$D, ROW())), "-", ""), " ", ""), CHAR(160), ""), CHAR(9), ""), CHAR(10), ""), CHAR(13), ""), CHAR(32), "")</f>
        <v/>
      </c>
      <c r="C956">
        <f>INDEX(Реестр!$H:$H, ROW())</f>
        <v/>
      </c>
      <c r="D956">
        <f>IF(OR(ISBLANK(INDEX(Реестр!$B:$B, ROW())), INDEX(Реестр!$B:$B, ROW())=""), " ", IF(IFERROR(ISNUMBER(--A956),FALSE), IF(LEN(A956)=10, IF(MOD(MOD(H956,11),10)=--RIGHT(A956,1), "OK", "ОШИБКА"), IF(LEN(A956)=12, IF(AND(MOD(MOD(H956,11),10)=--MID(A956,11,1), MOD(MOD(I956,11),10)=--RIGHT(A956,1)), "OK", "ОШИБКА"), "ДЛИНА (10 или 12)")), "НЕ ЦИФРЫ"))</f>
        <v/>
      </c>
      <c r="E956">
        <f>MID(B956,1,1)*9+MID(B956,2,1)*8+MID(B956,3,1)*7+MID(B956,4,1)*6+MID(B956,5,1)*5+MID(B956,6,1)*4+MID(B956,7,1)*3+MID(B956,8,1)*2+MID(B956,9,1)</f>
        <v/>
      </c>
      <c r="F956">
        <f>IF(B956="", " ", IF(LEN(B956)&lt;&gt;11, "ДЛИНА", IF(NOT(ISNUMBER(--B956)), "НЕ ЦИФРЫ", IF(LEFT(B956,9)*1&lt;=1001998, "OK", IF(RIGHT(B956,2)*1=IF(MOD(E956,101)&gt;=100,0,MOD(E956,101)),"OK","ОШИБКА")))))</f>
        <v/>
      </c>
      <c r="G95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6">
        <f>IF(LEN(TRIM(A956))=10, --MID(A956,1,1)*2+--MID(A956,2,1)*4+--MID(A956,3,1)*10+--MID(A956,4,1)*3+--MID(A956,5,1)*5+--MID(A956,6,1)*9+--MID(A956,7,1)*4+--MID(A956,8,1)*6+--MID(A956,9,1)*8, IF(LEN(TRIM(A956))=12, --MID(A956,1,1)*7+--MID(A956,2,1)*2+--MID(A956,3,1)*4+--MID(A956,4,1)*10+--MID(A956,5,1)*3+--MID(A956,6,1)*5+--MID(A956,7,1)*9+--MID(A956,8,1)*4+--MID(A956,9,1)*6+--MID(A956,10,1)*8, ""))</f>
        <v/>
      </c>
      <c r="I956">
        <f>IF(LEN(TRIM(A956))=12, --MID(A956,1,1)*3+--MID(A956,2,1)*7+--MID(A956,3,1)*2+--MID(A956,4,1)*4+--MID(A956,5,1)*10+--MID(A956,6,1)*3+--MID(A956,7,1)*5+--MID(A956,8,1)*9+--MID(A956,9,1)*4+--MID(A956,10,1)*6+--MID(A956,11,1)*8, "")</f>
        <v/>
      </c>
    </row>
    <row r="957">
      <c r="A957">
        <f>SUBSTITUTE(SUBSTITUTE(SUBSTITUTE(SUBSTITUTE(TRIM(INDEX(Реестр!$B:$B,ROW())),CHAR(160),""),CHAR(9),""),CHAR(10),""),CHAR(13),"")</f>
        <v/>
      </c>
      <c r="B957">
        <f>SUBSTITUTE(SUBSTITUTE(SUBSTITUTE(SUBSTITUTE(SUBSTITUTE(SUBSTITUTE(SUBSTITUTE(TRIM(INDEX(Реестр!$D:$D, ROW())), "-", ""), " ", ""), CHAR(160), ""), CHAR(9), ""), CHAR(10), ""), CHAR(13), ""), CHAR(32), "")</f>
        <v/>
      </c>
      <c r="C957">
        <f>INDEX(Реестр!$H:$H, ROW())</f>
        <v/>
      </c>
      <c r="D957">
        <f>IF(OR(ISBLANK(INDEX(Реестр!$B:$B, ROW())), INDEX(Реестр!$B:$B, ROW())=""), " ", IF(IFERROR(ISNUMBER(--A957),FALSE), IF(LEN(A957)=10, IF(MOD(MOD(H957,11),10)=--RIGHT(A957,1), "OK", "ОШИБКА"), IF(LEN(A957)=12, IF(AND(MOD(MOD(H957,11),10)=--MID(A957,11,1), MOD(MOD(I957,11),10)=--RIGHT(A957,1)), "OK", "ОШИБКА"), "ДЛИНА (10 или 12)")), "НЕ ЦИФРЫ"))</f>
        <v/>
      </c>
      <c r="E957">
        <f>MID(B957,1,1)*9+MID(B957,2,1)*8+MID(B957,3,1)*7+MID(B957,4,1)*6+MID(B957,5,1)*5+MID(B957,6,1)*4+MID(B957,7,1)*3+MID(B957,8,1)*2+MID(B957,9,1)</f>
        <v/>
      </c>
      <c r="F957">
        <f>IF(B957="", " ", IF(LEN(B957)&lt;&gt;11, "ДЛИНА", IF(NOT(ISNUMBER(--B957)), "НЕ ЦИФРЫ", IF(LEFT(B957,9)*1&lt;=1001998, "OK", IF(RIGHT(B957,2)*1=IF(MOD(E957,101)&gt;=100,0,MOD(E957,101)),"OK","ОШИБКА")))))</f>
        <v/>
      </c>
      <c r="G95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7">
        <f>IF(LEN(TRIM(A957))=10, --MID(A957,1,1)*2+--MID(A957,2,1)*4+--MID(A957,3,1)*10+--MID(A957,4,1)*3+--MID(A957,5,1)*5+--MID(A957,6,1)*9+--MID(A957,7,1)*4+--MID(A957,8,1)*6+--MID(A957,9,1)*8, IF(LEN(TRIM(A957))=12, --MID(A957,1,1)*7+--MID(A957,2,1)*2+--MID(A957,3,1)*4+--MID(A957,4,1)*10+--MID(A957,5,1)*3+--MID(A957,6,1)*5+--MID(A957,7,1)*9+--MID(A957,8,1)*4+--MID(A957,9,1)*6+--MID(A957,10,1)*8, ""))</f>
        <v/>
      </c>
      <c r="I957">
        <f>IF(LEN(TRIM(A957))=12, --MID(A957,1,1)*3+--MID(A957,2,1)*7+--MID(A957,3,1)*2+--MID(A957,4,1)*4+--MID(A957,5,1)*10+--MID(A957,6,1)*3+--MID(A957,7,1)*5+--MID(A957,8,1)*9+--MID(A957,9,1)*4+--MID(A957,10,1)*6+--MID(A957,11,1)*8, "")</f>
        <v/>
      </c>
    </row>
    <row r="958">
      <c r="A958">
        <f>SUBSTITUTE(SUBSTITUTE(SUBSTITUTE(SUBSTITUTE(TRIM(INDEX(Реестр!$B:$B,ROW())),CHAR(160),""),CHAR(9),""),CHAR(10),""),CHAR(13),"")</f>
        <v/>
      </c>
      <c r="B958">
        <f>SUBSTITUTE(SUBSTITUTE(SUBSTITUTE(SUBSTITUTE(SUBSTITUTE(SUBSTITUTE(SUBSTITUTE(TRIM(INDEX(Реестр!$D:$D, ROW())), "-", ""), " ", ""), CHAR(160), ""), CHAR(9), ""), CHAR(10), ""), CHAR(13), ""), CHAR(32), "")</f>
        <v/>
      </c>
      <c r="C958">
        <f>INDEX(Реестр!$H:$H, ROW())</f>
        <v/>
      </c>
      <c r="D958">
        <f>IF(OR(ISBLANK(INDEX(Реестр!$B:$B, ROW())), INDEX(Реестр!$B:$B, ROW())=""), " ", IF(IFERROR(ISNUMBER(--A958),FALSE), IF(LEN(A958)=10, IF(MOD(MOD(H958,11),10)=--RIGHT(A958,1), "OK", "ОШИБКА"), IF(LEN(A958)=12, IF(AND(MOD(MOD(H958,11),10)=--MID(A958,11,1), MOD(MOD(I958,11),10)=--RIGHT(A958,1)), "OK", "ОШИБКА"), "ДЛИНА (10 или 12)")), "НЕ ЦИФРЫ"))</f>
        <v/>
      </c>
      <c r="E958">
        <f>MID(B958,1,1)*9+MID(B958,2,1)*8+MID(B958,3,1)*7+MID(B958,4,1)*6+MID(B958,5,1)*5+MID(B958,6,1)*4+MID(B958,7,1)*3+MID(B958,8,1)*2+MID(B958,9,1)</f>
        <v/>
      </c>
      <c r="F958">
        <f>IF(B958="", " ", IF(LEN(B958)&lt;&gt;11, "ДЛИНА", IF(NOT(ISNUMBER(--B958)), "НЕ ЦИФРЫ", IF(LEFT(B958,9)*1&lt;=1001998, "OK", IF(RIGHT(B958,2)*1=IF(MOD(E958,101)&gt;=100,0,MOD(E958,101)),"OK","ОШИБКА")))))</f>
        <v/>
      </c>
      <c r="G95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8">
        <f>IF(LEN(TRIM(A958))=10, --MID(A958,1,1)*2+--MID(A958,2,1)*4+--MID(A958,3,1)*10+--MID(A958,4,1)*3+--MID(A958,5,1)*5+--MID(A958,6,1)*9+--MID(A958,7,1)*4+--MID(A958,8,1)*6+--MID(A958,9,1)*8, IF(LEN(TRIM(A958))=12, --MID(A958,1,1)*7+--MID(A958,2,1)*2+--MID(A958,3,1)*4+--MID(A958,4,1)*10+--MID(A958,5,1)*3+--MID(A958,6,1)*5+--MID(A958,7,1)*9+--MID(A958,8,1)*4+--MID(A958,9,1)*6+--MID(A958,10,1)*8, ""))</f>
        <v/>
      </c>
      <c r="I958">
        <f>IF(LEN(TRIM(A958))=12, --MID(A958,1,1)*3+--MID(A958,2,1)*7+--MID(A958,3,1)*2+--MID(A958,4,1)*4+--MID(A958,5,1)*10+--MID(A958,6,1)*3+--MID(A958,7,1)*5+--MID(A958,8,1)*9+--MID(A958,9,1)*4+--MID(A958,10,1)*6+--MID(A958,11,1)*8, "")</f>
        <v/>
      </c>
    </row>
    <row r="959">
      <c r="A959">
        <f>SUBSTITUTE(SUBSTITUTE(SUBSTITUTE(SUBSTITUTE(TRIM(INDEX(Реестр!$B:$B,ROW())),CHAR(160),""),CHAR(9),""),CHAR(10),""),CHAR(13),"")</f>
        <v/>
      </c>
      <c r="B959">
        <f>SUBSTITUTE(SUBSTITUTE(SUBSTITUTE(SUBSTITUTE(SUBSTITUTE(SUBSTITUTE(SUBSTITUTE(TRIM(INDEX(Реестр!$D:$D, ROW())), "-", ""), " ", ""), CHAR(160), ""), CHAR(9), ""), CHAR(10), ""), CHAR(13), ""), CHAR(32), "")</f>
        <v/>
      </c>
      <c r="C959">
        <f>INDEX(Реестр!$H:$H, ROW())</f>
        <v/>
      </c>
      <c r="D959">
        <f>IF(OR(ISBLANK(INDEX(Реестр!$B:$B, ROW())), INDEX(Реестр!$B:$B, ROW())=""), " ", IF(IFERROR(ISNUMBER(--A959),FALSE), IF(LEN(A959)=10, IF(MOD(MOD(H959,11),10)=--RIGHT(A959,1), "OK", "ОШИБКА"), IF(LEN(A959)=12, IF(AND(MOD(MOD(H959,11),10)=--MID(A959,11,1), MOD(MOD(I959,11),10)=--RIGHT(A959,1)), "OK", "ОШИБКА"), "ДЛИНА (10 или 12)")), "НЕ ЦИФРЫ"))</f>
        <v/>
      </c>
      <c r="E959">
        <f>MID(B959,1,1)*9+MID(B959,2,1)*8+MID(B959,3,1)*7+MID(B959,4,1)*6+MID(B959,5,1)*5+MID(B959,6,1)*4+MID(B959,7,1)*3+MID(B959,8,1)*2+MID(B959,9,1)</f>
        <v/>
      </c>
      <c r="F959">
        <f>IF(B959="", " ", IF(LEN(B959)&lt;&gt;11, "ДЛИНА", IF(NOT(ISNUMBER(--B959)), "НЕ ЦИФРЫ", IF(LEFT(B959,9)*1&lt;=1001998, "OK", IF(RIGHT(B959,2)*1=IF(MOD(E959,101)&gt;=100,0,MOD(E959,101)),"OK","ОШИБКА")))))</f>
        <v/>
      </c>
      <c r="G95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59">
        <f>IF(LEN(TRIM(A959))=10, --MID(A959,1,1)*2+--MID(A959,2,1)*4+--MID(A959,3,1)*10+--MID(A959,4,1)*3+--MID(A959,5,1)*5+--MID(A959,6,1)*9+--MID(A959,7,1)*4+--MID(A959,8,1)*6+--MID(A959,9,1)*8, IF(LEN(TRIM(A959))=12, --MID(A959,1,1)*7+--MID(A959,2,1)*2+--MID(A959,3,1)*4+--MID(A959,4,1)*10+--MID(A959,5,1)*3+--MID(A959,6,1)*5+--MID(A959,7,1)*9+--MID(A959,8,1)*4+--MID(A959,9,1)*6+--MID(A959,10,1)*8, ""))</f>
        <v/>
      </c>
      <c r="I959">
        <f>IF(LEN(TRIM(A959))=12, --MID(A959,1,1)*3+--MID(A959,2,1)*7+--MID(A959,3,1)*2+--MID(A959,4,1)*4+--MID(A959,5,1)*10+--MID(A959,6,1)*3+--MID(A959,7,1)*5+--MID(A959,8,1)*9+--MID(A959,9,1)*4+--MID(A959,10,1)*6+--MID(A959,11,1)*8, "")</f>
        <v/>
      </c>
    </row>
    <row r="960">
      <c r="A960">
        <f>SUBSTITUTE(SUBSTITUTE(SUBSTITUTE(SUBSTITUTE(TRIM(INDEX(Реестр!$B:$B,ROW())),CHAR(160),""),CHAR(9),""),CHAR(10),""),CHAR(13),"")</f>
        <v/>
      </c>
      <c r="B960">
        <f>SUBSTITUTE(SUBSTITUTE(SUBSTITUTE(SUBSTITUTE(SUBSTITUTE(SUBSTITUTE(SUBSTITUTE(TRIM(INDEX(Реестр!$D:$D, ROW())), "-", ""), " ", ""), CHAR(160), ""), CHAR(9), ""), CHAR(10), ""), CHAR(13), ""), CHAR(32), "")</f>
        <v/>
      </c>
      <c r="C960">
        <f>INDEX(Реестр!$H:$H, ROW())</f>
        <v/>
      </c>
      <c r="D960">
        <f>IF(OR(ISBLANK(INDEX(Реестр!$B:$B, ROW())), INDEX(Реестр!$B:$B, ROW())=""), " ", IF(IFERROR(ISNUMBER(--A960),FALSE), IF(LEN(A960)=10, IF(MOD(MOD(H960,11),10)=--RIGHT(A960,1), "OK", "ОШИБКА"), IF(LEN(A960)=12, IF(AND(MOD(MOD(H960,11),10)=--MID(A960,11,1), MOD(MOD(I960,11),10)=--RIGHT(A960,1)), "OK", "ОШИБКА"), "ДЛИНА (10 или 12)")), "НЕ ЦИФРЫ"))</f>
        <v/>
      </c>
      <c r="E960">
        <f>MID(B960,1,1)*9+MID(B960,2,1)*8+MID(B960,3,1)*7+MID(B960,4,1)*6+MID(B960,5,1)*5+MID(B960,6,1)*4+MID(B960,7,1)*3+MID(B960,8,1)*2+MID(B960,9,1)</f>
        <v/>
      </c>
      <c r="F960">
        <f>IF(B960="", " ", IF(LEN(B960)&lt;&gt;11, "ДЛИНА", IF(NOT(ISNUMBER(--B960)), "НЕ ЦИФРЫ", IF(LEFT(B960,9)*1&lt;=1001998, "OK", IF(RIGHT(B960,2)*1=IF(MOD(E960,101)&gt;=100,0,MOD(E960,101)),"OK","ОШИБКА")))))</f>
        <v/>
      </c>
      <c r="G96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0">
        <f>IF(LEN(TRIM(A960))=10, --MID(A960,1,1)*2+--MID(A960,2,1)*4+--MID(A960,3,1)*10+--MID(A960,4,1)*3+--MID(A960,5,1)*5+--MID(A960,6,1)*9+--MID(A960,7,1)*4+--MID(A960,8,1)*6+--MID(A960,9,1)*8, IF(LEN(TRIM(A960))=12, --MID(A960,1,1)*7+--MID(A960,2,1)*2+--MID(A960,3,1)*4+--MID(A960,4,1)*10+--MID(A960,5,1)*3+--MID(A960,6,1)*5+--MID(A960,7,1)*9+--MID(A960,8,1)*4+--MID(A960,9,1)*6+--MID(A960,10,1)*8, ""))</f>
        <v/>
      </c>
      <c r="I960">
        <f>IF(LEN(TRIM(A960))=12, --MID(A960,1,1)*3+--MID(A960,2,1)*7+--MID(A960,3,1)*2+--MID(A960,4,1)*4+--MID(A960,5,1)*10+--MID(A960,6,1)*3+--MID(A960,7,1)*5+--MID(A960,8,1)*9+--MID(A960,9,1)*4+--MID(A960,10,1)*6+--MID(A960,11,1)*8, "")</f>
        <v/>
      </c>
    </row>
    <row r="961">
      <c r="A961">
        <f>SUBSTITUTE(SUBSTITUTE(SUBSTITUTE(SUBSTITUTE(TRIM(INDEX(Реестр!$B:$B,ROW())),CHAR(160),""),CHAR(9),""),CHAR(10),""),CHAR(13),"")</f>
        <v/>
      </c>
      <c r="B961">
        <f>SUBSTITUTE(SUBSTITUTE(SUBSTITUTE(SUBSTITUTE(SUBSTITUTE(SUBSTITUTE(SUBSTITUTE(TRIM(INDEX(Реестр!$D:$D, ROW())), "-", ""), " ", ""), CHAR(160), ""), CHAR(9), ""), CHAR(10), ""), CHAR(13), ""), CHAR(32), "")</f>
        <v/>
      </c>
      <c r="C961">
        <f>INDEX(Реестр!$H:$H, ROW())</f>
        <v/>
      </c>
      <c r="D961">
        <f>IF(OR(ISBLANK(INDEX(Реестр!$B:$B, ROW())), INDEX(Реестр!$B:$B, ROW())=""), " ", IF(IFERROR(ISNUMBER(--A961),FALSE), IF(LEN(A961)=10, IF(MOD(MOD(H961,11),10)=--RIGHT(A961,1), "OK", "ОШИБКА"), IF(LEN(A961)=12, IF(AND(MOD(MOD(H961,11),10)=--MID(A961,11,1), MOD(MOD(I961,11),10)=--RIGHT(A961,1)), "OK", "ОШИБКА"), "ДЛИНА (10 или 12)")), "НЕ ЦИФРЫ"))</f>
        <v/>
      </c>
      <c r="E961">
        <f>MID(B961,1,1)*9+MID(B961,2,1)*8+MID(B961,3,1)*7+MID(B961,4,1)*6+MID(B961,5,1)*5+MID(B961,6,1)*4+MID(B961,7,1)*3+MID(B961,8,1)*2+MID(B961,9,1)</f>
        <v/>
      </c>
      <c r="F961">
        <f>IF(B961="", " ", IF(LEN(B961)&lt;&gt;11, "ДЛИНА", IF(NOT(ISNUMBER(--B961)), "НЕ ЦИФРЫ", IF(LEFT(B961,9)*1&lt;=1001998, "OK", IF(RIGHT(B961,2)*1=IF(MOD(E961,101)&gt;=100,0,MOD(E961,101)),"OK","ОШИБКА")))))</f>
        <v/>
      </c>
      <c r="G96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1">
        <f>IF(LEN(TRIM(A961))=10, --MID(A961,1,1)*2+--MID(A961,2,1)*4+--MID(A961,3,1)*10+--MID(A961,4,1)*3+--MID(A961,5,1)*5+--MID(A961,6,1)*9+--MID(A961,7,1)*4+--MID(A961,8,1)*6+--MID(A961,9,1)*8, IF(LEN(TRIM(A961))=12, --MID(A961,1,1)*7+--MID(A961,2,1)*2+--MID(A961,3,1)*4+--MID(A961,4,1)*10+--MID(A961,5,1)*3+--MID(A961,6,1)*5+--MID(A961,7,1)*9+--MID(A961,8,1)*4+--MID(A961,9,1)*6+--MID(A961,10,1)*8, ""))</f>
        <v/>
      </c>
      <c r="I961">
        <f>IF(LEN(TRIM(A961))=12, --MID(A961,1,1)*3+--MID(A961,2,1)*7+--MID(A961,3,1)*2+--MID(A961,4,1)*4+--MID(A961,5,1)*10+--MID(A961,6,1)*3+--MID(A961,7,1)*5+--MID(A961,8,1)*9+--MID(A961,9,1)*4+--MID(A961,10,1)*6+--MID(A961,11,1)*8, "")</f>
        <v/>
      </c>
    </row>
    <row r="962">
      <c r="A962">
        <f>SUBSTITUTE(SUBSTITUTE(SUBSTITUTE(SUBSTITUTE(TRIM(INDEX(Реестр!$B:$B,ROW())),CHAR(160),""),CHAR(9),""),CHAR(10),""),CHAR(13),"")</f>
        <v/>
      </c>
      <c r="B962">
        <f>SUBSTITUTE(SUBSTITUTE(SUBSTITUTE(SUBSTITUTE(SUBSTITUTE(SUBSTITUTE(SUBSTITUTE(TRIM(INDEX(Реестр!$D:$D, ROW())), "-", ""), " ", ""), CHAR(160), ""), CHAR(9), ""), CHAR(10), ""), CHAR(13), ""), CHAR(32), "")</f>
        <v/>
      </c>
      <c r="C962">
        <f>INDEX(Реестр!$H:$H, ROW())</f>
        <v/>
      </c>
      <c r="D962">
        <f>IF(OR(ISBLANK(INDEX(Реестр!$B:$B, ROW())), INDEX(Реестр!$B:$B, ROW())=""), " ", IF(IFERROR(ISNUMBER(--A962),FALSE), IF(LEN(A962)=10, IF(MOD(MOD(H962,11),10)=--RIGHT(A962,1), "OK", "ОШИБКА"), IF(LEN(A962)=12, IF(AND(MOD(MOD(H962,11),10)=--MID(A962,11,1), MOD(MOD(I962,11),10)=--RIGHT(A962,1)), "OK", "ОШИБКА"), "ДЛИНА (10 или 12)")), "НЕ ЦИФРЫ"))</f>
        <v/>
      </c>
      <c r="E962">
        <f>MID(B962,1,1)*9+MID(B962,2,1)*8+MID(B962,3,1)*7+MID(B962,4,1)*6+MID(B962,5,1)*5+MID(B962,6,1)*4+MID(B962,7,1)*3+MID(B962,8,1)*2+MID(B962,9,1)</f>
        <v/>
      </c>
      <c r="F962">
        <f>IF(B962="", " ", IF(LEN(B962)&lt;&gt;11, "ДЛИНА", IF(NOT(ISNUMBER(--B962)), "НЕ ЦИФРЫ", IF(LEFT(B962,9)*1&lt;=1001998, "OK", IF(RIGHT(B962,2)*1=IF(MOD(E962,101)&gt;=100,0,MOD(E962,101)),"OK","ОШИБКА")))))</f>
        <v/>
      </c>
      <c r="G96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2">
        <f>IF(LEN(TRIM(A962))=10, --MID(A962,1,1)*2+--MID(A962,2,1)*4+--MID(A962,3,1)*10+--MID(A962,4,1)*3+--MID(A962,5,1)*5+--MID(A962,6,1)*9+--MID(A962,7,1)*4+--MID(A962,8,1)*6+--MID(A962,9,1)*8, IF(LEN(TRIM(A962))=12, --MID(A962,1,1)*7+--MID(A962,2,1)*2+--MID(A962,3,1)*4+--MID(A962,4,1)*10+--MID(A962,5,1)*3+--MID(A962,6,1)*5+--MID(A962,7,1)*9+--MID(A962,8,1)*4+--MID(A962,9,1)*6+--MID(A962,10,1)*8, ""))</f>
        <v/>
      </c>
      <c r="I962">
        <f>IF(LEN(TRIM(A962))=12, --MID(A962,1,1)*3+--MID(A962,2,1)*7+--MID(A962,3,1)*2+--MID(A962,4,1)*4+--MID(A962,5,1)*10+--MID(A962,6,1)*3+--MID(A962,7,1)*5+--MID(A962,8,1)*9+--MID(A962,9,1)*4+--MID(A962,10,1)*6+--MID(A962,11,1)*8, "")</f>
        <v/>
      </c>
    </row>
    <row r="963">
      <c r="A963">
        <f>SUBSTITUTE(SUBSTITUTE(SUBSTITUTE(SUBSTITUTE(TRIM(INDEX(Реестр!$B:$B,ROW())),CHAR(160),""),CHAR(9),""),CHAR(10),""),CHAR(13),"")</f>
        <v/>
      </c>
      <c r="B963">
        <f>SUBSTITUTE(SUBSTITUTE(SUBSTITUTE(SUBSTITUTE(SUBSTITUTE(SUBSTITUTE(SUBSTITUTE(TRIM(INDEX(Реестр!$D:$D, ROW())), "-", ""), " ", ""), CHAR(160), ""), CHAR(9), ""), CHAR(10), ""), CHAR(13), ""), CHAR(32), "")</f>
        <v/>
      </c>
      <c r="C963">
        <f>INDEX(Реестр!$H:$H, ROW())</f>
        <v/>
      </c>
      <c r="D963">
        <f>IF(OR(ISBLANK(INDEX(Реестр!$B:$B, ROW())), INDEX(Реестр!$B:$B, ROW())=""), " ", IF(IFERROR(ISNUMBER(--A963),FALSE), IF(LEN(A963)=10, IF(MOD(MOD(H963,11),10)=--RIGHT(A963,1), "OK", "ОШИБКА"), IF(LEN(A963)=12, IF(AND(MOD(MOD(H963,11),10)=--MID(A963,11,1), MOD(MOD(I963,11),10)=--RIGHT(A963,1)), "OK", "ОШИБКА"), "ДЛИНА (10 или 12)")), "НЕ ЦИФРЫ"))</f>
        <v/>
      </c>
      <c r="E963">
        <f>MID(B963,1,1)*9+MID(B963,2,1)*8+MID(B963,3,1)*7+MID(B963,4,1)*6+MID(B963,5,1)*5+MID(B963,6,1)*4+MID(B963,7,1)*3+MID(B963,8,1)*2+MID(B963,9,1)</f>
        <v/>
      </c>
      <c r="F963">
        <f>IF(B963="", " ", IF(LEN(B963)&lt;&gt;11, "ДЛИНА", IF(NOT(ISNUMBER(--B963)), "НЕ ЦИФРЫ", IF(LEFT(B963,9)*1&lt;=1001998, "OK", IF(RIGHT(B963,2)*1=IF(MOD(E963,101)&gt;=100,0,MOD(E963,101)),"OK","ОШИБКА")))))</f>
        <v/>
      </c>
      <c r="G96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3">
        <f>IF(LEN(TRIM(A963))=10, --MID(A963,1,1)*2+--MID(A963,2,1)*4+--MID(A963,3,1)*10+--MID(A963,4,1)*3+--MID(A963,5,1)*5+--MID(A963,6,1)*9+--MID(A963,7,1)*4+--MID(A963,8,1)*6+--MID(A963,9,1)*8, IF(LEN(TRIM(A963))=12, --MID(A963,1,1)*7+--MID(A963,2,1)*2+--MID(A963,3,1)*4+--MID(A963,4,1)*10+--MID(A963,5,1)*3+--MID(A963,6,1)*5+--MID(A963,7,1)*9+--MID(A963,8,1)*4+--MID(A963,9,1)*6+--MID(A963,10,1)*8, ""))</f>
        <v/>
      </c>
      <c r="I963">
        <f>IF(LEN(TRIM(A963))=12, --MID(A963,1,1)*3+--MID(A963,2,1)*7+--MID(A963,3,1)*2+--MID(A963,4,1)*4+--MID(A963,5,1)*10+--MID(A963,6,1)*3+--MID(A963,7,1)*5+--MID(A963,8,1)*9+--MID(A963,9,1)*4+--MID(A963,10,1)*6+--MID(A963,11,1)*8, "")</f>
        <v/>
      </c>
    </row>
    <row r="964">
      <c r="A964">
        <f>SUBSTITUTE(SUBSTITUTE(SUBSTITUTE(SUBSTITUTE(TRIM(INDEX(Реестр!$B:$B,ROW())),CHAR(160),""),CHAR(9),""),CHAR(10),""),CHAR(13),"")</f>
        <v/>
      </c>
      <c r="B964">
        <f>SUBSTITUTE(SUBSTITUTE(SUBSTITUTE(SUBSTITUTE(SUBSTITUTE(SUBSTITUTE(SUBSTITUTE(TRIM(INDEX(Реестр!$D:$D, ROW())), "-", ""), " ", ""), CHAR(160), ""), CHAR(9), ""), CHAR(10), ""), CHAR(13), ""), CHAR(32), "")</f>
        <v/>
      </c>
      <c r="C964">
        <f>INDEX(Реестр!$H:$H, ROW())</f>
        <v/>
      </c>
      <c r="D964">
        <f>IF(OR(ISBLANK(INDEX(Реестр!$B:$B, ROW())), INDEX(Реестр!$B:$B, ROW())=""), " ", IF(IFERROR(ISNUMBER(--A964),FALSE), IF(LEN(A964)=10, IF(MOD(MOD(H964,11),10)=--RIGHT(A964,1), "OK", "ОШИБКА"), IF(LEN(A964)=12, IF(AND(MOD(MOD(H964,11),10)=--MID(A964,11,1), MOD(MOD(I964,11),10)=--RIGHT(A964,1)), "OK", "ОШИБКА"), "ДЛИНА (10 или 12)")), "НЕ ЦИФРЫ"))</f>
        <v/>
      </c>
      <c r="E964">
        <f>MID(B964,1,1)*9+MID(B964,2,1)*8+MID(B964,3,1)*7+MID(B964,4,1)*6+MID(B964,5,1)*5+MID(B964,6,1)*4+MID(B964,7,1)*3+MID(B964,8,1)*2+MID(B964,9,1)</f>
        <v/>
      </c>
      <c r="F964">
        <f>IF(B964="", " ", IF(LEN(B964)&lt;&gt;11, "ДЛИНА", IF(NOT(ISNUMBER(--B964)), "НЕ ЦИФРЫ", IF(LEFT(B964,9)*1&lt;=1001998, "OK", IF(RIGHT(B964,2)*1=IF(MOD(E964,101)&gt;=100,0,MOD(E964,101)),"OK","ОШИБКА")))))</f>
        <v/>
      </c>
      <c r="G96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4">
        <f>IF(LEN(TRIM(A964))=10, --MID(A964,1,1)*2+--MID(A964,2,1)*4+--MID(A964,3,1)*10+--MID(A964,4,1)*3+--MID(A964,5,1)*5+--MID(A964,6,1)*9+--MID(A964,7,1)*4+--MID(A964,8,1)*6+--MID(A964,9,1)*8, IF(LEN(TRIM(A964))=12, --MID(A964,1,1)*7+--MID(A964,2,1)*2+--MID(A964,3,1)*4+--MID(A964,4,1)*10+--MID(A964,5,1)*3+--MID(A964,6,1)*5+--MID(A964,7,1)*9+--MID(A964,8,1)*4+--MID(A964,9,1)*6+--MID(A964,10,1)*8, ""))</f>
        <v/>
      </c>
      <c r="I964">
        <f>IF(LEN(TRIM(A964))=12, --MID(A964,1,1)*3+--MID(A964,2,1)*7+--MID(A964,3,1)*2+--MID(A964,4,1)*4+--MID(A964,5,1)*10+--MID(A964,6,1)*3+--MID(A964,7,1)*5+--MID(A964,8,1)*9+--MID(A964,9,1)*4+--MID(A964,10,1)*6+--MID(A964,11,1)*8, "")</f>
        <v/>
      </c>
    </row>
    <row r="965">
      <c r="A965">
        <f>SUBSTITUTE(SUBSTITUTE(SUBSTITUTE(SUBSTITUTE(TRIM(INDEX(Реестр!$B:$B,ROW())),CHAR(160),""),CHAR(9),""),CHAR(10),""),CHAR(13),"")</f>
        <v/>
      </c>
      <c r="B965">
        <f>SUBSTITUTE(SUBSTITUTE(SUBSTITUTE(SUBSTITUTE(SUBSTITUTE(SUBSTITUTE(SUBSTITUTE(TRIM(INDEX(Реестр!$D:$D, ROW())), "-", ""), " ", ""), CHAR(160), ""), CHAR(9), ""), CHAR(10), ""), CHAR(13), ""), CHAR(32), "")</f>
        <v/>
      </c>
      <c r="C965">
        <f>INDEX(Реестр!$H:$H, ROW())</f>
        <v/>
      </c>
      <c r="D965">
        <f>IF(OR(ISBLANK(INDEX(Реестр!$B:$B, ROW())), INDEX(Реестр!$B:$B, ROW())=""), " ", IF(IFERROR(ISNUMBER(--A965),FALSE), IF(LEN(A965)=10, IF(MOD(MOD(H965,11),10)=--RIGHT(A965,1), "OK", "ОШИБКА"), IF(LEN(A965)=12, IF(AND(MOD(MOD(H965,11),10)=--MID(A965,11,1), MOD(MOD(I965,11),10)=--RIGHT(A965,1)), "OK", "ОШИБКА"), "ДЛИНА (10 или 12)")), "НЕ ЦИФРЫ"))</f>
        <v/>
      </c>
      <c r="E965">
        <f>MID(B965,1,1)*9+MID(B965,2,1)*8+MID(B965,3,1)*7+MID(B965,4,1)*6+MID(B965,5,1)*5+MID(B965,6,1)*4+MID(B965,7,1)*3+MID(B965,8,1)*2+MID(B965,9,1)</f>
        <v/>
      </c>
      <c r="F965">
        <f>IF(B965="", " ", IF(LEN(B965)&lt;&gt;11, "ДЛИНА", IF(NOT(ISNUMBER(--B965)), "НЕ ЦИФРЫ", IF(LEFT(B965,9)*1&lt;=1001998, "OK", IF(RIGHT(B965,2)*1=IF(MOD(E965,101)&gt;=100,0,MOD(E965,101)),"OK","ОШИБКА")))))</f>
        <v/>
      </c>
      <c r="G96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5">
        <f>IF(LEN(TRIM(A965))=10, --MID(A965,1,1)*2+--MID(A965,2,1)*4+--MID(A965,3,1)*10+--MID(A965,4,1)*3+--MID(A965,5,1)*5+--MID(A965,6,1)*9+--MID(A965,7,1)*4+--MID(A965,8,1)*6+--MID(A965,9,1)*8, IF(LEN(TRIM(A965))=12, --MID(A965,1,1)*7+--MID(A965,2,1)*2+--MID(A965,3,1)*4+--MID(A965,4,1)*10+--MID(A965,5,1)*3+--MID(A965,6,1)*5+--MID(A965,7,1)*9+--MID(A965,8,1)*4+--MID(A965,9,1)*6+--MID(A965,10,1)*8, ""))</f>
        <v/>
      </c>
      <c r="I965">
        <f>IF(LEN(TRIM(A965))=12, --MID(A965,1,1)*3+--MID(A965,2,1)*7+--MID(A965,3,1)*2+--MID(A965,4,1)*4+--MID(A965,5,1)*10+--MID(A965,6,1)*3+--MID(A965,7,1)*5+--MID(A965,8,1)*9+--MID(A965,9,1)*4+--MID(A965,10,1)*6+--MID(A965,11,1)*8, "")</f>
        <v/>
      </c>
    </row>
    <row r="966">
      <c r="A966">
        <f>SUBSTITUTE(SUBSTITUTE(SUBSTITUTE(SUBSTITUTE(TRIM(INDEX(Реестр!$B:$B,ROW())),CHAR(160),""),CHAR(9),""),CHAR(10),""),CHAR(13),"")</f>
        <v/>
      </c>
      <c r="B966">
        <f>SUBSTITUTE(SUBSTITUTE(SUBSTITUTE(SUBSTITUTE(SUBSTITUTE(SUBSTITUTE(SUBSTITUTE(TRIM(INDEX(Реестр!$D:$D, ROW())), "-", ""), " ", ""), CHAR(160), ""), CHAR(9), ""), CHAR(10), ""), CHAR(13), ""), CHAR(32), "")</f>
        <v/>
      </c>
      <c r="C966">
        <f>INDEX(Реестр!$H:$H, ROW())</f>
        <v/>
      </c>
      <c r="D966">
        <f>IF(OR(ISBLANK(INDEX(Реестр!$B:$B, ROW())), INDEX(Реестр!$B:$B, ROW())=""), " ", IF(IFERROR(ISNUMBER(--A966),FALSE), IF(LEN(A966)=10, IF(MOD(MOD(H966,11),10)=--RIGHT(A966,1), "OK", "ОШИБКА"), IF(LEN(A966)=12, IF(AND(MOD(MOD(H966,11),10)=--MID(A966,11,1), MOD(MOD(I966,11),10)=--RIGHT(A966,1)), "OK", "ОШИБКА"), "ДЛИНА (10 или 12)")), "НЕ ЦИФРЫ"))</f>
        <v/>
      </c>
      <c r="E966">
        <f>MID(B966,1,1)*9+MID(B966,2,1)*8+MID(B966,3,1)*7+MID(B966,4,1)*6+MID(B966,5,1)*5+MID(B966,6,1)*4+MID(B966,7,1)*3+MID(B966,8,1)*2+MID(B966,9,1)</f>
        <v/>
      </c>
      <c r="F966">
        <f>IF(B966="", " ", IF(LEN(B966)&lt;&gt;11, "ДЛИНА", IF(NOT(ISNUMBER(--B966)), "НЕ ЦИФРЫ", IF(LEFT(B966,9)*1&lt;=1001998, "OK", IF(RIGHT(B966,2)*1=IF(MOD(E966,101)&gt;=100,0,MOD(E966,101)),"OK","ОШИБКА")))))</f>
        <v/>
      </c>
      <c r="G96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6">
        <f>IF(LEN(TRIM(A966))=10, --MID(A966,1,1)*2+--MID(A966,2,1)*4+--MID(A966,3,1)*10+--MID(A966,4,1)*3+--MID(A966,5,1)*5+--MID(A966,6,1)*9+--MID(A966,7,1)*4+--MID(A966,8,1)*6+--MID(A966,9,1)*8, IF(LEN(TRIM(A966))=12, --MID(A966,1,1)*7+--MID(A966,2,1)*2+--MID(A966,3,1)*4+--MID(A966,4,1)*10+--MID(A966,5,1)*3+--MID(A966,6,1)*5+--MID(A966,7,1)*9+--MID(A966,8,1)*4+--MID(A966,9,1)*6+--MID(A966,10,1)*8, ""))</f>
        <v/>
      </c>
      <c r="I966">
        <f>IF(LEN(TRIM(A966))=12, --MID(A966,1,1)*3+--MID(A966,2,1)*7+--MID(A966,3,1)*2+--MID(A966,4,1)*4+--MID(A966,5,1)*10+--MID(A966,6,1)*3+--MID(A966,7,1)*5+--MID(A966,8,1)*9+--MID(A966,9,1)*4+--MID(A966,10,1)*6+--MID(A966,11,1)*8, "")</f>
        <v/>
      </c>
    </row>
    <row r="967">
      <c r="A967">
        <f>SUBSTITUTE(SUBSTITUTE(SUBSTITUTE(SUBSTITUTE(TRIM(INDEX(Реестр!$B:$B,ROW())),CHAR(160),""),CHAR(9),""),CHAR(10),""),CHAR(13),"")</f>
        <v/>
      </c>
      <c r="B967">
        <f>SUBSTITUTE(SUBSTITUTE(SUBSTITUTE(SUBSTITUTE(SUBSTITUTE(SUBSTITUTE(SUBSTITUTE(TRIM(INDEX(Реестр!$D:$D, ROW())), "-", ""), " ", ""), CHAR(160), ""), CHAR(9), ""), CHAR(10), ""), CHAR(13), ""), CHAR(32), "")</f>
        <v/>
      </c>
      <c r="C967">
        <f>INDEX(Реестр!$H:$H, ROW())</f>
        <v/>
      </c>
      <c r="D967">
        <f>IF(OR(ISBLANK(INDEX(Реестр!$B:$B, ROW())), INDEX(Реестр!$B:$B, ROW())=""), " ", IF(IFERROR(ISNUMBER(--A967),FALSE), IF(LEN(A967)=10, IF(MOD(MOD(H967,11),10)=--RIGHT(A967,1), "OK", "ОШИБКА"), IF(LEN(A967)=12, IF(AND(MOD(MOD(H967,11),10)=--MID(A967,11,1), MOD(MOD(I967,11),10)=--RIGHT(A967,1)), "OK", "ОШИБКА"), "ДЛИНА (10 или 12)")), "НЕ ЦИФРЫ"))</f>
        <v/>
      </c>
      <c r="E967">
        <f>MID(B967,1,1)*9+MID(B967,2,1)*8+MID(B967,3,1)*7+MID(B967,4,1)*6+MID(B967,5,1)*5+MID(B967,6,1)*4+MID(B967,7,1)*3+MID(B967,8,1)*2+MID(B967,9,1)</f>
        <v/>
      </c>
      <c r="F967">
        <f>IF(B967="", " ", IF(LEN(B967)&lt;&gt;11, "ДЛИНА", IF(NOT(ISNUMBER(--B967)), "НЕ ЦИФРЫ", IF(LEFT(B967,9)*1&lt;=1001998, "OK", IF(RIGHT(B967,2)*1=IF(MOD(E967,101)&gt;=100,0,MOD(E967,101)),"OK","ОШИБКА")))))</f>
        <v/>
      </c>
      <c r="G96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7">
        <f>IF(LEN(TRIM(A967))=10, --MID(A967,1,1)*2+--MID(A967,2,1)*4+--MID(A967,3,1)*10+--MID(A967,4,1)*3+--MID(A967,5,1)*5+--MID(A967,6,1)*9+--MID(A967,7,1)*4+--MID(A967,8,1)*6+--MID(A967,9,1)*8, IF(LEN(TRIM(A967))=12, --MID(A967,1,1)*7+--MID(A967,2,1)*2+--MID(A967,3,1)*4+--MID(A967,4,1)*10+--MID(A967,5,1)*3+--MID(A967,6,1)*5+--MID(A967,7,1)*9+--MID(A967,8,1)*4+--MID(A967,9,1)*6+--MID(A967,10,1)*8, ""))</f>
        <v/>
      </c>
      <c r="I967">
        <f>IF(LEN(TRIM(A967))=12, --MID(A967,1,1)*3+--MID(A967,2,1)*7+--MID(A967,3,1)*2+--MID(A967,4,1)*4+--MID(A967,5,1)*10+--MID(A967,6,1)*3+--MID(A967,7,1)*5+--MID(A967,8,1)*9+--MID(A967,9,1)*4+--MID(A967,10,1)*6+--MID(A967,11,1)*8, "")</f>
        <v/>
      </c>
    </row>
    <row r="968">
      <c r="A968">
        <f>SUBSTITUTE(SUBSTITUTE(SUBSTITUTE(SUBSTITUTE(TRIM(INDEX(Реестр!$B:$B,ROW())),CHAR(160),""),CHAR(9),""),CHAR(10),""),CHAR(13),"")</f>
        <v/>
      </c>
      <c r="B968">
        <f>SUBSTITUTE(SUBSTITUTE(SUBSTITUTE(SUBSTITUTE(SUBSTITUTE(SUBSTITUTE(SUBSTITUTE(TRIM(INDEX(Реестр!$D:$D, ROW())), "-", ""), " ", ""), CHAR(160), ""), CHAR(9), ""), CHAR(10), ""), CHAR(13), ""), CHAR(32), "")</f>
        <v/>
      </c>
      <c r="C968">
        <f>INDEX(Реестр!$H:$H, ROW())</f>
        <v/>
      </c>
      <c r="D968">
        <f>IF(OR(ISBLANK(INDEX(Реестр!$B:$B, ROW())), INDEX(Реестр!$B:$B, ROW())=""), " ", IF(IFERROR(ISNUMBER(--A968),FALSE), IF(LEN(A968)=10, IF(MOD(MOD(H968,11),10)=--RIGHT(A968,1), "OK", "ОШИБКА"), IF(LEN(A968)=12, IF(AND(MOD(MOD(H968,11),10)=--MID(A968,11,1), MOD(MOD(I968,11),10)=--RIGHT(A968,1)), "OK", "ОШИБКА"), "ДЛИНА (10 или 12)")), "НЕ ЦИФРЫ"))</f>
        <v/>
      </c>
      <c r="E968">
        <f>MID(B968,1,1)*9+MID(B968,2,1)*8+MID(B968,3,1)*7+MID(B968,4,1)*6+MID(B968,5,1)*5+MID(B968,6,1)*4+MID(B968,7,1)*3+MID(B968,8,1)*2+MID(B968,9,1)</f>
        <v/>
      </c>
      <c r="F968">
        <f>IF(B968="", " ", IF(LEN(B968)&lt;&gt;11, "ДЛИНА", IF(NOT(ISNUMBER(--B968)), "НЕ ЦИФРЫ", IF(LEFT(B968,9)*1&lt;=1001998, "OK", IF(RIGHT(B968,2)*1=IF(MOD(E968,101)&gt;=100,0,MOD(E968,101)),"OK","ОШИБКА")))))</f>
        <v/>
      </c>
      <c r="G96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8">
        <f>IF(LEN(TRIM(A968))=10, --MID(A968,1,1)*2+--MID(A968,2,1)*4+--MID(A968,3,1)*10+--MID(A968,4,1)*3+--MID(A968,5,1)*5+--MID(A968,6,1)*9+--MID(A968,7,1)*4+--MID(A968,8,1)*6+--MID(A968,9,1)*8, IF(LEN(TRIM(A968))=12, --MID(A968,1,1)*7+--MID(A968,2,1)*2+--MID(A968,3,1)*4+--MID(A968,4,1)*10+--MID(A968,5,1)*3+--MID(A968,6,1)*5+--MID(A968,7,1)*9+--MID(A968,8,1)*4+--MID(A968,9,1)*6+--MID(A968,10,1)*8, ""))</f>
        <v/>
      </c>
      <c r="I968">
        <f>IF(LEN(TRIM(A968))=12, --MID(A968,1,1)*3+--MID(A968,2,1)*7+--MID(A968,3,1)*2+--MID(A968,4,1)*4+--MID(A968,5,1)*10+--MID(A968,6,1)*3+--MID(A968,7,1)*5+--MID(A968,8,1)*9+--MID(A968,9,1)*4+--MID(A968,10,1)*6+--MID(A968,11,1)*8, "")</f>
        <v/>
      </c>
    </row>
    <row r="969">
      <c r="A969">
        <f>SUBSTITUTE(SUBSTITUTE(SUBSTITUTE(SUBSTITUTE(TRIM(INDEX(Реестр!$B:$B,ROW())),CHAR(160),""),CHAR(9),""),CHAR(10),""),CHAR(13),"")</f>
        <v/>
      </c>
      <c r="B969">
        <f>SUBSTITUTE(SUBSTITUTE(SUBSTITUTE(SUBSTITUTE(SUBSTITUTE(SUBSTITUTE(SUBSTITUTE(TRIM(INDEX(Реестр!$D:$D, ROW())), "-", ""), " ", ""), CHAR(160), ""), CHAR(9), ""), CHAR(10), ""), CHAR(13), ""), CHAR(32), "")</f>
        <v/>
      </c>
      <c r="C969">
        <f>INDEX(Реестр!$H:$H, ROW())</f>
        <v/>
      </c>
      <c r="D969">
        <f>IF(OR(ISBLANK(INDEX(Реестр!$B:$B, ROW())), INDEX(Реестр!$B:$B, ROW())=""), " ", IF(IFERROR(ISNUMBER(--A969),FALSE), IF(LEN(A969)=10, IF(MOD(MOD(H969,11),10)=--RIGHT(A969,1), "OK", "ОШИБКА"), IF(LEN(A969)=12, IF(AND(MOD(MOD(H969,11),10)=--MID(A969,11,1), MOD(MOD(I969,11),10)=--RIGHT(A969,1)), "OK", "ОШИБКА"), "ДЛИНА (10 или 12)")), "НЕ ЦИФРЫ"))</f>
        <v/>
      </c>
      <c r="E969">
        <f>MID(B969,1,1)*9+MID(B969,2,1)*8+MID(B969,3,1)*7+MID(B969,4,1)*6+MID(B969,5,1)*5+MID(B969,6,1)*4+MID(B969,7,1)*3+MID(B969,8,1)*2+MID(B969,9,1)</f>
        <v/>
      </c>
      <c r="F969">
        <f>IF(B969="", " ", IF(LEN(B969)&lt;&gt;11, "ДЛИНА", IF(NOT(ISNUMBER(--B969)), "НЕ ЦИФРЫ", IF(LEFT(B969,9)*1&lt;=1001998, "OK", IF(RIGHT(B969,2)*1=IF(MOD(E969,101)&gt;=100,0,MOD(E969,101)),"OK","ОШИБКА")))))</f>
        <v/>
      </c>
      <c r="G96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69">
        <f>IF(LEN(TRIM(A969))=10, --MID(A969,1,1)*2+--MID(A969,2,1)*4+--MID(A969,3,1)*10+--MID(A969,4,1)*3+--MID(A969,5,1)*5+--MID(A969,6,1)*9+--MID(A969,7,1)*4+--MID(A969,8,1)*6+--MID(A969,9,1)*8, IF(LEN(TRIM(A969))=12, --MID(A969,1,1)*7+--MID(A969,2,1)*2+--MID(A969,3,1)*4+--MID(A969,4,1)*10+--MID(A969,5,1)*3+--MID(A969,6,1)*5+--MID(A969,7,1)*9+--MID(A969,8,1)*4+--MID(A969,9,1)*6+--MID(A969,10,1)*8, ""))</f>
        <v/>
      </c>
      <c r="I969">
        <f>IF(LEN(TRIM(A969))=12, --MID(A969,1,1)*3+--MID(A969,2,1)*7+--MID(A969,3,1)*2+--MID(A969,4,1)*4+--MID(A969,5,1)*10+--MID(A969,6,1)*3+--MID(A969,7,1)*5+--MID(A969,8,1)*9+--MID(A969,9,1)*4+--MID(A969,10,1)*6+--MID(A969,11,1)*8, "")</f>
        <v/>
      </c>
    </row>
    <row r="970">
      <c r="A970">
        <f>SUBSTITUTE(SUBSTITUTE(SUBSTITUTE(SUBSTITUTE(TRIM(INDEX(Реестр!$B:$B,ROW())),CHAR(160),""),CHAR(9),""),CHAR(10),""),CHAR(13),"")</f>
        <v/>
      </c>
      <c r="B970">
        <f>SUBSTITUTE(SUBSTITUTE(SUBSTITUTE(SUBSTITUTE(SUBSTITUTE(SUBSTITUTE(SUBSTITUTE(TRIM(INDEX(Реестр!$D:$D, ROW())), "-", ""), " ", ""), CHAR(160), ""), CHAR(9), ""), CHAR(10), ""), CHAR(13), ""), CHAR(32), "")</f>
        <v/>
      </c>
      <c r="C970">
        <f>INDEX(Реестр!$H:$H, ROW())</f>
        <v/>
      </c>
      <c r="D970">
        <f>IF(OR(ISBLANK(INDEX(Реестр!$B:$B, ROW())), INDEX(Реестр!$B:$B, ROW())=""), " ", IF(IFERROR(ISNUMBER(--A970),FALSE), IF(LEN(A970)=10, IF(MOD(MOD(H970,11),10)=--RIGHT(A970,1), "OK", "ОШИБКА"), IF(LEN(A970)=12, IF(AND(MOD(MOD(H970,11),10)=--MID(A970,11,1), MOD(MOD(I970,11),10)=--RIGHT(A970,1)), "OK", "ОШИБКА"), "ДЛИНА (10 или 12)")), "НЕ ЦИФРЫ"))</f>
        <v/>
      </c>
      <c r="E970">
        <f>MID(B970,1,1)*9+MID(B970,2,1)*8+MID(B970,3,1)*7+MID(B970,4,1)*6+MID(B970,5,1)*5+MID(B970,6,1)*4+MID(B970,7,1)*3+MID(B970,8,1)*2+MID(B970,9,1)</f>
        <v/>
      </c>
      <c r="F970">
        <f>IF(B970="", " ", IF(LEN(B970)&lt;&gt;11, "ДЛИНА", IF(NOT(ISNUMBER(--B970)), "НЕ ЦИФРЫ", IF(LEFT(B970,9)*1&lt;=1001998, "OK", IF(RIGHT(B970,2)*1=IF(MOD(E970,101)&gt;=100,0,MOD(E970,101)),"OK","ОШИБКА")))))</f>
        <v/>
      </c>
      <c r="G97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0">
        <f>IF(LEN(TRIM(A970))=10, --MID(A970,1,1)*2+--MID(A970,2,1)*4+--MID(A970,3,1)*10+--MID(A970,4,1)*3+--MID(A970,5,1)*5+--MID(A970,6,1)*9+--MID(A970,7,1)*4+--MID(A970,8,1)*6+--MID(A970,9,1)*8, IF(LEN(TRIM(A970))=12, --MID(A970,1,1)*7+--MID(A970,2,1)*2+--MID(A970,3,1)*4+--MID(A970,4,1)*10+--MID(A970,5,1)*3+--MID(A970,6,1)*5+--MID(A970,7,1)*9+--MID(A970,8,1)*4+--MID(A970,9,1)*6+--MID(A970,10,1)*8, ""))</f>
        <v/>
      </c>
      <c r="I970">
        <f>IF(LEN(TRIM(A970))=12, --MID(A970,1,1)*3+--MID(A970,2,1)*7+--MID(A970,3,1)*2+--MID(A970,4,1)*4+--MID(A970,5,1)*10+--MID(A970,6,1)*3+--MID(A970,7,1)*5+--MID(A970,8,1)*9+--MID(A970,9,1)*4+--MID(A970,10,1)*6+--MID(A970,11,1)*8, "")</f>
        <v/>
      </c>
    </row>
    <row r="971">
      <c r="A971">
        <f>SUBSTITUTE(SUBSTITUTE(SUBSTITUTE(SUBSTITUTE(TRIM(INDEX(Реестр!$B:$B,ROW())),CHAR(160),""),CHAR(9),""),CHAR(10),""),CHAR(13),"")</f>
        <v/>
      </c>
      <c r="B971">
        <f>SUBSTITUTE(SUBSTITUTE(SUBSTITUTE(SUBSTITUTE(SUBSTITUTE(SUBSTITUTE(SUBSTITUTE(TRIM(INDEX(Реестр!$D:$D, ROW())), "-", ""), " ", ""), CHAR(160), ""), CHAR(9), ""), CHAR(10), ""), CHAR(13), ""), CHAR(32), "")</f>
        <v/>
      </c>
      <c r="C971">
        <f>INDEX(Реестр!$H:$H, ROW())</f>
        <v/>
      </c>
      <c r="D971">
        <f>IF(OR(ISBLANK(INDEX(Реестр!$B:$B, ROW())), INDEX(Реестр!$B:$B, ROW())=""), " ", IF(IFERROR(ISNUMBER(--A971),FALSE), IF(LEN(A971)=10, IF(MOD(MOD(H971,11),10)=--RIGHT(A971,1), "OK", "ОШИБКА"), IF(LEN(A971)=12, IF(AND(MOD(MOD(H971,11),10)=--MID(A971,11,1), MOD(MOD(I971,11),10)=--RIGHT(A971,1)), "OK", "ОШИБКА"), "ДЛИНА (10 или 12)")), "НЕ ЦИФРЫ"))</f>
        <v/>
      </c>
      <c r="E971">
        <f>MID(B971,1,1)*9+MID(B971,2,1)*8+MID(B971,3,1)*7+MID(B971,4,1)*6+MID(B971,5,1)*5+MID(B971,6,1)*4+MID(B971,7,1)*3+MID(B971,8,1)*2+MID(B971,9,1)</f>
        <v/>
      </c>
      <c r="F971">
        <f>IF(B971="", " ", IF(LEN(B971)&lt;&gt;11, "ДЛИНА", IF(NOT(ISNUMBER(--B971)), "НЕ ЦИФРЫ", IF(LEFT(B971,9)*1&lt;=1001998, "OK", IF(RIGHT(B971,2)*1=IF(MOD(E971,101)&gt;=100,0,MOD(E971,101)),"OK","ОШИБКА")))))</f>
        <v/>
      </c>
      <c r="G97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1">
        <f>IF(LEN(TRIM(A971))=10, --MID(A971,1,1)*2+--MID(A971,2,1)*4+--MID(A971,3,1)*10+--MID(A971,4,1)*3+--MID(A971,5,1)*5+--MID(A971,6,1)*9+--MID(A971,7,1)*4+--MID(A971,8,1)*6+--MID(A971,9,1)*8, IF(LEN(TRIM(A971))=12, --MID(A971,1,1)*7+--MID(A971,2,1)*2+--MID(A971,3,1)*4+--MID(A971,4,1)*10+--MID(A971,5,1)*3+--MID(A971,6,1)*5+--MID(A971,7,1)*9+--MID(A971,8,1)*4+--MID(A971,9,1)*6+--MID(A971,10,1)*8, ""))</f>
        <v/>
      </c>
      <c r="I971">
        <f>IF(LEN(TRIM(A971))=12, --MID(A971,1,1)*3+--MID(A971,2,1)*7+--MID(A971,3,1)*2+--MID(A971,4,1)*4+--MID(A971,5,1)*10+--MID(A971,6,1)*3+--MID(A971,7,1)*5+--MID(A971,8,1)*9+--MID(A971,9,1)*4+--MID(A971,10,1)*6+--MID(A971,11,1)*8, "")</f>
        <v/>
      </c>
    </row>
    <row r="972">
      <c r="A972">
        <f>SUBSTITUTE(SUBSTITUTE(SUBSTITUTE(SUBSTITUTE(TRIM(INDEX(Реестр!$B:$B,ROW())),CHAR(160),""),CHAR(9),""),CHAR(10),""),CHAR(13),"")</f>
        <v/>
      </c>
      <c r="B972">
        <f>SUBSTITUTE(SUBSTITUTE(SUBSTITUTE(SUBSTITUTE(SUBSTITUTE(SUBSTITUTE(SUBSTITUTE(TRIM(INDEX(Реестр!$D:$D, ROW())), "-", ""), " ", ""), CHAR(160), ""), CHAR(9), ""), CHAR(10), ""), CHAR(13), ""), CHAR(32), "")</f>
        <v/>
      </c>
      <c r="C972">
        <f>INDEX(Реестр!$H:$H, ROW())</f>
        <v/>
      </c>
      <c r="D972">
        <f>IF(OR(ISBLANK(INDEX(Реестр!$B:$B, ROW())), INDEX(Реестр!$B:$B, ROW())=""), " ", IF(IFERROR(ISNUMBER(--A972),FALSE), IF(LEN(A972)=10, IF(MOD(MOD(H972,11),10)=--RIGHT(A972,1), "OK", "ОШИБКА"), IF(LEN(A972)=12, IF(AND(MOD(MOD(H972,11),10)=--MID(A972,11,1), MOD(MOD(I972,11),10)=--RIGHT(A972,1)), "OK", "ОШИБКА"), "ДЛИНА (10 или 12)")), "НЕ ЦИФРЫ"))</f>
        <v/>
      </c>
      <c r="E972">
        <f>MID(B972,1,1)*9+MID(B972,2,1)*8+MID(B972,3,1)*7+MID(B972,4,1)*6+MID(B972,5,1)*5+MID(B972,6,1)*4+MID(B972,7,1)*3+MID(B972,8,1)*2+MID(B972,9,1)</f>
        <v/>
      </c>
      <c r="F972">
        <f>IF(B972="", " ", IF(LEN(B972)&lt;&gt;11, "ДЛИНА", IF(NOT(ISNUMBER(--B972)), "НЕ ЦИФРЫ", IF(LEFT(B972,9)*1&lt;=1001998, "OK", IF(RIGHT(B972,2)*1=IF(MOD(E972,101)&gt;=100,0,MOD(E972,101)),"OK","ОШИБКА")))))</f>
        <v/>
      </c>
      <c r="G97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2">
        <f>IF(LEN(TRIM(A972))=10, --MID(A972,1,1)*2+--MID(A972,2,1)*4+--MID(A972,3,1)*10+--MID(A972,4,1)*3+--MID(A972,5,1)*5+--MID(A972,6,1)*9+--MID(A972,7,1)*4+--MID(A972,8,1)*6+--MID(A972,9,1)*8, IF(LEN(TRIM(A972))=12, --MID(A972,1,1)*7+--MID(A972,2,1)*2+--MID(A972,3,1)*4+--MID(A972,4,1)*10+--MID(A972,5,1)*3+--MID(A972,6,1)*5+--MID(A972,7,1)*9+--MID(A972,8,1)*4+--MID(A972,9,1)*6+--MID(A972,10,1)*8, ""))</f>
        <v/>
      </c>
      <c r="I972">
        <f>IF(LEN(TRIM(A972))=12, --MID(A972,1,1)*3+--MID(A972,2,1)*7+--MID(A972,3,1)*2+--MID(A972,4,1)*4+--MID(A972,5,1)*10+--MID(A972,6,1)*3+--MID(A972,7,1)*5+--MID(A972,8,1)*9+--MID(A972,9,1)*4+--MID(A972,10,1)*6+--MID(A972,11,1)*8, "")</f>
        <v/>
      </c>
    </row>
    <row r="973">
      <c r="A973">
        <f>SUBSTITUTE(SUBSTITUTE(SUBSTITUTE(SUBSTITUTE(TRIM(INDEX(Реестр!$B:$B,ROW())),CHAR(160),""),CHAR(9),""),CHAR(10),""),CHAR(13),"")</f>
        <v/>
      </c>
      <c r="B973">
        <f>SUBSTITUTE(SUBSTITUTE(SUBSTITUTE(SUBSTITUTE(SUBSTITUTE(SUBSTITUTE(SUBSTITUTE(TRIM(INDEX(Реестр!$D:$D, ROW())), "-", ""), " ", ""), CHAR(160), ""), CHAR(9), ""), CHAR(10), ""), CHAR(13), ""), CHAR(32), "")</f>
        <v/>
      </c>
      <c r="C973">
        <f>INDEX(Реестр!$H:$H, ROW())</f>
        <v/>
      </c>
      <c r="D973">
        <f>IF(OR(ISBLANK(INDEX(Реестр!$B:$B, ROW())), INDEX(Реестр!$B:$B, ROW())=""), " ", IF(IFERROR(ISNUMBER(--A973),FALSE), IF(LEN(A973)=10, IF(MOD(MOD(H973,11),10)=--RIGHT(A973,1), "OK", "ОШИБКА"), IF(LEN(A973)=12, IF(AND(MOD(MOD(H973,11),10)=--MID(A973,11,1), MOD(MOD(I973,11),10)=--RIGHT(A973,1)), "OK", "ОШИБКА"), "ДЛИНА (10 или 12)")), "НЕ ЦИФРЫ"))</f>
        <v/>
      </c>
      <c r="E973">
        <f>MID(B973,1,1)*9+MID(B973,2,1)*8+MID(B973,3,1)*7+MID(B973,4,1)*6+MID(B973,5,1)*5+MID(B973,6,1)*4+MID(B973,7,1)*3+MID(B973,8,1)*2+MID(B973,9,1)</f>
        <v/>
      </c>
      <c r="F973">
        <f>IF(B973="", " ", IF(LEN(B973)&lt;&gt;11, "ДЛИНА", IF(NOT(ISNUMBER(--B973)), "НЕ ЦИФРЫ", IF(LEFT(B973,9)*1&lt;=1001998, "OK", IF(RIGHT(B973,2)*1=IF(MOD(E973,101)&gt;=100,0,MOD(E973,101)),"OK","ОШИБКА")))))</f>
        <v/>
      </c>
      <c r="G97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3">
        <f>IF(LEN(TRIM(A973))=10, --MID(A973,1,1)*2+--MID(A973,2,1)*4+--MID(A973,3,1)*10+--MID(A973,4,1)*3+--MID(A973,5,1)*5+--MID(A973,6,1)*9+--MID(A973,7,1)*4+--MID(A973,8,1)*6+--MID(A973,9,1)*8, IF(LEN(TRIM(A973))=12, --MID(A973,1,1)*7+--MID(A973,2,1)*2+--MID(A973,3,1)*4+--MID(A973,4,1)*10+--MID(A973,5,1)*3+--MID(A973,6,1)*5+--MID(A973,7,1)*9+--MID(A973,8,1)*4+--MID(A973,9,1)*6+--MID(A973,10,1)*8, ""))</f>
        <v/>
      </c>
      <c r="I973">
        <f>IF(LEN(TRIM(A973))=12, --MID(A973,1,1)*3+--MID(A973,2,1)*7+--MID(A973,3,1)*2+--MID(A973,4,1)*4+--MID(A973,5,1)*10+--MID(A973,6,1)*3+--MID(A973,7,1)*5+--MID(A973,8,1)*9+--MID(A973,9,1)*4+--MID(A973,10,1)*6+--MID(A973,11,1)*8, "")</f>
        <v/>
      </c>
    </row>
    <row r="974">
      <c r="A974">
        <f>SUBSTITUTE(SUBSTITUTE(SUBSTITUTE(SUBSTITUTE(TRIM(INDEX(Реестр!$B:$B,ROW())),CHAR(160),""),CHAR(9),""),CHAR(10),""),CHAR(13),"")</f>
        <v/>
      </c>
      <c r="B974">
        <f>SUBSTITUTE(SUBSTITUTE(SUBSTITUTE(SUBSTITUTE(SUBSTITUTE(SUBSTITUTE(SUBSTITUTE(TRIM(INDEX(Реестр!$D:$D, ROW())), "-", ""), " ", ""), CHAR(160), ""), CHAR(9), ""), CHAR(10), ""), CHAR(13), ""), CHAR(32), "")</f>
        <v/>
      </c>
      <c r="C974">
        <f>INDEX(Реестр!$H:$H, ROW())</f>
        <v/>
      </c>
      <c r="D974">
        <f>IF(OR(ISBLANK(INDEX(Реестр!$B:$B, ROW())), INDEX(Реестр!$B:$B, ROW())=""), " ", IF(IFERROR(ISNUMBER(--A974),FALSE), IF(LEN(A974)=10, IF(MOD(MOD(H974,11),10)=--RIGHT(A974,1), "OK", "ОШИБКА"), IF(LEN(A974)=12, IF(AND(MOD(MOD(H974,11),10)=--MID(A974,11,1), MOD(MOD(I974,11),10)=--RIGHT(A974,1)), "OK", "ОШИБКА"), "ДЛИНА (10 или 12)")), "НЕ ЦИФРЫ"))</f>
        <v/>
      </c>
      <c r="E974">
        <f>MID(B974,1,1)*9+MID(B974,2,1)*8+MID(B974,3,1)*7+MID(B974,4,1)*6+MID(B974,5,1)*5+MID(B974,6,1)*4+MID(B974,7,1)*3+MID(B974,8,1)*2+MID(B974,9,1)</f>
        <v/>
      </c>
      <c r="F974">
        <f>IF(B974="", " ", IF(LEN(B974)&lt;&gt;11, "ДЛИНА", IF(NOT(ISNUMBER(--B974)), "НЕ ЦИФРЫ", IF(LEFT(B974,9)*1&lt;=1001998, "OK", IF(RIGHT(B974,2)*1=IF(MOD(E974,101)&gt;=100,0,MOD(E974,101)),"OK","ОШИБКА")))))</f>
        <v/>
      </c>
      <c r="G97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4">
        <f>IF(LEN(TRIM(A974))=10, --MID(A974,1,1)*2+--MID(A974,2,1)*4+--MID(A974,3,1)*10+--MID(A974,4,1)*3+--MID(A974,5,1)*5+--MID(A974,6,1)*9+--MID(A974,7,1)*4+--MID(A974,8,1)*6+--MID(A974,9,1)*8, IF(LEN(TRIM(A974))=12, --MID(A974,1,1)*7+--MID(A974,2,1)*2+--MID(A974,3,1)*4+--MID(A974,4,1)*10+--MID(A974,5,1)*3+--MID(A974,6,1)*5+--MID(A974,7,1)*9+--MID(A974,8,1)*4+--MID(A974,9,1)*6+--MID(A974,10,1)*8, ""))</f>
        <v/>
      </c>
      <c r="I974">
        <f>IF(LEN(TRIM(A974))=12, --MID(A974,1,1)*3+--MID(A974,2,1)*7+--MID(A974,3,1)*2+--MID(A974,4,1)*4+--MID(A974,5,1)*10+--MID(A974,6,1)*3+--MID(A974,7,1)*5+--MID(A974,8,1)*9+--MID(A974,9,1)*4+--MID(A974,10,1)*6+--MID(A974,11,1)*8, "")</f>
        <v/>
      </c>
    </row>
    <row r="975">
      <c r="A975">
        <f>SUBSTITUTE(SUBSTITUTE(SUBSTITUTE(SUBSTITUTE(TRIM(INDEX(Реестр!$B:$B,ROW())),CHAR(160),""),CHAR(9),""),CHAR(10),""),CHAR(13),"")</f>
        <v/>
      </c>
      <c r="B975">
        <f>SUBSTITUTE(SUBSTITUTE(SUBSTITUTE(SUBSTITUTE(SUBSTITUTE(SUBSTITUTE(SUBSTITUTE(TRIM(INDEX(Реестр!$D:$D, ROW())), "-", ""), " ", ""), CHAR(160), ""), CHAR(9), ""), CHAR(10), ""), CHAR(13), ""), CHAR(32), "")</f>
        <v/>
      </c>
      <c r="C975">
        <f>INDEX(Реестр!$H:$H, ROW())</f>
        <v/>
      </c>
      <c r="D975">
        <f>IF(OR(ISBLANK(INDEX(Реестр!$B:$B, ROW())), INDEX(Реестр!$B:$B, ROW())=""), " ", IF(IFERROR(ISNUMBER(--A975),FALSE), IF(LEN(A975)=10, IF(MOD(MOD(H975,11),10)=--RIGHT(A975,1), "OK", "ОШИБКА"), IF(LEN(A975)=12, IF(AND(MOD(MOD(H975,11),10)=--MID(A975,11,1), MOD(MOD(I975,11),10)=--RIGHT(A975,1)), "OK", "ОШИБКА"), "ДЛИНА (10 или 12)")), "НЕ ЦИФРЫ"))</f>
        <v/>
      </c>
      <c r="E975">
        <f>MID(B975,1,1)*9+MID(B975,2,1)*8+MID(B975,3,1)*7+MID(B975,4,1)*6+MID(B975,5,1)*5+MID(B975,6,1)*4+MID(B975,7,1)*3+MID(B975,8,1)*2+MID(B975,9,1)</f>
        <v/>
      </c>
      <c r="F975">
        <f>IF(B975="", " ", IF(LEN(B975)&lt;&gt;11, "ДЛИНА", IF(NOT(ISNUMBER(--B975)), "НЕ ЦИФРЫ", IF(LEFT(B975,9)*1&lt;=1001998, "OK", IF(RIGHT(B975,2)*1=IF(MOD(E975,101)&gt;=100,0,MOD(E975,101)),"OK","ОШИБКА")))))</f>
        <v/>
      </c>
      <c r="G97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5">
        <f>IF(LEN(TRIM(A975))=10, --MID(A975,1,1)*2+--MID(A975,2,1)*4+--MID(A975,3,1)*10+--MID(A975,4,1)*3+--MID(A975,5,1)*5+--MID(A975,6,1)*9+--MID(A975,7,1)*4+--MID(A975,8,1)*6+--MID(A975,9,1)*8, IF(LEN(TRIM(A975))=12, --MID(A975,1,1)*7+--MID(A975,2,1)*2+--MID(A975,3,1)*4+--MID(A975,4,1)*10+--MID(A975,5,1)*3+--MID(A975,6,1)*5+--MID(A975,7,1)*9+--MID(A975,8,1)*4+--MID(A975,9,1)*6+--MID(A975,10,1)*8, ""))</f>
        <v/>
      </c>
      <c r="I975">
        <f>IF(LEN(TRIM(A975))=12, --MID(A975,1,1)*3+--MID(A975,2,1)*7+--MID(A975,3,1)*2+--MID(A975,4,1)*4+--MID(A975,5,1)*10+--MID(A975,6,1)*3+--MID(A975,7,1)*5+--MID(A975,8,1)*9+--MID(A975,9,1)*4+--MID(A975,10,1)*6+--MID(A975,11,1)*8, "")</f>
        <v/>
      </c>
    </row>
    <row r="976">
      <c r="A976">
        <f>SUBSTITUTE(SUBSTITUTE(SUBSTITUTE(SUBSTITUTE(TRIM(INDEX(Реестр!$B:$B,ROW())),CHAR(160),""),CHAR(9),""),CHAR(10),""),CHAR(13),"")</f>
        <v/>
      </c>
      <c r="B976">
        <f>SUBSTITUTE(SUBSTITUTE(SUBSTITUTE(SUBSTITUTE(SUBSTITUTE(SUBSTITUTE(SUBSTITUTE(TRIM(INDEX(Реестр!$D:$D, ROW())), "-", ""), " ", ""), CHAR(160), ""), CHAR(9), ""), CHAR(10), ""), CHAR(13), ""), CHAR(32), "")</f>
        <v/>
      </c>
      <c r="C976">
        <f>INDEX(Реестр!$H:$H, ROW())</f>
        <v/>
      </c>
      <c r="D976">
        <f>IF(OR(ISBLANK(INDEX(Реестр!$B:$B, ROW())), INDEX(Реестр!$B:$B, ROW())=""), " ", IF(IFERROR(ISNUMBER(--A976),FALSE), IF(LEN(A976)=10, IF(MOD(MOD(H976,11),10)=--RIGHT(A976,1), "OK", "ОШИБКА"), IF(LEN(A976)=12, IF(AND(MOD(MOD(H976,11),10)=--MID(A976,11,1), MOD(MOD(I976,11),10)=--RIGHT(A976,1)), "OK", "ОШИБКА"), "ДЛИНА (10 или 12)")), "НЕ ЦИФРЫ"))</f>
        <v/>
      </c>
      <c r="E976">
        <f>MID(B976,1,1)*9+MID(B976,2,1)*8+MID(B976,3,1)*7+MID(B976,4,1)*6+MID(B976,5,1)*5+MID(B976,6,1)*4+MID(B976,7,1)*3+MID(B976,8,1)*2+MID(B976,9,1)</f>
        <v/>
      </c>
      <c r="F976">
        <f>IF(B976="", " ", IF(LEN(B976)&lt;&gt;11, "ДЛИНА", IF(NOT(ISNUMBER(--B976)), "НЕ ЦИФРЫ", IF(LEFT(B976,9)*1&lt;=1001998, "OK", IF(RIGHT(B976,2)*1=IF(MOD(E976,101)&gt;=100,0,MOD(E976,101)),"OK","ОШИБКА")))))</f>
        <v/>
      </c>
      <c r="G97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6">
        <f>IF(LEN(TRIM(A976))=10, --MID(A976,1,1)*2+--MID(A976,2,1)*4+--MID(A976,3,1)*10+--MID(A976,4,1)*3+--MID(A976,5,1)*5+--MID(A976,6,1)*9+--MID(A976,7,1)*4+--MID(A976,8,1)*6+--MID(A976,9,1)*8, IF(LEN(TRIM(A976))=12, --MID(A976,1,1)*7+--MID(A976,2,1)*2+--MID(A976,3,1)*4+--MID(A976,4,1)*10+--MID(A976,5,1)*3+--MID(A976,6,1)*5+--MID(A976,7,1)*9+--MID(A976,8,1)*4+--MID(A976,9,1)*6+--MID(A976,10,1)*8, ""))</f>
        <v/>
      </c>
      <c r="I976">
        <f>IF(LEN(TRIM(A976))=12, --MID(A976,1,1)*3+--MID(A976,2,1)*7+--MID(A976,3,1)*2+--MID(A976,4,1)*4+--MID(A976,5,1)*10+--MID(A976,6,1)*3+--MID(A976,7,1)*5+--MID(A976,8,1)*9+--MID(A976,9,1)*4+--MID(A976,10,1)*6+--MID(A976,11,1)*8, "")</f>
        <v/>
      </c>
    </row>
    <row r="977">
      <c r="A977">
        <f>SUBSTITUTE(SUBSTITUTE(SUBSTITUTE(SUBSTITUTE(TRIM(INDEX(Реестр!$B:$B,ROW())),CHAR(160),""),CHAR(9),""),CHAR(10),""),CHAR(13),"")</f>
        <v/>
      </c>
      <c r="B977">
        <f>SUBSTITUTE(SUBSTITUTE(SUBSTITUTE(SUBSTITUTE(SUBSTITUTE(SUBSTITUTE(SUBSTITUTE(TRIM(INDEX(Реестр!$D:$D, ROW())), "-", ""), " ", ""), CHAR(160), ""), CHAR(9), ""), CHAR(10), ""), CHAR(13), ""), CHAR(32), "")</f>
        <v/>
      </c>
      <c r="C977">
        <f>INDEX(Реестр!$H:$H, ROW())</f>
        <v/>
      </c>
      <c r="D977">
        <f>IF(OR(ISBLANK(INDEX(Реестр!$B:$B, ROW())), INDEX(Реестр!$B:$B, ROW())=""), " ", IF(IFERROR(ISNUMBER(--A977),FALSE), IF(LEN(A977)=10, IF(MOD(MOD(H977,11),10)=--RIGHT(A977,1), "OK", "ОШИБКА"), IF(LEN(A977)=12, IF(AND(MOD(MOD(H977,11),10)=--MID(A977,11,1), MOD(MOD(I977,11),10)=--RIGHT(A977,1)), "OK", "ОШИБКА"), "ДЛИНА (10 или 12)")), "НЕ ЦИФРЫ"))</f>
        <v/>
      </c>
      <c r="E977">
        <f>MID(B977,1,1)*9+MID(B977,2,1)*8+MID(B977,3,1)*7+MID(B977,4,1)*6+MID(B977,5,1)*5+MID(B977,6,1)*4+MID(B977,7,1)*3+MID(B977,8,1)*2+MID(B977,9,1)</f>
        <v/>
      </c>
      <c r="F977">
        <f>IF(B977="", " ", IF(LEN(B977)&lt;&gt;11, "ДЛИНА", IF(NOT(ISNUMBER(--B977)), "НЕ ЦИФРЫ", IF(LEFT(B977,9)*1&lt;=1001998, "OK", IF(RIGHT(B977,2)*1=IF(MOD(E977,101)&gt;=100,0,MOD(E977,101)),"OK","ОШИБКА")))))</f>
        <v/>
      </c>
      <c r="G97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7">
        <f>IF(LEN(TRIM(A977))=10, --MID(A977,1,1)*2+--MID(A977,2,1)*4+--MID(A977,3,1)*10+--MID(A977,4,1)*3+--MID(A977,5,1)*5+--MID(A977,6,1)*9+--MID(A977,7,1)*4+--MID(A977,8,1)*6+--MID(A977,9,1)*8, IF(LEN(TRIM(A977))=12, --MID(A977,1,1)*7+--MID(A977,2,1)*2+--MID(A977,3,1)*4+--MID(A977,4,1)*10+--MID(A977,5,1)*3+--MID(A977,6,1)*5+--MID(A977,7,1)*9+--MID(A977,8,1)*4+--MID(A977,9,1)*6+--MID(A977,10,1)*8, ""))</f>
        <v/>
      </c>
      <c r="I977">
        <f>IF(LEN(TRIM(A977))=12, --MID(A977,1,1)*3+--MID(A977,2,1)*7+--MID(A977,3,1)*2+--MID(A977,4,1)*4+--MID(A977,5,1)*10+--MID(A977,6,1)*3+--MID(A977,7,1)*5+--MID(A977,8,1)*9+--MID(A977,9,1)*4+--MID(A977,10,1)*6+--MID(A977,11,1)*8, "")</f>
        <v/>
      </c>
    </row>
    <row r="978">
      <c r="A978">
        <f>SUBSTITUTE(SUBSTITUTE(SUBSTITUTE(SUBSTITUTE(TRIM(INDEX(Реестр!$B:$B,ROW())),CHAR(160),""),CHAR(9),""),CHAR(10),""),CHAR(13),"")</f>
        <v/>
      </c>
      <c r="B978">
        <f>SUBSTITUTE(SUBSTITUTE(SUBSTITUTE(SUBSTITUTE(SUBSTITUTE(SUBSTITUTE(SUBSTITUTE(TRIM(INDEX(Реестр!$D:$D, ROW())), "-", ""), " ", ""), CHAR(160), ""), CHAR(9), ""), CHAR(10), ""), CHAR(13), ""), CHAR(32), "")</f>
        <v/>
      </c>
      <c r="C978">
        <f>INDEX(Реестр!$H:$H, ROW())</f>
        <v/>
      </c>
      <c r="D978">
        <f>IF(OR(ISBLANK(INDEX(Реестр!$B:$B, ROW())), INDEX(Реестр!$B:$B, ROW())=""), " ", IF(IFERROR(ISNUMBER(--A978),FALSE), IF(LEN(A978)=10, IF(MOD(MOD(H978,11),10)=--RIGHT(A978,1), "OK", "ОШИБКА"), IF(LEN(A978)=12, IF(AND(MOD(MOD(H978,11),10)=--MID(A978,11,1), MOD(MOD(I978,11),10)=--RIGHT(A978,1)), "OK", "ОШИБКА"), "ДЛИНА (10 или 12)")), "НЕ ЦИФРЫ"))</f>
        <v/>
      </c>
      <c r="E978">
        <f>MID(B978,1,1)*9+MID(B978,2,1)*8+MID(B978,3,1)*7+MID(B978,4,1)*6+MID(B978,5,1)*5+MID(B978,6,1)*4+MID(B978,7,1)*3+MID(B978,8,1)*2+MID(B978,9,1)</f>
        <v/>
      </c>
      <c r="F978">
        <f>IF(B978="", " ", IF(LEN(B978)&lt;&gt;11, "ДЛИНА", IF(NOT(ISNUMBER(--B978)), "НЕ ЦИФРЫ", IF(LEFT(B978,9)*1&lt;=1001998, "OK", IF(RIGHT(B978,2)*1=IF(MOD(E978,101)&gt;=100,0,MOD(E978,101)),"OK","ОШИБКА")))))</f>
        <v/>
      </c>
      <c r="G97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8">
        <f>IF(LEN(TRIM(A978))=10, --MID(A978,1,1)*2+--MID(A978,2,1)*4+--MID(A978,3,1)*10+--MID(A978,4,1)*3+--MID(A978,5,1)*5+--MID(A978,6,1)*9+--MID(A978,7,1)*4+--MID(A978,8,1)*6+--MID(A978,9,1)*8, IF(LEN(TRIM(A978))=12, --MID(A978,1,1)*7+--MID(A978,2,1)*2+--MID(A978,3,1)*4+--MID(A978,4,1)*10+--MID(A978,5,1)*3+--MID(A978,6,1)*5+--MID(A978,7,1)*9+--MID(A978,8,1)*4+--MID(A978,9,1)*6+--MID(A978,10,1)*8, ""))</f>
        <v/>
      </c>
      <c r="I978">
        <f>IF(LEN(TRIM(A978))=12, --MID(A978,1,1)*3+--MID(A978,2,1)*7+--MID(A978,3,1)*2+--MID(A978,4,1)*4+--MID(A978,5,1)*10+--MID(A978,6,1)*3+--MID(A978,7,1)*5+--MID(A978,8,1)*9+--MID(A978,9,1)*4+--MID(A978,10,1)*6+--MID(A978,11,1)*8, "")</f>
        <v/>
      </c>
    </row>
    <row r="979">
      <c r="A979">
        <f>SUBSTITUTE(SUBSTITUTE(SUBSTITUTE(SUBSTITUTE(TRIM(INDEX(Реестр!$B:$B,ROW())),CHAR(160),""),CHAR(9),""),CHAR(10),""),CHAR(13),"")</f>
        <v/>
      </c>
      <c r="B979">
        <f>SUBSTITUTE(SUBSTITUTE(SUBSTITUTE(SUBSTITUTE(SUBSTITUTE(SUBSTITUTE(SUBSTITUTE(TRIM(INDEX(Реестр!$D:$D, ROW())), "-", ""), " ", ""), CHAR(160), ""), CHAR(9), ""), CHAR(10), ""), CHAR(13), ""), CHAR(32), "")</f>
        <v/>
      </c>
      <c r="C979">
        <f>INDEX(Реестр!$H:$H, ROW())</f>
        <v/>
      </c>
      <c r="D979">
        <f>IF(OR(ISBLANK(INDEX(Реестр!$B:$B, ROW())), INDEX(Реестр!$B:$B, ROW())=""), " ", IF(IFERROR(ISNUMBER(--A979),FALSE), IF(LEN(A979)=10, IF(MOD(MOD(H979,11),10)=--RIGHT(A979,1), "OK", "ОШИБКА"), IF(LEN(A979)=12, IF(AND(MOD(MOD(H979,11),10)=--MID(A979,11,1), MOD(MOD(I979,11),10)=--RIGHT(A979,1)), "OK", "ОШИБКА"), "ДЛИНА (10 или 12)")), "НЕ ЦИФРЫ"))</f>
        <v/>
      </c>
      <c r="E979">
        <f>MID(B979,1,1)*9+MID(B979,2,1)*8+MID(B979,3,1)*7+MID(B979,4,1)*6+MID(B979,5,1)*5+MID(B979,6,1)*4+MID(B979,7,1)*3+MID(B979,8,1)*2+MID(B979,9,1)</f>
        <v/>
      </c>
      <c r="F979">
        <f>IF(B979="", " ", IF(LEN(B979)&lt;&gt;11, "ДЛИНА", IF(NOT(ISNUMBER(--B979)), "НЕ ЦИФРЫ", IF(LEFT(B979,9)*1&lt;=1001998, "OK", IF(RIGHT(B979,2)*1=IF(MOD(E979,101)&gt;=100,0,MOD(E979,101)),"OK","ОШИБКА")))))</f>
        <v/>
      </c>
      <c r="G97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79">
        <f>IF(LEN(TRIM(A979))=10, --MID(A979,1,1)*2+--MID(A979,2,1)*4+--MID(A979,3,1)*10+--MID(A979,4,1)*3+--MID(A979,5,1)*5+--MID(A979,6,1)*9+--MID(A979,7,1)*4+--MID(A979,8,1)*6+--MID(A979,9,1)*8, IF(LEN(TRIM(A979))=12, --MID(A979,1,1)*7+--MID(A979,2,1)*2+--MID(A979,3,1)*4+--MID(A979,4,1)*10+--MID(A979,5,1)*3+--MID(A979,6,1)*5+--MID(A979,7,1)*9+--MID(A979,8,1)*4+--MID(A979,9,1)*6+--MID(A979,10,1)*8, ""))</f>
        <v/>
      </c>
      <c r="I979">
        <f>IF(LEN(TRIM(A979))=12, --MID(A979,1,1)*3+--MID(A979,2,1)*7+--MID(A979,3,1)*2+--MID(A979,4,1)*4+--MID(A979,5,1)*10+--MID(A979,6,1)*3+--MID(A979,7,1)*5+--MID(A979,8,1)*9+--MID(A979,9,1)*4+--MID(A979,10,1)*6+--MID(A979,11,1)*8, "")</f>
        <v/>
      </c>
    </row>
    <row r="980">
      <c r="A980">
        <f>SUBSTITUTE(SUBSTITUTE(SUBSTITUTE(SUBSTITUTE(TRIM(INDEX(Реестр!$B:$B,ROW())),CHAR(160),""),CHAR(9),""),CHAR(10),""),CHAR(13),"")</f>
        <v/>
      </c>
      <c r="B980">
        <f>SUBSTITUTE(SUBSTITUTE(SUBSTITUTE(SUBSTITUTE(SUBSTITUTE(SUBSTITUTE(SUBSTITUTE(TRIM(INDEX(Реестр!$D:$D, ROW())), "-", ""), " ", ""), CHAR(160), ""), CHAR(9), ""), CHAR(10), ""), CHAR(13), ""), CHAR(32), "")</f>
        <v/>
      </c>
      <c r="C980">
        <f>INDEX(Реестр!$H:$H, ROW())</f>
        <v/>
      </c>
      <c r="D980">
        <f>IF(OR(ISBLANK(INDEX(Реестр!$B:$B, ROW())), INDEX(Реестр!$B:$B, ROW())=""), " ", IF(IFERROR(ISNUMBER(--A980),FALSE), IF(LEN(A980)=10, IF(MOD(MOD(H980,11),10)=--RIGHT(A980,1), "OK", "ОШИБКА"), IF(LEN(A980)=12, IF(AND(MOD(MOD(H980,11),10)=--MID(A980,11,1), MOD(MOD(I980,11),10)=--RIGHT(A980,1)), "OK", "ОШИБКА"), "ДЛИНА (10 или 12)")), "НЕ ЦИФРЫ"))</f>
        <v/>
      </c>
      <c r="E980">
        <f>MID(B980,1,1)*9+MID(B980,2,1)*8+MID(B980,3,1)*7+MID(B980,4,1)*6+MID(B980,5,1)*5+MID(B980,6,1)*4+MID(B980,7,1)*3+MID(B980,8,1)*2+MID(B980,9,1)</f>
        <v/>
      </c>
      <c r="F980">
        <f>IF(B980="", " ", IF(LEN(B980)&lt;&gt;11, "ДЛИНА", IF(NOT(ISNUMBER(--B980)), "НЕ ЦИФРЫ", IF(LEFT(B980,9)*1&lt;=1001998, "OK", IF(RIGHT(B980,2)*1=IF(MOD(E980,101)&gt;=100,0,MOD(E980,101)),"OK","ОШИБКА")))))</f>
        <v/>
      </c>
      <c r="G98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0">
        <f>IF(LEN(TRIM(A980))=10, --MID(A980,1,1)*2+--MID(A980,2,1)*4+--MID(A980,3,1)*10+--MID(A980,4,1)*3+--MID(A980,5,1)*5+--MID(A980,6,1)*9+--MID(A980,7,1)*4+--MID(A980,8,1)*6+--MID(A980,9,1)*8, IF(LEN(TRIM(A980))=12, --MID(A980,1,1)*7+--MID(A980,2,1)*2+--MID(A980,3,1)*4+--MID(A980,4,1)*10+--MID(A980,5,1)*3+--MID(A980,6,1)*5+--MID(A980,7,1)*9+--MID(A980,8,1)*4+--MID(A980,9,1)*6+--MID(A980,10,1)*8, ""))</f>
        <v/>
      </c>
      <c r="I980">
        <f>IF(LEN(TRIM(A980))=12, --MID(A980,1,1)*3+--MID(A980,2,1)*7+--MID(A980,3,1)*2+--MID(A980,4,1)*4+--MID(A980,5,1)*10+--MID(A980,6,1)*3+--MID(A980,7,1)*5+--MID(A980,8,1)*9+--MID(A980,9,1)*4+--MID(A980,10,1)*6+--MID(A980,11,1)*8, "")</f>
        <v/>
      </c>
    </row>
    <row r="981">
      <c r="A981">
        <f>SUBSTITUTE(SUBSTITUTE(SUBSTITUTE(SUBSTITUTE(TRIM(INDEX(Реестр!$B:$B,ROW())),CHAR(160),""),CHAR(9),""),CHAR(10),""),CHAR(13),"")</f>
        <v/>
      </c>
      <c r="B981">
        <f>SUBSTITUTE(SUBSTITUTE(SUBSTITUTE(SUBSTITUTE(SUBSTITUTE(SUBSTITUTE(SUBSTITUTE(TRIM(INDEX(Реестр!$D:$D, ROW())), "-", ""), " ", ""), CHAR(160), ""), CHAR(9), ""), CHAR(10), ""), CHAR(13), ""), CHAR(32), "")</f>
        <v/>
      </c>
      <c r="C981">
        <f>INDEX(Реестр!$H:$H, ROW())</f>
        <v/>
      </c>
      <c r="D981">
        <f>IF(OR(ISBLANK(INDEX(Реестр!$B:$B, ROW())), INDEX(Реестр!$B:$B, ROW())=""), " ", IF(IFERROR(ISNUMBER(--A981),FALSE), IF(LEN(A981)=10, IF(MOD(MOD(H981,11),10)=--RIGHT(A981,1), "OK", "ОШИБКА"), IF(LEN(A981)=12, IF(AND(MOD(MOD(H981,11),10)=--MID(A981,11,1), MOD(MOD(I981,11),10)=--RIGHT(A981,1)), "OK", "ОШИБКА"), "ДЛИНА (10 или 12)")), "НЕ ЦИФРЫ"))</f>
        <v/>
      </c>
      <c r="E981">
        <f>MID(B981,1,1)*9+MID(B981,2,1)*8+MID(B981,3,1)*7+MID(B981,4,1)*6+MID(B981,5,1)*5+MID(B981,6,1)*4+MID(B981,7,1)*3+MID(B981,8,1)*2+MID(B981,9,1)</f>
        <v/>
      </c>
      <c r="F981">
        <f>IF(B981="", " ", IF(LEN(B981)&lt;&gt;11, "ДЛИНА", IF(NOT(ISNUMBER(--B981)), "НЕ ЦИФРЫ", IF(LEFT(B981,9)*1&lt;=1001998, "OK", IF(RIGHT(B981,2)*1=IF(MOD(E981,101)&gt;=100,0,MOD(E981,101)),"OK","ОШИБКА")))))</f>
        <v/>
      </c>
      <c r="G98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1">
        <f>IF(LEN(TRIM(A981))=10, --MID(A981,1,1)*2+--MID(A981,2,1)*4+--MID(A981,3,1)*10+--MID(A981,4,1)*3+--MID(A981,5,1)*5+--MID(A981,6,1)*9+--MID(A981,7,1)*4+--MID(A981,8,1)*6+--MID(A981,9,1)*8, IF(LEN(TRIM(A981))=12, --MID(A981,1,1)*7+--MID(A981,2,1)*2+--MID(A981,3,1)*4+--MID(A981,4,1)*10+--MID(A981,5,1)*3+--MID(A981,6,1)*5+--MID(A981,7,1)*9+--MID(A981,8,1)*4+--MID(A981,9,1)*6+--MID(A981,10,1)*8, ""))</f>
        <v/>
      </c>
      <c r="I981">
        <f>IF(LEN(TRIM(A981))=12, --MID(A981,1,1)*3+--MID(A981,2,1)*7+--MID(A981,3,1)*2+--MID(A981,4,1)*4+--MID(A981,5,1)*10+--MID(A981,6,1)*3+--MID(A981,7,1)*5+--MID(A981,8,1)*9+--MID(A981,9,1)*4+--MID(A981,10,1)*6+--MID(A981,11,1)*8, "")</f>
        <v/>
      </c>
    </row>
    <row r="982">
      <c r="A982">
        <f>SUBSTITUTE(SUBSTITUTE(SUBSTITUTE(SUBSTITUTE(TRIM(INDEX(Реестр!$B:$B,ROW())),CHAR(160),""),CHAR(9),""),CHAR(10),""),CHAR(13),"")</f>
        <v/>
      </c>
      <c r="B982">
        <f>SUBSTITUTE(SUBSTITUTE(SUBSTITUTE(SUBSTITUTE(SUBSTITUTE(SUBSTITUTE(SUBSTITUTE(TRIM(INDEX(Реестр!$D:$D, ROW())), "-", ""), " ", ""), CHAR(160), ""), CHAR(9), ""), CHAR(10), ""), CHAR(13), ""), CHAR(32), "")</f>
        <v/>
      </c>
      <c r="C982">
        <f>INDEX(Реестр!$H:$H, ROW())</f>
        <v/>
      </c>
      <c r="D982">
        <f>IF(OR(ISBLANK(INDEX(Реестр!$B:$B, ROW())), INDEX(Реестр!$B:$B, ROW())=""), " ", IF(IFERROR(ISNUMBER(--A982),FALSE), IF(LEN(A982)=10, IF(MOD(MOD(H982,11),10)=--RIGHT(A982,1), "OK", "ОШИБКА"), IF(LEN(A982)=12, IF(AND(MOD(MOD(H982,11),10)=--MID(A982,11,1), MOD(MOD(I982,11),10)=--RIGHT(A982,1)), "OK", "ОШИБКА"), "ДЛИНА (10 или 12)")), "НЕ ЦИФРЫ"))</f>
        <v/>
      </c>
      <c r="E982">
        <f>MID(B982,1,1)*9+MID(B982,2,1)*8+MID(B982,3,1)*7+MID(B982,4,1)*6+MID(B982,5,1)*5+MID(B982,6,1)*4+MID(B982,7,1)*3+MID(B982,8,1)*2+MID(B982,9,1)</f>
        <v/>
      </c>
      <c r="F982">
        <f>IF(B982="", " ", IF(LEN(B982)&lt;&gt;11, "ДЛИНА", IF(NOT(ISNUMBER(--B982)), "НЕ ЦИФРЫ", IF(LEFT(B982,9)*1&lt;=1001998, "OK", IF(RIGHT(B982,2)*1=IF(MOD(E982,101)&gt;=100,0,MOD(E982,101)),"OK","ОШИБКА")))))</f>
        <v/>
      </c>
      <c r="G98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2">
        <f>IF(LEN(TRIM(A982))=10, --MID(A982,1,1)*2+--MID(A982,2,1)*4+--MID(A982,3,1)*10+--MID(A982,4,1)*3+--MID(A982,5,1)*5+--MID(A982,6,1)*9+--MID(A982,7,1)*4+--MID(A982,8,1)*6+--MID(A982,9,1)*8, IF(LEN(TRIM(A982))=12, --MID(A982,1,1)*7+--MID(A982,2,1)*2+--MID(A982,3,1)*4+--MID(A982,4,1)*10+--MID(A982,5,1)*3+--MID(A982,6,1)*5+--MID(A982,7,1)*9+--MID(A982,8,1)*4+--MID(A982,9,1)*6+--MID(A982,10,1)*8, ""))</f>
        <v/>
      </c>
      <c r="I982">
        <f>IF(LEN(TRIM(A982))=12, --MID(A982,1,1)*3+--MID(A982,2,1)*7+--MID(A982,3,1)*2+--MID(A982,4,1)*4+--MID(A982,5,1)*10+--MID(A982,6,1)*3+--MID(A982,7,1)*5+--MID(A982,8,1)*9+--MID(A982,9,1)*4+--MID(A982,10,1)*6+--MID(A982,11,1)*8, "")</f>
        <v/>
      </c>
    </row>
    <row r="983">
      <c r="A983">
        <f>SUBSTITUTE(SUBSTITUTE(SUBSTITUTE(SUBSTITUTE(TRIM(INDEX(Реестр!$B:$B,ROW())),CHAR(160),""),CHAR(9),""),CHAR(10),""),CHAR(13),"")</f>
        <v/>
      </c>
      <c r="B983">
        <f>SUBSTITUTE(SUBSTITUTE(SUBSTITUTE(SUBSTITUTE(SUBSTITUTE(SUBSTITUTE(SUBSTITUTE(TRIM(INDEX(Реестр!$D:$D, ROW())), "-", ""), " ", ""), CHAR(160), ""), CHAR(9), ""), CHAR(10), ""), CHAR(13), ""), CHAR(32), "")</f>
        <v/>
      </c>
      <c r="C983">
        <f>INDEX(Реестр!$H:$H, ROW())</f>
        <v/>
      </c>
      <c r="D983">
        <f>IF(OR(ISBLANK(INDEX(Реестр!$B:$B, ROW())), INDEX(Реестр!$B:$B, ROW())=""), " ", IF(IFERROR(ISNUMBER(--A983),FALSE), IF(LEN(A983)=10, IF(MOD(MOD(H983,11),10)=--RIGHT(A983,1), "OK", "ОШИБКА"), IF(LEN(A983)=12, IF(AND(MOD(MOD(H983,11),10)=--MID(A983,11,1), MOD(MOD(I983,11),10)=--RIGHT(A983,1)), "OK", "ОШИБКА"), "ДЛИНА (10 или 12)")), "НЕ ЦИФРЫ"))</f>
        <v/>
      </c>
      <c r="E983">
        <f>MID(B983,1,1)*9+MID(B983,2,1)*8+MID(B983,3,1)*7+MID(B983,4,1)*6+MID(B983,5,1)*5+MID(B983,6,1)*4+MID(B983,7,1)*3+MID(B983,8,1)*2+MID(B983,9,1)</f>
        <v/>
      </c>
      <c r="F983">
        <f>IF(B983="", " ", IF(LEN(B983)&lt;&gt;11, "ДЛИНА", IF(NOT(ISNUMBER(--B983)), "НЕ ЦИФРЫ", IF(LEFT(B983,9)*1&lt;=1001998, "OK", IF(RIGHT(B983,2)*1=IF(MOD(E983,101)&gt;=100,0,MOD(E983,101)),"OK","ОШИБКА")))))</f>
        <v/>
      </c>
      <c r="G98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3">
        <f>IF(LEN(TRIM(A983))=10, --MID(A983,1,1)*2+--MID(A983,2,1)*4+--MID(A983,3,1)*10+--MID(A983,4,1)*3+--MID(A983,5,1)*5+--MID(A983,6,1)*9+--MID(A983,7,1)*4+--MID(A983,8,1)*6+--MID(A983,9,1)*8, IF(LEN(TRIM(A983))=12, --MID(A983,1,1)*7+--MID(A983,2,1)*2+--MID(A983,3,1)*4+--MID(A983,4,1)*10+--MID(A983,5,1)*3+--MID(A983,6,1)*5+--MID(A983,7,1)*9+--MID(A983,8,1)*4+--MID(A983,9,1)*6+--MID(A983,10,1)*8, ""))</f>
        <v/>
      </c>
      <c r="I983">
        <f>IF(LEN(TRIM(A983))=12, --MID(A983,1,1)*3+--MID(A983,2,1)*7+--MID(A983,3,1)*2+--MID(A983,4,1)*4+--MID(A983,5,1)*10+--MID(A983,6,1)*3+--MID(A983,7,1)*5+--MID(A983,8,1)*9+--MID(A983,9,1)*4+--MID(A983,10,1)*6+--MID(A983,11,1)*8, "")</f>
        <v/>
      </c>
    </row>
    <row r="984">
      <c r="A984">
        <f>SUBSTITUTE(SUBSTITUTE(SUBSTITUTE(SUBSTITUTE(TRIM(INDEX(Реестр!$B:$B,ROW())),CHAR(160),""),CHAR(9),""),CHAR(10),""),CHAR(13),"")</f>
        <v/>
      </c>
      <c r="B984">
        <f>SUBSTITUTE(SUBSTITUTE(SUBSTITUTE(SUBSTITUTE(SUBSTITUTE(SUBSTITUTE(SUBSTITUTE(TRIM(INDEX(Реестр!$D:$D, ROW())), "-", ""), " ", ""), CHAR(160), ""), CHAR(9), ""), CHAR(10), ""), CHAR(13), ""), CHAR(32), "")</f>
        <v/>
      </c>
      <c r="C984">
        <f>INDEX(Реестр!$H:$H, ROW())</f>
        <v/>
      </c>
      <c r="D984">
        <f>IF(OR(ISBLANK(INDEX(Реестр!$B:$B, ROW())), INDEX(Реестр!$B:$B, ROW())=""), " ", IF(IFERROR(ISNUMBER(--A984),FALSE), IF(LEN(A984)=10, IF(MOD(MOD(H984,11),10)=--RIGHT(A984,1), "OK", "ОШИБКА"), IF(LEN(A984)=12, IF(AND(MOD(MOD(H984,11),10)=--MID(A984,11,1), MOD(MOD(I984,11),10)=--RIGHT(A984,1)), "OK", "ОШИБКА"), "ДЛИНА (10 или 12)")), "НЕ ЦИФРЫ"))</f>
        <v/>
      </c>
      <c r="E984">
        <f>MID(B984,1,1)*9+MID(B984,2,1)*8+MID(B984,3,1)*7+MID(B984,4,1)*6+MID(B984,5,1)*5+MID(B984,6,1)*4+MID(B984,7,1)*3+MID(B984,8,1)*2+MID(B984,9,1)</f>
        <v/>
      </c>
      <c r="F984">
        <f>IF(B984="", " ", IF(LEN(B984)&lt;&gt;11, "ДЛИНА", IF(NOT(ISNUMBER(--B984)), "НЕ ЦИФРЫ", IF(LEFT(B984,9)*1&lt;=1001998, "OK", IF(RIGHT(B984,2)*1=IF(MOD(E984,101)&gt;=100,0,MOD(E984,101)),"OK","ОШИБКА")))))</f>
        <v/>
      </c>
      <c r="G98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4">
        <f>IF(LEN(TRIM(A984))=10, --MID(A984,1,1)*2+--MID(A984,2,1)*4+--MID(A984,3,1)*10+--MID(A984,4,1)*3+--MID(A984,5,1)*5+--MID(A984,6,1)*9+--MID(A984,7,1)*4+--MID(A984,8,1)*6+--MID(A984,9,1)*8, IF(LEN(TRIM(A984))=12, --MID(A984,1,1)*7+--MID(A984,2,1)*2+--MID(A984,3,1)*4+--MID(A984,4,1)*10+--MID(A984,5,1)*3+--MID(A984,6,1)*5+--MID(A984,7,1)*9+--MID(A984,8,1)*4+--MID(A984,9,1)*6+--MID(A984,10,1)*8, ""))</f>
        <v/>
      </c>
      <c r="I984">
        <f>IF(LEN(TRIM(A984))=12, --MID(A984,1,1)*3+--MID(A984,2,1)*7+--MID(A984,3,1)*2+--MID(A984,4,1)*4+--MID(A984,5,1)*10+--MID(A984,6,1)*3+--MID(A984,7,1)*5+--MID(A984,8,1)*9+--MID(A984,9,1)*4+--MID(A984,10,1)*6+--MID(A984,11,1)*8, "")</f>
        <v/>
      </c>
    </row>
    <row r="985">
      <c r="A985">
        <f>SUBSTITUTE(SUBSTITUTE(SUBSTITUTE(SUBSTITUTE(TRIM(INDEX(Реестр!$B:$B,ROW())),CHAR(160),""),CHAR(9),""),CHAR(10),""),CHAR(13),"")</f>
        <v/>
      </c>
      <c r="B985">
        <f>SUBSTITUTE(SUBSTITUTE(SUBSTITUTE(SUBSTITUTE(SUBSTITUTE(SUBSTITUTE(SUBSTITUTE(TRIM(INDEX(Реестр!$D:$D, ROW())), "-", ""), " ", ""), CHAR(160), ""), CHAR(9), ""), CHAR(10), ""), CHAR(13), ""), CHAR(32), "")</f>
        <v/>
      </c>
      <c r="C985">
        <f>INDEX(Реестр!$H:$H, ROW())</f>
        <v/>
      </c>
      <c r="D985">
        <f>IF(OR(ISBLANK(INDEX(Реестр!$B:$B, ROW())), INDEX(Реестр!$B:$B, ROW())=""), " ", IF(IFERROR(ISNUMBER(--A985),FALSE), IF(LEN(A985)=10, IF(MOD(MOD(H985,11),10)=--RIGHT(A985,1), "OK", "ОШИБКА"), IF(LEN(A985)=12, IF(AND(MOD(MOD(H985,11),10)=--MID(A985,11,1), MOD(MOD(I985,11),10)=--RIGHT(A985,1)), "OK", "ОШИБКА"), "ДЛИНА (10 или 12)")), "НЕ ЦИФРЫ"))</f>
        <v/>
      </c>
      <c r="E985">
        <f>MID(B985,1,1)*9+MID(B985,2,1)*8+MID(B985,3,1)*7+MID(B985,4,1)*6+MID(B985,5,1)*5+MID(B985,6,1)*4+MID(B985,7,1)*3+MID(B985,8,1)*2+MID(B985,9,1)</f>
        <v/>
      </c>
      <c r="F985">
        <f>IF(B985="", " ", IF(LEN(B985)&lt;&gt;11, "ДЛИНА", IF(NOT(ISNUMBER(--B985)), "НЕ ЦИФРЫ", IF(LEFT(B985,9)*1&lt;=1001998, "OK", IF(RIGHT(B985,2)*1=IF(MOD(E985,101)&gt;=100,0,MOD(E985,101)),"OK","ОШИБКА")))))</f>
        <v/>
      </c>
      <c r="G98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5">
        <f>IF(LEN(TRIM(A985))=10, --MID(A985,1,1)*2+--MID(A985,2,1)*4+--MID(A985,3,1)*10+--MID(A985,4,1)*3+--MID(A985,5,1)*5+--MID(A985,6,1)*9+--MID(A985,7,1)*4+--MID(A985,8,1)*6+--MID(A985,9,1)*8, IF(LEN(TRIM(A985))=12, --MID(A985,1,1)*7+--MID(A985,2,1)*2+--MID(A985,3,1)*4+--MID(A985,4,1)*10+--MID(A985,5,1)*3+--MID(A985,6,1)*5+--MID(A985,7,1)*9+--MID(A985,8,1)*4+--MID(A985,9,1)*6+--MID(A985,10,1)*8, ""))</f>
        <v/>
      </c>
      <c r="I985">
        <f>IF(LEN(TRIM(A985))=12, --MID(A985,1,1)*3+--MID(A985,2,1)*7+--MID(A985,3,1)*2+--MID(A985,4,1)*4+--MID(A985,5,1)*10+--MID(A985,6,1)*3+--MID(A985,7,1)*5+--MID(A985,8,1)*9+--MID(A985,9,1)*4+--MID(A985,10,1)*6+--MID(A985,11,1)*8, "")</f>
        <v/>
      </c>
    </row>
    <row r="986">
      <c r="A986">
        <f>SUBSTITUTE(SUBSTITUTE(SUBSTITUTE(SUBSTITUTE(TRIM(INDEX(Реестр!$B:$B,ROW())),CHAR(160),""),CHAR(9),""),CHAR(10),""),CHAR(13),"")</f>
        <v/>
      </c>
      <c r="B986">
        <f>SUBSTITUTE(SUBSTITUTE(SUBSTITUTE(SUBSTITUTE(SUBSTITUTE(SUBSTITUTE(SUBSTITUTE(TRIM(INDEX(Реестр!$D:$D, ROW())), "-", ""), " ", ""), CHAR(160), ""), CHAR(9), ""), CHAR(10), ""), CHAR(13), ""), CHAR(32), "")</f>
        <v/>
      </c>
      <c r="C986">
        <f>INDEX(Реестр!$H:$H, ROW())</f>
        <v/>
      </c>
      <c r="D986">
        <f>IF(OR(ISBLANK(INDEX(Реестр!$B:$B, ROW())), INDEX(Реестр!$B:$B, ROW())=""), " ", IF(IFERROR(ISNUMBER(--A986),FALSE), IF(LEN(A986)=10, IF(MOD(MOD(H986,11),10)=--RIGHT(A986,1), "OK", "ОШИБКА"), IF(LEN(A986)=12, IF(AND(MOD(MOD(H986,11),10)=--MID(A986,11,1), MOD(MOD(I986,11),10)=--RIGHT(A986,1)), "OK", "ОШИБКА"), "ДЛИНА (10 или 12)")), "НЕ ЦИФРЫ"))</f>
        <v/>
      </c>
      <c r="E986">
        <f>MID(B986,1,1)*9+MID(B986,2,1)*8+MID(B986,3,1)*7+MID(B986,4,1)*6+MID(B986,5,1)*5+MID(B986,6,1)*4+MID(B986,7,1)*3+MID(B986,8,1)*2+MID(B986,9,1)</f>
        <v/>
      </c>
      <c r="F986">
        <f>IF(B986="", " ", IF(LEN(B986)&lt;&gt;11, "ДЛИНА", IF(NOT(ISNUMBER(--B986)), "НЕ ЦИФРЫ", IF(LEFT(B986,9)*1&lt;=1001998, "OK", IF(RIGHT(B986,2)*1=IF(MOD(E986,101)&gt;=100,0,MOD(E986,101)),"OK","ОШИБКА")))))</f>
        <v/>
      </c>
      <c r="G98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6">
        <f>IF(LEN(TRIM(A986))=10, --MID(A986,1,1)*2+--MID(A986,2,1)*4+--MID(A986,3,1)*10+--MID(A986,4,1)*3+--MID(A986,5,1)*5+--MID(A986,6,1)*9+--MID(A986,7,1)*4+--MID(A986,8,1)*6+--MID(A986,9,1)*8, IF(LEN(TRIM(A986))=12, --MID(A986,1,1)*7+--MID(A986,2,1)*2+--MID(A986,3,1)*4+--MID(A986,4,1)*10+--MID(A986,5,1)*3+--MID(A986,6,1)*5+--MID(A986,7,1)*9+--MID(A986,8,1)*4+--MID(A986,9,1)*6+--MID(A986,10,1)*8, ""))</f>
        <v/>
      </c>
      <c r="I986">
        <f>IF(LEN(TRIM(A986))=12, --MID(A986,1,1)*3+--MID(A986,2,1)*7+--MID(A986,3,1)*2+--MID(A986,4,1)*4+--MID(A986,5,1)*10+--MID(A986,6,1)*3+--MID(A986,7,1)*5+--MID(A986,8,1)*9+--MID(A986,9,1)*4+--MID(A986,10,1)*6+--MID(A986,11,1)*8, "")</f>
        <v/>
      </c>
    </row>
    <row r="987">
      <c r="A987">
        <f>SUBSTITUTE(SUBSTITUTE(SUBSTITUTE(SUBSTITUTE(TRIM(INDEX(Реестр!$B:$B,ROW())),CHAR(160),""),CHAR(9),""),CHAR(10),""),CHAR(13),"")</f>
        <v/>
      </c>
      <c r="B987">
        <f>SUBSTITUTE(SUBSTITUTE(SUBSTITUTE(SUBSTITUTE(SUBSTITUTE(SUBSTITUTE(SUBSTITUTE(TRIM(INDEX(Реестр!$D:$D, ROW())), "-", ""), " ", ""), CHAR(160), ""), CHAR(9), ""), CHAR(10), ""), CHAR(13), ""), CHAR(32), "")</f>
        <v/>
      </c>
      <c r="C987">
        <f>INDEX(Реестр!$H:$H, ROW())</f>
        <v/>
      </c>
      <c r="D987">
        <f>IF(OR(ISBLANK(INDEX(Реестр!$B:$B, ROW())), INDEX(Реестр!$B:$B, ROW())=""), " ", IF(IFERROR(ISNUMBER(--A987),FALSE), IF(LEN(A987)=10, IF(MOD(MOD(H987,11),10)=--RIGHT(A987,1), "OK", "ОШИБКА"), IF(LEN(A987)=12, IF(AND(MOD(MOD(H987,11),10)=--MID(A987,11,1), MOD(MOD(I987,11),10)=--RIGHT(A987,1)), "OK", "ОШИБКА"), "ДЛИНА (10 или 12)")), "НЕ ЦИФРЫ"))</f>
        <v/>
      </c>
      <c r="E987">
        <f>MID(B987,1,1)*9+MID(B987,2,1)*8+MID(B987,3,1)*7+MID(B987,4,1)*6+MID(B987,5,1)*5+MID(B987,6,1)*4+MID(B987,7,1)*3+MID(B987,8,1)*2+MID(B987,9,1)</f>
        <v/>
      </c>
      <c r="F987">
        <f>IF(B987="", " ", IF(LEN(B987)&lt;&gt;11, "ДЛИНА", IF(NOT(ISNUMBER(--B987)), "НЕ ЦИФРЫ", IF(LEFT(B987,9)*1&lt;=1001998, "OK", IF(RIGHT(B987,2)*1=IF(MOD(E987,101)&gt;=100,0,MOD(E987,101)),"OK","ОШИБКА")))))</f>
        <v/>
      </c>
      <c r="G98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7">
        <f>IF(LEN(TRIM(A987))=10, --MID(A987,1,1)*2+--MID(A987,2,1)*4+--MID(A987,3,1)*10+--MID(A987,4,1)*3+--MID(A987,5,1)*5+--MID(A987,6,1)*9+--MID(A987,7,1)*4+--MID(A987,8,1)*6+--MID(A987,9,1)*8, IF(LEN(TRIM(A987))=12, --MID(A987,1,1)*7+--MID(A987,2,1)*2+--MID(A987,3,1)*4+--MID(A987,4,1)*10+--MID(A987,5,1)*3+--MID(A987,6,1)*5+--MID(A987,7,1)*9+--MID(A987,8,1)*4+--MID(A987,9,1)*6+--MID(A987,10,1)*8, ""))</f>
        <v/>
      </c>
      <c r="I987">
        <f>IF(LEN(TRIM(A987))=12, --MID(A987,1,1)*3+--MID(A987,2,1)*7+--MID(A987,3,1)*2+--MID(A987,4,1)*4+--MID(A987,5,1)*10+--MID(A987,6,1)*3+--MID(A987,7,1)*5+--MID(A987,8,1)*9+--MID(A987,9,1)*4+--MID(A987,10,1)*6+--MID(A987,11,1)*8, "")</f>
        <v/>
      </c>
    </row>
    <row r="988">
      <c r="A988">
        <f>SUBSTITUTE(SUBSTITUTE(SUBSTITUTE(SUBSTITUTE(TRIM(INDEX(Реестр!$B:$B,ROW())),CHAR(160),""),CHAR(9),""),CHAR(10),""),CHAR(13),"")</f>
        <v/>
      </c>
      <c r="B988">
        <f>SUBSTITUTE(SUBSTITUTE(SUBSTITUTE(SUBSTITUTE(SUBSTITUTE(SUBSTITUTE(SUBSTITUTE(TRIM(INDEX(Реестр!$D:$D, ROW())), "-", ""), " ", ""), CHAR(160), ""), CHAR(9), ""), CHAR(10), ""), CHAR(13), ""), CHAR(32), "")</f>
        <v/>
      </c>
      <c r="C988">
        <f>INDEX(Реестр!$H:$H, ROW())</f>
        <v/>
      </c>
      <c r="D988">
        <f>IF(OR(ISBLANK(INDEX(Реестр!$B:$B, ROW())), INDEX(Реестр!$B:$B, ROW())=""), " ", IF(IFERROR(ISNUMBER(--A988),FALSE), IF(LEN(A988)=10, IF(MOD(MOD(H988,11),10)=--RIGHT(A988,1), "OK", "ОШИБКА"), IF(LEN(A988)=12, IF(AND(MOD(MOD(H988,11),10)=--MID(A988,11,1), MOD(MOD(I988,11),10)=--RIGHT(A988,1)), "OK", "ОШИБКА"), "ДЛИНА (10 или 12)")), "НЕ ЦИФРЫ"))</f>
        <v/>
      </c>
      <c r="E988">
        <f>MID(B988,1,1)*9+MID(B988,2,1)*8+MID(B988,3,1)*7+MID(B988,4,1)*6+MID(B988,5,1)*5+MID(B988,6,1)*4+MID(B988,7,1)*3+MID(B988,8,1)*2+MID(B988,9,1)</f>
        <v/>
      </c>
      <c r="F988">
        <f>IF(B988="", " ", IF(LEN(B988)&lt;&gt;11, "ДЛИНА", IF(NOT(ISNUMBER(--B988)), "НЕ ЦИФРЫ", IF(LEFT(B988,9)*1&lt;=1001998, "OK", IF(RIGHT(B988,2)*1=IF(MOD(E988,101)&gt;=100,0,MOD(E988,101)),"OK","ОШИБКА")))))</f>
        <v/>
      </c>
      <c r="G98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8">
        <f>IF(LEN(TRIM(A988))=10, --MID(A988,1,1)*2+--MID(A988,2,1)*4+--MID(A988,3,1)*10+--MID(A988,4,1)*3+--MID(A988,5,1)*5+--MID(A988,6,1)*9+--MID(A988,7,1)*4+--MID(A988,8,1)*6+--MID(A988,9,1)*8, IF(LEN(TRIM(A988))=12, --MID(A988,1,1)*7+--MID(A988,2,1)*2+--MID(A988,3,1)*4+--MID(A988,4,1)*10+--MID(A988,5,1)*3+--MID(A988,6,1)*5+--MID(A988,7,1)*9+--MID(A988,8,1)*4+--MID(A988,9,1)*6+--MID(A988,10,1)*8, ""))</f>
        <v/>
      </c>
      <c r="I988">
        <f>IF(LEN(TRIM(A988))=12, --MID(A988,1,1)*3+--MID(A988,2,1)*7+--MID(A988,3,1)*2+--MID(A988,4,1)*4+--MID(A988,5,1)*10+--MID(A988,6,1)*3+--MID(A988,7,1)*5+--MID(A988,8,1)*9+--MID(A988,9,1)*4+--MID(A988,10,1)*6+--MID(A988,11,1)*8, "")</f>
        <v/>
      </c>
    </row>
    <row r="989">
      <c r="A989">
        <f>SUBSTITUTE(SUBSTITUTE(SUBSTITUTE(SUBSTITUTE(TRIM(INDEX(Реестр!$B:$B,ROW())),CHAR(160),""),CHAR(9),""),CHAR(10),""),CHAR(13),"")</f>
        <v/>
      </c>
      <c r="B989">
        <f>SUBSTITUTE(SUBSTITUTE(SUBSTITUTE(SUBSTITUTE(SUBSTITUTE(SUBSTITUTE(SUBSTITUTE(TRIM(INDEX(Реестр!$D:$D, ROW())), "-", ""), " ", ""), CHAR(160), ""), CHAR(9), ""), CHAR(10), ""), CHAR(13), ""), CHAR(32), "")</f>
        <v/>
      </c>
      <c r="C989">
        <f>INDEX(Реестр!$H:$H, ROW())</f>
        <v/>
      </c>
      <c r="D989">
        <f>IF(OR(ISBLANK(INDEX(Реестр!$B:$B, ROW())), INDEX(Реестр!$B:$B, ROW())=""), " ", IF(IFERROR(ISNUMBER(--A989),FALSE), IF(LEN(A989)=10, IF(MOD(MOD(H989,11),10)=--RIGHT(A989,1), "OK", "ОШИБКА"), IF(LEN(A989)=12, IF(AND(MOD(MOD(H989,11),10)=--MID(A989,11,1), MOD(MOD(I989,11),10)=--RIGHT(A989,1)), "OK", "ОШИБКА"), "ДЛИНА (10 или 12)")), "НЕ ЦИФРЫ"))</f>
        <v/>
      </c>
      <c r="E989">
        <f>MID(B989,1,1)*9+MID(B989,2,1)*8+MID(B989,3,1)*7+MID(B989,4,1)*6+MID(B989,5,1)*5+MID(B989,6,1)*4+MID(B989,7,1)*3+MID(B989,8,1)*2+MID(B989,9,1)</f>
        <v/>
      </c>
      <c r="F989">
        <f>IF(B989="", " ", IF(LEN(B989)&lt;&gt;11, "ДЛИНА", IF(NOT(ISNUMBER(--B989)), "НЕ ЦИФРЫ", IF(LEFT(B989,9)*1&lt;=1001998, "OK", IF(RIGHT(B989,2)*1=IF(MOD(E989,101)&gt;=100,0,MOD(E989,101)),"OK","ОШИБКА")))))</f>
        <v/>
      </c>
      <c r="G98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89">
        <f>IF(LEN(TRIM(A989))=10, --MID(A989,1,1)*2+--MID(A989,2,1)*4+--MID(A989,3,1)*10+--MID(A989,4,1)*3+--MID(A989,5,1)*5+--MID(A989,6,1)*9+--MID(A989,7,1)*4+--MID(A989,8,1)*6+--MID(A989,9,1)*8, IF(LEN(TRIM(A989))=12, --MID(A989,1,1)*7+--MID(A989,2,1)*2+--MID(A989,3,1)*4+--MID(A989,4,1)*10+--MID(A989,5,1)*3+--MID(A989,6,1)*5+--MID(A989,7,1)*9+--MID(A989,8,1)*4+--MID(A989,9,1)*6+--MID(A989,10,1)*8, ""))</f>
        <v/>
      </c>
      <c r="I989">
        <f>IF(LEN(TRIM(A989))=12, --MID(A989,1,1)*3+--MID(A989,2,1)*7+--MID(A989,3,1)*2+--MID(A989,4,1)*4+--MID(A989,5,1)*10+--MID(A989,6,1)*3+--MID(A989,7,1)*5+--MID(A989,8,1)*9+--MID(A989,9,1)*4+--MID(A989,10,1)*6+--MID(A989,11,1)*8, "")</f>
        <v/>
      </c>
    </row>
    <row r="990">
      <c r="A990">
        <f>SUBSTITUTE(SUBSTITUTE(SUBSTITUTE(SUBSTITUTE(TRIM(INDEX(Реестр!$B:$B,ROW())),CHAR(160),""),CHAR(9),""),CHAR(10),""),CHAR(13),"")</f>
        <v/>
      </c>
      <c r="B990">
        <f>SUBSTITUTE(SUBSTITUTE(SUBSTITUTE(SUBSTITUTE(SUBSTITUTE(SUBSTITUTE(SUBSTITUTE(TRIM(INDEX(Реестр!$D:$D, ROW())), "-", ""), " ", ""), CHAR(160), ""), CHAR(9), ""), CHAR(10), ""), CHAR(13), ""), CHAR(32), "")</f>
        <v/>
      </c>
      <c r="C990">
        <f>INDEX(Реестр!$H:$H, ROW())</f>
        <v/>
      </c>
      <c r="D990">
        <f>IF(OR(ISBLANK(INDEX(Реестр!$B:$B, ROW())), INDEX(Реестр!$B:$B, ROW())=""), " ", IF(IFERROR(ISNUMBER(--A990),FALSE), IF(LEN(A990)=10, IF(MOD(MOD(H990,11),10)=--RIGHT(A990,1), "OK", "ОШИБКА"), IF(LEN(A990)=12, IF(AND(MOD(MOD(H990,11),10)=--MID(A990,11,1), MOD(MOD(I990,11),10)=--RIGHT(A990,1)), "OK", "ОШИБКА"), "ДЛИНА (10 или 12)")), "НЕ ЦИФРЫ"))</f>
        <v/>
      </c>
      <c r="E990">
        <f>MID(B990,1,1)*9+MID(B990,2,1)*8+MID(B990,3,1)*7+MID(B990,4,1)*6+MID(B990,5,1)*5+MID(B990,6,1)*4+MID(B990,7,1)*3+MID(B990,8,1)*2+MID(B990,9,1)</f>
        <v/>
      </c>
      <c r="F990">
        <f>IF(B990="", " ", IF(LEN(B990)&lt;&gt;11, "ДЛИНА", IF(NOT(ISNUMBER(--B990)), "НЕ ЦИФРЫ", IF(LEFT(B990,9)*1&lt;=1001998, "OK", IF(RIGHT(B990,2)*1=IF(MOD(E990,101)&gt;=100,0,MOD(E990,101)),"OK","ОШИБКА")))))</f>
        <v/>
      </c>
      <c r="G99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0">
        <f>IF(LEN(TRIM(A990))=10, --MID(A990,1,1)*2+--MID(A990,2,1)*4+--MID(A990,3,1)*10+--MID(A990,4,1)*3+--MID(A990,5,1)*5+--MID(A990,6,1)*9+--MID(A990,7,1)*4+--MID(A990,8,1)*6+--MID(A990,9,1)*8, IF(LEN(TRIM(A990))=12, --MID(A990,1,1)*7+--MID(A990,2,1)*2+--MID(A990,3,1)*4+--MID(A990,4,1)*10+--MID(A990,5,1)*3+--MID(A990,6,1)*5+--MID(A990,7,1)*9+--MID(A990,8,1)*4+--MID(A990,9,1)*6+--MID(A990,10,1)*8, ""))</f>
        <v/>
      </c>
      <c r="I990">
        <f>IF(LEN(TRIM(A990))=12, --MID(A990,1,1)*3+--MID(A990,2,1)*7+--MID(A990,3,1)*2+--MID(A990,4,1)*4+--MID(A990,5,1)*10+--MID(A990,6,1)*3+--MID(A990,7,1)*5+--MID(A990,8,1)*9+--MID(A990,9,1)*4+--MID(A990,10,1)*6+--MID(A990,11,1)*8, "")</f>
        <v/>
      </c>
    </row>
    <row r="991">
      <c r="A991">
        <f>SUBSTITUTE(SUBSTITUTE(SUBSTITUTE(SUBSTITUTE(TRIM(INDEX(Реестр!$B:$B,ROW())),CHAR(160),""),CHAR(9),""),CHAR(10),""),CHAR(13),"")</f>
        <v/>
      </c>
      <c r="B991">
        <f>SUBSTITUTE(SUBSTITUTE(SUBSTITUTE(SUBSTITUTE(SUBSTITUTE(SUBSTITUTE(SUBSTITUTE(TRIM(INDEX(Реестр!$D:$D, ROW())), "-", ""), " ", ""), CHAR(160), ""), CHAR(9), ""), CHAR(10), ""), CHAR(13), ""), CHAR(32), "")</f>
        <v/>
      </c>
      <c r="C991">
        <f>INDEX(Реестр!$H:$H, ROW())</f>
        <v/>
      </c>
      <c r="D991">
        <f>IF(OR(ISBLANK(INDEX(Реестр!$B:$B, ROW())), INDEX(Реестр!$B:$B, ROW())=""), " ", IF(IFERROR(ISNUMBER(--A991),FALSE), IF(LEN(A991)=10, IF(MOD(MOD(H991,11),10)=--RIGHT(A991,1), "OK", "ОШИБКА"), IF(LEN(A991)=12, IF(AND(MOD(MOD(H991,11),10)=--MID(A991,11,1), MOD(MOD(I991,11),10)=--RIGHT(A991,1)), "OK", "ОШИБКА"), "ДЛИНА (10 или 12)")), "НЕ ЦИФРЫ"))</f>
        <v/>
      </c>
      <c r="E991">
        <f>MID(B991,1,1)*9+MID(B991,2,1)*8+MID(B991,3,1)*7+MID(B991,4,1)*6+MID(B991,5,1)*5+MID(B991,6,1)*4+MID(B991,7,1)*3+MID(B991,8,1)*2+MID(B991,9,1)</f>
        <v/>
      </c>
      <c r="F991">
        <f>IF(B991="", " ", IF(LEN(B991)&lt;&gt;11, "ДЛИНА", IF(NOT(ISNUMBER(--B991)), "НЕ ЦИФРЫ", IF(LEFT(B991,9)*1&lt;=1001998, "OK", IF(RIGHT(B991,2)*1=IF(MOD(E991,101)&gt;=100,0,MOD(E991,101)),"OK","ОШИБКА")))))</f>
        <v/>
      </c>
      <c r="G991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1">
        <f>IF(LEN(TRIM(A991))=10, --MID(A991,1,1)*2+--MID(A991,2,1)*4+--MID(A991,3,1)*10+--MID(A991,4,1)*3+--MID(A991,5,1)*5+--MID(A991,6,1)*9+--MID(A991,7,1)*4+--MID(A991,8,1)*6+--MID(A991,9,1)*8, IF(LEN(TRIM(A991))=12, --MID(A991,1,1)*7+--MID(A991,2,1)*2+--MID(A991,3,1)*4+--MID(A991,4,1)*10+--MID(A991,5,1)*3+--MID(A991,6,1)*5+--MID(A991,7,1)*9+--MID(A991,8,1)*4+--MID(A991,9,1)*6+--MID(A991,10,1)*8, ""))</f>
        <v/>
      </c>
      <c r="I991">
        <f>IF(LEN(TRIM(A991))=12, --MID(A991,1,1)*3+--MID(A991,2,1)*7+--MID(A991,3,1)*2+--MID(A991,4,1)*4+--MID(A991,5,1)*10+--MID(A991,6,1)*3+--MID(A991,7,1)*5+--MID(A991,8,1)*9+--MID(A991,9,1)*4+--MID(A991,10,1)*6+--MID(A991,11,1)*8, "")</f>
        <v/>
      </c>
    </row>
    <row r="992">
      <c r="A992">
        <f>SUBSTITUTE(SUBSTITUTE(SUBSTITUTE(SUBSTITUTE(TRIM(INDEX(Реестр!$B:$B,ROW())),CHAR(160),""),CHAR(9),""),CHAR(10),""),CHAR(13),"")</f>
        <v/>
      </c>
      <c r="B992">
        <f>SUBSTITUTE(SUBSTITUTE(SUBSTITUTE(SUBSTITUTE(SUBSTITUTE(SUBSTITUTE(SUBSTITUTE(TRIM(INDEX(Реестр!$D:$D, ROW())), "-", ""), " ", ""), CHAR(160), ""), CHAR(9), ""), CHAR(10), ""), CHAR(13), ""), CHAR(32), "")</f>
        <v/>
      </c>
      <c r="C992">
        <f>INDEX(Реестр!$H:$H, ROW())</f>
        <v/>
      </c>
      <c r="D992">
        <f>IF(OR(ISBLANK(INDEX(Реестр!$B:$B, ROW())), INDEX(Реестр!$B:$B, ROW())=""), " ", IF(IFERROR(ISNUMBER(--A992),FALSE), IF(LEN(A992)=10, IF(MOD(MOD(H992,11),10)=--RIGHT(A992,1), "OK", "ОШИБКА"), IF(LEN(A992)=12, IF(AND(MOD(MOD(H992,11),10)=--MID(A992,11,1), MOD(MOD(I992,11),10)=--RIGHT(A992,1)), "OK", "ОШИБКА"), "ДЛИНА (10 или 12)")), "НЕ ЦИФРЫ"))</f>
        <v/>
      </c>
      <c r="E992">
        <f>MID(B992,1,1)*9+MID(B992,2,1)*8+MID(B992,3,1)*7+MID(B992,4,1)*6+MID(B992,5,1)*5+MID(B992,6,1)*4+MID(B992,7,1)*3+MID(B992,8,1)*2+MID(B992,9,1)</f>
        <v/>
      </c>
      <c r="F992">
        <f>IF(B992="", " ", IF(LEN(B992)&lt;&gt;11, "ДЛИНА", IF(NOT(ISNUMBER(--B992)), "НЕ ЦИФРЫ", IF(LEFT(B992,9)*1&lt;=1001998, "OK", IF(RIGHT(B992,2)*1=IF(MOD(E992,101)&gt;=100,0,MOD(E992,101)),"OK","ОШИБКА")))))</f>
        <v/>
      </c>
      <c r="G992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2">
        <f>IF(LEN(TRIM(A992))=10, --MID(A992,1,1)*2+--MID(A992,2,1)*4+--MID(A992,3,1)*10+--MID(A992,4,1)*3+--MID(A992,5,1)*5+--MID(A992,6,1)*9+--MID(A992,7,1)*4+--MID(A992,8,1)*6+--MID(A992,9,1)*8, IF(LEN(TRIM(A992))=12, --MID(A992,1,1)*7+--MID(A992,2,1)*2+--MID(A992,3,1)*4+--MID(A992,4,1)*10+--MID(A992,5,1)*3+--MID(A992,6,1)*5+--MID(A992,7,1)*9+--MID(A992,8,1)*4+--MID(A992,9,1)*6+--MID(A992,10,1)*8, ""))</f>
        <v/>
      </c>
      <c r="I992">
        <f>IF(LEN(TRIM(A992))=12, --MID(A992,1,1)*3+--MID(A992,2,1)*7+--MID(A992,3,1)*2+--MID(A992,4,1)*4+--MID(A992,5,1)*10+--MID(A992,6,1)*3+--MID(A992,7,1)*5+--MID(A992,8,1)*9+--MID(A992,9,1)*4+--MID(A992,10,1)*6+--MID(A992,11,1)*8, "")</f>
        <v/>
      </c>
    </row>
    <row r="993">
      <c r="A993">
        <f>SUBSTITUTE(SUBSTITUTE(SUBSTITUTE(SUBSTITUTE(TRIM(INDEX(Реестр!$B:$B,ROW())),CHAR(160),""),CHAR(9),""),CHAR(10),""),CHAR(13),"")</f>
        <v/>
      </c>
      <c r="B993">
        <f>SUBSTITUTE(SUBSTITUTE(SUBSTITUTE(SUBSTITUTE(SUBSTITUTE(SUBSTITUTE(SUBSTITUTE(TRIM(INDEX(Реестр!$D:$D, ROW())), "-", ""), " ", ""), CHAR(160), ""), CHAR(9), ""), CHAR(10), ""), CHAR(13), ""), CHAR(32), "")</f>
        <v/>
      </c>
      <c r="C993">
        <f>INDEX(Реестр!$H:$H, ROW())</f>
        <v/>
      </c>
      <c r="D993">
        <f>IF(OR(ISBLANK(INDEX(Реестр!$B:$B, ROW())), INDEX(Реестр!$B:$B, ROW())=""), " ", IF(IFERROR(ISNUMBER(--A993),FALSE), IF(LEN(A993)=10, IF(MOD(MOD(H993,11),10)=--RIGHT(A993,1), "OK", "ОШИБКА"), IF(LEN(A993)=12, IF(AND(MOD(MOD(H993,11),10)=--MID(A993,11,1), MOD(MOD(I993,11),10)=--RIGHT(A993,1)), "OK", "ОШИБКА"), "ДЛИНА (10 или 12)")), "НЕ ЦИФРЫ"))</f>
        <v/>
      </c>
      <c r="E993">
        <f>MID(B993,1,1)*9+MID(B993,2,1)*8+MID(B993,3,1)*7+MID(B993,4,1)*6+MID(B993,5,1)*5+MID(B993,6,1)*4+MID(B993,7,1)*3+MID(B993,8,1)*2+MID(B993,9,1)</f>
        <v/>
      </c>
      <c r="F993">
        <f>IF(B993="", " ", IF(LEN(B993)&lt;&gt;11, "ДЛИНА", IF(NOT(ISNUMBER(--B993)), "НЕ ЦИФРЫ", IF(LEFT(B993,9)*1&lt;=1001998, "OK", IF(RIGHT(B993,2)*1=IF(MOD(E993,101)&gt;=100,0,MOD(E993,101)),"OK","ОШИБКА")))))</f>
        <v/>
      </c>
      <c r="G993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3">
        <f>IF(LEN(TRIM(A993))=10, --MID(A993,1,1)*2+--MID(A993,2,1)*4+--MID(A993,3,1)*10+--MID(A993,4,1)*3+--MID(A993,5,1)*5+--MID(A993,6,1)*9+--MID(A993,7,1)*4+--MID(A993,8,1)*6+--MID(A993,9,1)*8, IF(LEN(TRIM(A993))=12, --MID(A993,1,1)*7+--MID(A993,2,1)*2+--MID(A993,3,1)*4+--MID(A993,4,1)*10+--MID(A993,5,1)*3+--MID(A993,6,1)*5+--MID(A993,7,1)*9+--MID(A993,8,1)*4+--MID(A993,9,1)*6+--MID(A993,10,1)*8, ""))</f>
        <v/>
      </c>
      <c r="I993">
        <f>IF(LEN(TRIM(A993))=12, --MID(A993,1,1)*3+--MID(A993,2,1)*7+--MID(A993,3,1)*2+--MID(A993,4,1)*4+--MID(A993,5,1)*10+--MID(A993,6,1)*3+--MID(A993,7,1)*5+--MID(A993,8,1)*9+--MID(A993,9,1)*4+--MID(A993,10,1)*6+--MID(A993,11,1)*8, "")</f>
        <v/>
      </c>
    </row>
    <row r="994">
      <c r="A994">
        <f>SUBSTITUTE(SUBSTITUTE(SUBSTITUTE(SUBSTITUTE(TRIM(INDEX(Реестр!$B:$B,ROW())),CHAR(160),""),CHAR(9),""),CHAR(10),""),CHAR(13),"")</f>
        <v/>
      </c>
      <c r="B994">
        <f>SUBSTITUTE(SUBSTITUTE(SUBSTITUTE(SUBSTITUTE(SUBSTITUTE(SUBSTITUTE(SUBSTITUTE(TRIM(INDEX(Реестр!$D:$D, ROW())), "-", ""), " ", ""), CHAR(160), ""), CHAR(9), ""), CHAR(10), ""), CHAR(13), ""), CHAR(32), "")</f>
        <v/>
      </c>
      <c r="C994">
        <f>INDEX(Реестр!$H:$H, ROW())</f>
        <v/>
      </c>
      <c r="D994">
        <f>IF(OR(ISBLANK(INDEX(Реестр!$B:$B, ROW())), INDEX(Реестр!$B:$B, ROW())=""), " ", IF(IFERROR(ISNUMBER(--A994),FALSE), IF(LEN(A994)=10, IF(MOD(MOD(H994,11),10)=--RIGHT(A994,1), "OK", "ОШИБКА"), IF(LEN(A994)=12, IF(AND(MOD(MOD(H994,11),10)=--MID(A994,11,1), MOD(MOD(I994,11),10)=--RIGHT(A994,1)), "OK", "ОШИБКА"), "ДЛИНА (10 или 12)")), "НЕ ЦИФРЫ"))</f>
        <v/>
      </c>
      <c r="E994">
        <f>MID(B994,1,1)*9+MID(B994,2,1)*8+MID(B994,3,1)*7+MID(B994,4,1)*6+MID(B994,5,1)*5+MID(B994,6,1)*4+MID(B994,7,1)*3+MID(B994,8,1)*2+MID(B994,9,1)</f>
        <v/>
      </c>
      <c r="F994">
        <f>IF(B994="", " ", IF(LEN(B994)&lt;&gt;11, "ДЛИНА", IF(NOT(ISNUMBER(--B994)), "НЕ ЦИФРЫ", IF(LEFT(B994,9)*1&lt;=1001998, "OK", IF(RIGHT(B994,2)*1=IF(MOD(E994,101)&gt;=100,0,MOD(E994,101)),"OK","ОШИБКА")))))</f>
        <v/>
      </c>
      <c r="G994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4">
        <f>IF(LEN(TRIM(A994))=10, --MID(A994,1,1)*2+--MID(A994,2,1)*4+--MID(A994,3,1)*10+--MID(A994,4,1)*3+--MID(A994,5,1)*5+--MID(A994,6,1)*9+--MID(A994,7,1)*4+--MID(A994,8,1)*6+--MID(A994,9,1)*8, IF(LEN(TRIM(A994))=12, --MID(A994,1,1)*7+--MID(A994,2,1)*2+--MID(A994,3,1)*4+--MID(A994,4,1)*10+--MID(A994,5,1)*3+--MID(A994,6,1)*5+--MID(A994,7,1)*9+--MID(A994,8,1)*4+--MID(A994,9,1)*6+--MID(A994,10,1)*8, ""))</f>
        <v/>
      </c>
      <c r="I994">
        <f>IF(LEN(TRIM(A994))=12, --MID(A994,1,1)*3+--MID(A994,2,1)*7+--MID(A994,3,1)*2+--MID(A994,4,1)*4+--MID(A994,5,1)*10+--MID(A994,6,1)*3+--MID(A994,7,1)*5+--MID(A994,8,1)*9+--MID(A994,9,1)*4+--MID(A994,10,1)*6+--MID(A994,11,1)*8, "")</f>
        <v/>
      </c>
    </row>
    <row r="995">
      <c r="A995">
        <f>SUBSTITUTE(SUBSTITUTE(SUBSTITUTE(SUBSTITUTE(TRIM(INDEX(Реестр!$B:$B,ROW())),CHAR(160),""),CHAR(9),""),CHAR(10),""),CHAR(13),"")</f>
        <v/>
      </c>
      <c r="B995">
        <f>SUBSTITUTE(SUBSTITUTE(SUBSTITUTE(SUBSTITUTE(SUBSTITUTE(SUBSTITUTE(SUBSTITUTE(TRIM(INDEX(Реестр!$D:$D, ROW())), "-", ""), " ", ""), CHAR(160), ""), CHAR(9), ""), CHAR(10), ""), CHAR(13), ""), CHAR(32), "")</f>
        <v/>
      </c>
      <c r="C995">
        <f>INDEX(Реестр!$H:$H, ROW())</f>
        <v/>
      </c>
      <c r="D995">
        <f>IF(OR(ISBLANK(INDEX(Реестр!$B:$B, ROW())), INDEX(Реестр!$B:$B, ROW())=""), " ", IF(IFERROR(ISNUMBER(--A995),FALSE), IF(LEN(A995)=10, IF(MOD(MOD(H995,11),10)=--RIGHT(A995,1), "OK", "ОШИБКА"), IF(LEN(A995)=12, IF(AND(MOD(MOD(H995,11),10)=--MID(A995,11,1), MOD(MOD(I995,11),10)=--RIGHT(A995,1)), "OK", "ОШИБКА"), "ДЛИНА (10 или 12)")), "НЕ ЦИФРЫ"))</f>
        <v/>
      </c>
      <c r="E995">
        <f>MID(B995,1,1)*9+MID(B995,2,1)*8+MID(B995,3,1)*7+MID(B995,4,1)*6+MID(B995,5,1)*5+MID(B995,6,1)*4+MID(B995,7,1)*3+MID(B995,8,1)*2+MID(B995,9,1)</f>
        <v/>
      </c>
      <c r="F995">
        <f>IF(B995="", " ", IF(LEN(B995)&lt;&gt;11, "ДЛИНА", IF(NOT(ISNUMBER(--B995)), "НЕ ЦИФРЫ", IF(LEFT(B995,9)*1&lt;=1001998, "OK", IF(RIGHT(B995,2)*1=IF(MOD(E995,101)&gt;=100,0,MOD(E995,101)),"OK","ОШИБКА")))))</f>
        <v/>
      </c>
      <c r="G995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5">
        <f>IF(LEN(TRIM(A995))=10, --MID(A995,1,1)*2+--MID(A995,2,1)*4+--MID(A995,3,1)*10+--MID(A995,4,1)*3+--MID(A995,5,1)*5+--MID(A995,6,1)*9+--MID(A995,7,1)*4+--MID(A995,8,1)*6+--MID(A995,9,1)*8, IF(LEN(TRIM(A995))=12, --MID(A995,1,1)*7+--MID(A995,2,1)*2+--MID(A995,3,1)*4+--MID(A995,4,1)*10+--MID(A995,5,1)*3+--MID(A995,6,1)*5+--MID(A995,7,1)*9+--MID(A995,8,1)*4+--MID(A995,9,1)*6+--MID(A995,10,1)*8, ""))</f>
        <v/>
      </c>
      <c r="I995">
        <f>IF(LEN(TRIM(A995))=12, --MID(A995,1,1)*3+--MID(A995,2,1)*7+--MID(A995,3,1)*2+--MID(A995,4,1)*4+--MID(A995,5,1)*10+--MID(A995,6,1)*3+--MID(A995,7,1)*5+--MID(A995,8,1)*9+--MID(A995,9,1)*4+--MID(A995,10,1)*6+--MID(A995,11,1)*8, "")</f>
        <v/>
      </c>
    </row>
    <row r="996">
      <c r="A996">
        <f>SUBSTITUTE(SUBSTITUTE(SUBSTITUTE(SUBSTITUTE(TRIM(INDEX(Реестр!$B:$B,ROW())),CHAR(160),""),CHAR(9),""),CHAR(10),""),CHAR(13),"")</f>
        <v/>
      </c>
      <c r="B996">
        <f>SUBSTITUTE(SUBSTITUTE(SUBSTITUTE(SUBSTITUTE(SUBSTITUTE(SUBSTITUTE(SUBSTITUTE(TRIM(INDEX(Реестр!$D:$D, ROW())), "-", ""), " ", ""), CHAR(160), ""), CHAR(9), ""), CHAR(10), ""), CHAR(13), ""), CHAR(32), "")</f>
        <v/>
      </c>
      <c r="C996">
        <f>INDEX(Реестр!$H:$H, ROW())</f>
        <v/>
      </c>
      <c r="D996">
        <f>IF(OR(ISBLANK(INDEX(Реестр!$B:$B, ROW())), INDEX(Реестр!$B:$B, ROW())=""), " ", IF(IFERROR(ISNUMBER(--A996),FALSE), IF(LEN(A996)=10, IF(MOD(MOD(H996,11),10)=--RIGHT(A996,1), "OK", "ОШИБКА"), IF(LEN(A996)=12, IF(AND(MOD(MOD(H996,11),10)=--MID(A996,11,1), MOD(MOD(I996,11),10)=--RIGHT(A996,1)), "OK", "ОШИБКА"), "ДЛИНА (10 или 12)")), "НЕ ЦИФРЫ"))</f>
        <v/>
      </c>
      <c r="E996">
        <f>MID(B996,1,1)*9+MID(B996,2,1)*8+MID(B996,3,1)*7+MID(B996,4,1)*6+MID(B996,5,1)*5+MID(B996,6,1)*4+MID(B996,7,1)*3+MID(B996,8,1)*2+MID(B996,9,1)</f>
        <v/>
      </c>
      <c r="F996">
        <f>IF(B996="", " ", IF(LEN(B996)&lt;&gt;11, "ДЛИНА", IF(NOT(ISNUMBER(--B996)), "НЕ ЦИФРЫ", IF(LEFT(B996,9)*1&lt;=1001998, "OK", IF(RIGHT(B996,2)*1=IF(MOD(E996,101)&gt;=100,0,MOD(E996,101)),"OK","ОШИБКА")))))</f>
        <v/>
      </c>
      <c r="G996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6">
        <f>IF(LEN(TRIM(A996))=10, --MID(A996,1,1)*2+--MID(A996,2,1)*4+--MID(A996,3,1)*10+--MID(A996,4,1)*3+--MID(A996,5,1)*5+--MID(A996,6,1)*9+--MID(A996,7,1)*4+--MID(A996,8,1)*6+--MID(A996,9,1)*8, IF(LEN(TRIM(A996))=12, --MID(A996,1,1)*7+--MID(A996,2,1)*2+--MID(A996,3,1)*4+--MID(A996,4,1)*10+--MID(A996,5,1)*3+--MID(A996,6,1)*5+--MID(A996,7,1)*9+--MID(A996,8,1)*4+--MID(A996,9,1)*6+--MID(A996,10,1)*8, ""))</f>
        <v/>
      </c>
      <c r="I996">
        <f>IF(LEN(TRIM(A996))=12, --MID(A996,1,1)*3+--MID(A996,2,1)*7+--MID(A996,3,1)*2+--MID(A996,4,1)*4+--MID(A996,5,1)*10+--MID(A996,6,1)*3+--MID(A996,7,1)*5+--MID(A996,8,1)*9+--MID(A996,9,1)*4+--MID(A996,10,1)*6+--MID(A996,11,1)*8, "")</f>
        <v/>
      </c>
    </row>
    <row r="997">
      <c r="A997">
        <f>SUBSTITUTE(SUBSTITUTE(SUBSTITUTE(SUBSTITUTE(TRIM(INDEX(Реестр!$B:$B,ROW())),CHAR(160),""),CHAR(9),""),CHAR(10),""),CHAR(13),"")</f>
        <v/>
      </c>
      <c r="B997">
        <f>SUBSTITUTE(SUBSTITUTE(SUBSTITUTE(SUBSTITUTE(SUBSTITUTE(SUBSTITUTE(SUBSTITUTE(TRIM(INDEX(Реестр!$D:$D, ROW())), "-", ""), " ", ""), CHAR(160), ""), CHAR(9), ""), CHAR(10), ""), CHAR(13), ""), CHAR(32), "")</f>
        <v/>
      </c>
      <c r="C997">
        <f>INDEX(Реестр!$H:$H, ROW())</f>
        <v/>
      </c>
      <c r="D997">
        <f>IF(OR(ISBLANK(INDEX(Реестр!$B:$B, ROW())), INDEX(Реестр!$B:$B, ROW())=""), " ", IF(IFERROR(ISNUMBER(--A997),FALSE), IF(LEN(A997)=10, IF(MOD(MOD(H997,11),10)=--RIGHT(A997,1), "OK", "ОШИБКА"), IF(LEN(A997)=12, IF(AND(MOD(MOD(H997,11),10)=--MID(A997,11,1), MOD(MOD(I997,11),10)=--RIGHT(A997,1)), "OK", "ОШИБКА"), "ДЛИНА (10 или 12)")), "НЕ ЦИФРЫ"))</f>
        <v/>
      </c>
      <c r="E997">
        <f>MID(B997,1,1)*9+MID(B997,2,1)*8+MID(B997,3,1)*7+MID(B997,4,1)*6+MID(B997,5,1)*5+MID(B997,6,1)*4+MID(B997,7,1)*3+MID(B997,8,1)*2+MID(B997,9,1)</f>
        <v/>
      </c>
      <c r="F997">
        <f>IF(B997="", " ", IF(LEN(B997)&lt;&gt;11, "ДЛИНА", IF(NOT(ISNUMBER(--B997)), "НЕ ЦИФРЫ", IF(LEFT(B997,9)*1&lt;=1001998, "OK", IF(RIGHT(B997,2)*1=IF(MOD(E997,101)&gt;=100,0,MOD(E997,101)),"OK","ОШИБКА")))))</f>
        <v/>
      </c>
      <c r="G997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7">
        <f>IF(LEN(TRIM(A997))=10, --MID(A997,1,1)*2+--MID(A997,2,1)*4+--MID(A997,3,1)*10+--MID(A997,4,1)*3+--MID(A997,5,1)*5+--MID(A997,6,1)*9+--MID(A997,7,1)*4+--MID(A997,8,1)*6+--MID(A997,9,1)*8, IF(LEN(TRIM(A997))=12, --MID(A997,1,1)*7+--MID(A997,2,1)*2+--MID(A997,3,1)*4+--MID(A997,4,1)*10+--MID(A997,5,1)*3+--MID(A997,6,1)*5+--MID(A997,7,1)*9+--MID(A997,8,1)*4+--MID(A997,9,1)*6+--MID(A997,10,1)*8, ""))</f>
        <v/>
      </c>
      <c r="I997">
        <f>IF(LEN(TRIM(A997))=12, --MID(A997,1,1)*3+--MID(A997,2,1)*7+--MID(A997,3,1)*2+--MID(A997,4,1)*4+--MID(A997,5,1)*10+--MID(A997,6,1)*3+--MID(A997,7,1)*5+--MID(A997,8,1)*9+--MID(A997,9,1)*4+--MID(A997,10,1)*6+--MID(A997,11,1)*8, "")</f>
        <v/>
      </c>
    </row>
    <row r="998">
      <c r="A998">
        <f>SUBSTITUTE(SUBSTITUTE(SUBSTITUTE(SUBSTITUTE(TRIM(INDEX(Реестр!$B:$B,ROW())),CHAR(160),""),CHAR(9),""),CHAR(10),""),CHAR(13),"")</f>
        <v/>
      </c>
      <c r="B998">
        <f>SUBSTITUTE(SUBSTITUTE(SUBSTITUTE(SUBSTITUTE(SUBSTITUTE(SUBSTITUTE(SUBSTITUTE(TRIM(INDEX(Реестр!$D:$D, ROW())), "-", ""), " ", ""), CHAR(160), ""), CHAR(9), ""), CHAR(10), ""), CHAR(13), ""), CHAR(32), "")</f>
        <v/>
      </c>
      <c r="C998">
        <f>INDEX(Реестр!$H:$H, ROW())</f>
        <v/>
      </c>
      <c r="D998">
        <f>IF(OR(ISBLANK(INDEX(Реестр!$B:$B, ROW())), INDEX(Реестр!$B:$B, ROW())=""), " ", IF(IFERROR(ISNUMBER(--A998),FALSE), IF(LEN(A998)=10, IF(MOD(MOD(H998,11),10)=--RIGHT(A998,1), "OK", "ОШИБКА"), IF(LEN(A998)=12, IF(AND(MOD(MOD(H998,11),10)=--MID(A998,11,1), MOD(MOD(I998,11),10)=--RIGHT(A998,1)), "OK", "ОШИБКА"), "ДЛИНА (10 или 12)")), "НЕ ЦИФРЫ"))</f>
        <v/>
      </c>
      <c r="E998">
        <f>MID(B998,1,1)*9+MID(B998,2,1)*8+MID(B998,3,1)*7+MID(B998,4,1)*6+MID(B998,5,1)*5+MID(B998,6,1)*4+MID(B998,7,1)*3+MID(B998,8,1)*2+MID(B998,9,1)</f>
        <v/>
      </c>
      <c r="F998">
        <f>IF(B998="", " ", IF(LEN(B998)&lt;&gt;11, "ДЛИНА", IF(NOT(ISNUMBER(--B998)), "НЕ ЦИФРЫ", IF(LEFT(B998,9)*1&lt;=1001998, "OK", IF(RIGHT(B998,2)*1=IF(MOD(E998,101)&gt;=100,0,MOD(E998,101)),"OK","ОШИБКА")))))</f>
        <v/>
      </c>
      <c r="G998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8">
        <f>IF(LEN(TRIM(A998))=10, --MID(A998,1,1)*2+--MID(A998,2,1)*4+--MID(A998,3,1)*10+--MID(A998,4,1)*3+--MID(A998,5,1)*5+--MID(A998,6,1)*9+--MID(A998,7,1)*4+--MID(A998,8,1)*6+--MID(A998,9,1)*8, IF(LEN(TRIM(A998))=12, --MID(A998,1,1)*7+--MID(A998,2,1)*2+--MID(A998,3,1)*4+--MID(A998,4,1)*10+--MID(A998,5,1)*3+--MID(A998,6,1)*5+--MID(A998,7,1)*9+--MID(A998,8,1)*4+--MID(A998,9,1)*6+--MID(A998,10,1)*8, ""))</f>
        <v/>
      </c>
      <c r="I998">
        <f>IF(LEN(TRIM(A998))=12, --MID(A998,1,1)*3+--MID(A998,2,1)*7+--MID(A998,3,1)*2+--MID(A998,4,1)*4+--MID(A998,5,1)*10+--MID(A998,6,1)*3+--MID(A998,7,1)*5+--MID(A998,8,1)*9+--MID(A998,9,1)*4+--MID(A998,10,1)*6+--MID(A998,11,1)*8, "")</f>
        <v/>
      </c>
    </row>
    <row r="999">
      <c r="A999">
        <f>SUBSTITUTE(SUBSTITUTE(SUBSTITUTE(SUBSTITUTE(TRIM(INDEX(Реестр!$B:$B,ROW())),CHAR(160),""),CHAR(9),""),CHAR(10),""),CHAR(13),"")</f>
        <v/>
      </c>
      <c r="B999">
        <f>SUBSTITUTE(SUBSTITUTE(SUBSTITUTE(SUBSTITUTE(SUBSTITUTE(SUBSTITUTE(SUBSTITUTE(TRIM(INDEX(Реестр!$D:$D, ROW())), "-", ""), " ", ""), CHAR(160), ""), CHAR(9), ""), CHAR(10), ""), CHAR(13), ""), CHAR(32), "")</f>
        <v/>
      </c>
      <c r="C999">
        <f>INDEX(Реестр!$H:$H, ROW())</f>
        <v/>
      </c>
      <c r="D999">
        <f>IF(OR(ISBLANK(INDEX(Реестр!$B:$B, ROW())), INDEX(Реестр!$B:$B, ROW())=""), " ", IF(IFERROR(ISNUMBER(--A999),FALSE), IF(LEN(A999)=10, IF(MOD(MOD(H999,11),10)=--RIGHT(A999,1), "OK", "ОШИБКА"), IF(LEN(A999)=12, IF(AND(MOD(MOD(H999,11),10)=--MID(A999,11,1), MOD(MOD(I999,11),10)=--RIGHT(A999,1)), "OK", "ОШИБКА"), "ДЛИНА (10 или 12)")), "НЕ ЦИФРЫ"))</f>
        <v/>
      </c>
      <c r="E999">
        <f>MID(B999,1,1)*9+MID(B999,2,1)*8+MID(B999,3,1)*7+MID(B999,4,1)*6+MID(B999,5,1)*5+MID(B999,6,1)*4+MID(B999,7,1)*3+MID(B999,8,1)*2+MID(B999,9,1)</f>
        <v/>
      </c>
      <c r="F999">
        <f>IF(B999="", " ", IF(LEN(B999)&lt;&gt;11, "ДЛИНА", IF(NOT(ISNUMBER(--B999)), "НЕ ЦИФРЫ", IF(LEFT(B999,9)*1&lt;=1001998, "OK", IF(RIGHT(B999,2)*1=IF(MOD(E999,101)&gt;=100,0,MOD(E999,101)),"OK","ОШИБКА")))))</f>
        <v/>
      </c>
      <c r="G999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999">
        <f>IF(LEN(TRIM(A999))=10, --MID(A999,1,1)*2+--MID(A999,2,1)*4+--MID(A999,3,1)*10+--MID(A999,4,1)*3+--MID(A999,5,1)*5+--MID(A999,6,1)*9+--MID(A999,7,1)*4+--MID(A999,8,1)*6+--MID(A999,9,1)*8, IF(LEN(TRIM(A999))=12, --MID(A999,1,1)*7+--MID(A999,2,1)*2+--MID(A999,3,1)*4+--MID(A999,4,1)*10+--MID(A999,5,1)*3+--MID(A999,6,1)*5+--MID(A999,7,1)*9+--MID(A999,8,1)*4+--MID(A999,9,1)*6+--MID(A999,10,1)*8, ""))</f>
        <v/>
      </c>
      <c r="I999">
        <f>IF(LEN(TRIM(A999))=12, --MID(A999,1,1)*3+--MID(A999,2,1)*7+--MID(A999,3,1)*2+--MID(A999,4,1)*4+--MID(A999,5,1)*10+--MID(A999,6,1)*3+--MID(A999,7,1)*5+--MID(A999,8,1)*9+--MID(A999,9,1)*4+--MID(A999,10,1)*6+--MID(A999,11,1)*8, "")</f>
        <v/>
      </c>
    </row>
    <row r="1000">
      <c r="A1000">
        <f>SUBSTITUTE(SUBSTITUTE(SUBSTITUTE(SUBSTITUTE(TRIM(INDEX(Реестр!$B:$B,ROW())),CHAR(160),""),CHAR(9),""),CHAR(10),""),CHAR(13),"")</f>
        <v/>
      </c>
      <c r="B1000">
        <f>SUBSTITUTE(SUBSTITUTE(SUBSTITUTE(SUBSTITUTE(SUBSTITUTE(SUBSTITUTE(SUBSTITUTE(TRIM(INDEX(Реестр!$D:$D, ROW())), "-", ""), " ", ""), CHAR(160), ""), CHAR(9), ""), CHAR(10), ""), CHAR(13), ""), CHAR(32), "")</f>
        <v/>
      </c>
      <c r="C1000">
        <f>INDEX(Реестр!$H:$H, ROW())</f>
        <v/>
      </c>
      <c r="D1000">
        <f>IF(OR(ISBLANK(INDEX(Реестр!$B:$B, ROW())), INDEX(Реестр!$B:$B, ROW())=""), " ", IF(IFERROR(ISNUMBER(--A1000),FALSE), IF(LEN(A1000)=10, IF(MOD(MOD(H1000,11),10)=--RIGHT(A1000,1), "OK", "ОШИБКА"), IF(LEN(A1000)=12, IF(AND(MOD(MOD(H1000,11),10)=--MID(A1000,11,1), MOD(MOD(I1000,11),10)=--RIGHT(A1000,1)), "OK", "ОШИБКА"), "ДЛИНА (10 или 12)")), "НЕ ЦИФРЫ"))</f>
        <v/>
      </c>
      <c r="E1000">
        <f>MID(B1000,1,1)*9+MID(B1000,2,1)*8+MID(B1000,3,1)*7+MID(B1000,4,1)*6+MID(B1000,5,1)*5+MID(B1000,6,1)*4+MID(B1000,7,1)*3+MID(B1000,8,1)*2+MID(B1000,9,1)</f>
        <v/>
      </c>
      <c r="F1000">
        <f>IF(B1000="", " ", IF(LEN(B1000)&lt;&gt;11, "ДЛИНА", IF(NOT(ISNUMBER(--B1000)), "НЕ ЦИФРЫ", IF(LEFT(B1000,9)*1&lt;=1001998, "OK", IF(RIGHT(B1000,2)*1=IF(MOD(E1000,101)&gt;=100,0,MOD(E1000,101)),"OK","ОШИБКА")))))</f>
        <v/>
      </c>
      <c r="G1000">
        <f>IF(OR(ISBLANK(INDEX(Реестр!$H:$H, ROW())), INDEX(Реестр!$H:$H, ROW())=""), " ", IF(AND(LEN(TEXT(INDEX(Реестр!$H:$H, ROW()), "ДД.ММ.ГГГГ"))=10, MID(TEXT(INDEX(Реестр!$H:$H, ROW()), "ДД.ММ.ГГГГ"),3,1)=".", MID(TEXT(INDEX(Реестр!$H:$H, ROW()), "ДД.ММ.ГГГГ"),6,1)="."), IF(--RIGHT(TEXT(INDEX(Реестр!$H:$H, ROW()), "ДД.ММ.ГГГГ"),4)&lt;&gt;YEAR(TODAY()), "ПРОВЕРЬ ГОД", "OK"), "ФОРМАТ (ДД.ММ.ГГГГ)"))</f>
        <v/>
      </c>
      <c r="H1000">
        <f>IF(LEN(TRIM(A1000))=10, --MID(A1000,1,1)*2+--MID(A1000,2,1)*4+--MID(A1000,3,1)*10+--MID(A1000,4,1)*3+--MID(A1000,5,1)*5+--MID(A1000,6,1)*9+--MID(A1000,7,1)*4+--MID(A1000,8,1)*6+--MID(A1000,9,1)*8, IF(LEN(TRIM(A1000))=12, --MID(A1000,1,1)*7+--MID(A1000,2,1)*2+--MID(A1000,3,1)*4+--MID(A1000,4,1)*10+--MID(A1000,5,1)*3+--MID(A1000,6,1)*5+--MID(A1000,7,1)*9+--MID(A1000,8,1)*4+--MID(A1000,9,1)*6+--MID(A1000,10,1)*8, ""))</f>
        <v/>
      </c>
      <c r="I1000">
        <f>IF(LEN(TRIM(A1000))=12, --MID(A1000,1,1)*3+--MID(A1000,2,1)*7+--MID(A1000,3,1)*2+--MID(A1000,4,1)*4+--MID(A1000,5,1)*10+--MID(A1000,6,1)*3+--MID(A1000,7,1)*5+--MID(A1000,8,1)*9+--MID(A1000,9,1)*4+--MID(A1000,10,1)*6+--MID(A1000,11,1)*8,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2026-06-23T08:31:00Z</dcterms:created>
  <dcterms:modified xmlns:dcterms="http://purl.org/dc/terms/" xmlns:xsi="http://www.w3.org/2001/XMLSchema-instance" xsi:type="dcterms:W3CDTF">2026-06-23T08:31:00Z</dcterms:modified>
</cp:coreProperties>
</file>